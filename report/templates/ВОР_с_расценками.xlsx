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ВОР" sheetId="1" state="visible" r:id="rId1"/>
  </sheets>
  <definedNames>
    <definedName name="_xlnm.Print_Area" localSheetId="0">'ВОР'!$A$1:$E$853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_₽_-;\-* #,##0.00\ _₽_-;_-* &quot;-&quot;??\ _₽_-;_-@_-"/>
    <numFmt numFmtId="165" formatCode="_-* #,##0.000\ _₽_-;\-* #,##0.000\ _₽_-;_-* &quot;-&quot;??\ _₽_-;_-@_-"/>
    <numFmt numFmtId="166" formatCode="_-* #,##0.00_р_._-;\-* #,##0.00_р_._-;_-* &quot;-&quot;??_р_._-;_-@_-"/>
  </numFmts>
  <fonts count="24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i val="1"/>
      <color theme="1"/>
      <sz val="11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charset val="204"/>
      <family val="2"/>
      <sz val="8"/>
      <scheme val="minor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rgb="FFC00000"/>
      <sz val="11"/>
    </font>
    <font>
      <name val="Times New Roman"/>
      <charset val="204"/>
      <family val="1"/>
      <i val="1"/>
      <color rgb="FFC00000"/>
      <sz val="11"/>
    </font>
    <font>
      <name val="Times New Roman"/>
      <charset val="204"/>
      <family val="1"/>
      <sz val="10"/>
    </font>
    <font>
      <name val="Times New Roman"/>
      <charset val="204"/>
      <family val="1"/>
      <color rgb="FF010101"/>
      <sz val="10"/>
    </font>
    <font>
      <name val="Times New Roman"/>
      <charset val="204"/>
      <family val="1"/>
      <color rgb="FF010101"/>
      <sz val="11"/>
    </font>
    <font>
      <name val="Times New Roman"/>
      <charset val="204"/>
      <family val="1"/>
      <sz val="11"/>
      <vertAlign val="subscript"/>
    </font>
    <font>
      <name val="Times New Roman"/>
      <charset val="204"/>
      <family val="1"/>
      <b val="1"/>
      <i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1" fillId="0" borderId="0"/>
    <xf numFmtId="164" fontId="1" fillId="0" borderId="0"/>
    <xf numFmtId="0" fontId="1" fillId="0" borderId="0"/>
    <xf numFmtId="164" fontId="1" fillId="0" borderId="0"/>
    <xf numFmtId="0" fontId="6" fillId="0" borderId="0" applyProtection="1">
      <protection locked="0" hidden="0"/>
    </xf>
    <xf numFmtId="0" fontId="6" fillId="0" borderId="0" applyProtection="1">
      <protection locked="0" hidden="0"/>
    </xf>
    <xf numFmtId="166" fontId="1" fillId="0" borderId="0"/>
    <xf numFmtId="0" fontId="12" fillId="0" borderId="0" applyAlignment="1">
      <alignment vertical="center"/>
    </xf>
    <xf numFmtId="166" fontId="13" fillId="0" borderId="0" applyAlignment="1" applyProtection="1">
      <alignment vertical="top"/>
      <protection locked="0" hidden="0"/>
    </xf>
    <xf numFmtId="0" fontId="1" fillId="0" borderId="0"/>
  </cellStyleXfs>
  <cellXfs count="168">
    <xf numFmtId="0" fontId="0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9" fillId="3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0" fillId="3" borderId="0" pivotButton="0" quotePrefix="0" xfId="0"/>
    <xf numFmtId="0" fontId="11" fillId="3" borderId="0" pivotButton="0" quotePrefix="0" xfId="0"/>
    <xf numFmtId="164" fontId="2" fillId="0" borderId="1" applyAlignment="1" pivotButton="0" quotePrefix="0" xfId="1">
      <alignment horizontal="center" vertical="top"/>
    </xf>
    <xf numFmtId="0" fontId="11" fillId="2" borderId="0" pivotButton="0" quotePrefix="0" xfId="0"/>
    <xf numFmtId="0" fontId="9" fillId="2" borderId="0" pivotButton="0" quotePrefix="0" xfId="0"/>
    <xf numFmtId="164" fontId="2" fillId="0" borderId="6" applyAlignment="1" pivotButton="0" quotePrefix="0" xfId="1">
      <alignment horizontal="center" vertical="top"/>
    </xf>
    <xf numFmtId="164" fontId="2" fillId="0" borderId="5" applyAlignment="1" pivotButton="0" quotePrefix="0" xfId="1">
      <alignment horizontal="center" vertical="top"/>
    </xf>
    <xf numFmtId="0" fontId="1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0" fillId="3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3" borderId="0" applyAlignment="1" pivotButton="0" quotePrefix="0" xfId="0">
      <alignment vertical="top"/>
    </xf>
    <xf numFmtId="164" fontId="15" fillId="0" borderId="1" applyAlignment="1" pivotButton="0" quotePrefix="0" xfId="1">
      <alignment horizontal="center" vertical="top"/>
    </xf>
    <xf numFmtId="0" fontId="5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horizontal="center" vertical="top"/>
    </xf>
    <xf numFmtId="164" fontId="16" fillId="0" borderId="1" applyAlignment="1" pivotButton="0" quotePrefix="0" xfId="0">
      <alignment horizontal="right" vertical="top"/>
    </xf>
    <xf numFmtId="0" fontId="11" fillId="0" borderId="2" applyAlignment="1" pivotButton="0" quotePrefix="0" xfId="0">
      <alignment horizontal="center" vertical="top"/>
    </xf>
    <xf numFmtId="49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164" fontId="8" fillId="0" borderId="6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18" fillId="0" borderId="2" applyAlignment="1" pivotButton="0" quotePrefix="0" xfId="0">
      <alignment horizontal="center" vertical="top"/>
    </xf>
    <xf numFmtId="49" fontId="18" fillId="0" borderId="1" applyAlignment="1" pivotButton="0" quotePrefix="0" xfId="0">
      <alignment horizontal="center" vertical="top"/>
    </xf>
    <xf numFmtId="0" fontId="23" fillId="0" borderId="1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center" vertical="top"/>
    </xf>
    <xf numFmtId="164" fontId="23" fillId="0" borderId="1" applyAlignment="1" pivotButton="0" quotePrefix="0" xfId="0">
      <alignment horizontal="center" vertical="top"/>
    </xf>
    <xf numFmtId="0" fontId="17" fillId="0" borderId="2" applyAlignment="1" pivotButton="0" quotePrefix="0" xfId="0">
      <alignment horizontal="center" vertical="top"/>
    </xf>
    <xf numFmtId="49" fontId="17" fillId="0" borderId="1" applyAlignment="1" pivotButton="0" quotePrefix="0" xfId="0">
      <alignment horizontal="center" vertical="top"/>
    </xf>
    <xf numFmtId="0" fontId="23" fillId="0" borderId="0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center"/>
    </xf>
    <xf numFmtId="49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8" fillId="0" borderId="1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1">
      <alignment horizontal="center" vertical="top"/>
    </xf>
    <xf numFmtId="164" fontId="15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4" fontId="7" fillId="0" borderId="1" applyAlignment="1" pivotButton="0" quotePrefix="0" xfId="0">
      <alignment horizontal="center" vertical="top" shrinkToFit="1"/>
    </xf>
    <xf numFmtId="0" fontId="7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vertical="top" wrapText="1"/>
    </xf>
    <xf numFmtId="4" fontId="4" fillId="0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21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center" vertical="top"/>
    </xf>
    <xf numFmtId="4" fontId="2" fillId="0" borderId="1" applyAlignment="1" pivotButton="0" quotePrefix="0" xfId="0">
      <alignment horizontal="center" vertical="top" wrapText="1"/>
    </xf>
    <xf numFmtId="4" fontId="7" fillId="0" borderId="7" applyAlignment="1" pivotButton="0" quotePrefix="0" xfId="0">
      <alignment horizontal="center" vertical="top" shrinkToFit="1"/>
    </xf>
    <xf numFmtId="4" fontId="7" fillId="0" borderId="0" applyAlignment="1" pivotButton="0" quotePrefix="0" xfId="0">
      <alignment horizontal="center" vertical="top" shrinkToFit="1"/>
    </xf>
    <xf numFmtId="49" fontId="2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0" applyAlignment="1" pivotButton="0" quotePrefix="0" xfId="0">
      <alignment horizontal="center" vertical="top"/>
    </xf>
    <xf numFmtId="4" fontId="19" fillId="0" borderId="6" applyAlignment="1" pivotButton="0" quotePrefix="0" xfId="0">
      <alignment horizontal="center" vertical="top" wrapText="1"/>
    </xf>
    <xf numFmtId="4" fontId="11" fillId="0" borderId="6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/>
    </xf>
    <xf numFmtId="164" fontId="2" fillId="0" borderId="6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/>
    </xf>
    <xf numFmtId="164" fontId="2" fillId="0" borderId="8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49" fontId="8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49" fontId="8" fillId="0" borderId="4" applyAlignment="1" pivotButton="0" quotePrefix="0" xfId="0">
      <alignment horizontal="center" vertical="top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164" fontId="2" fillId="0" borderId="6" applyAlignment="1" pivotButton="0" quotePrefix="0" xfId="0">
      <alignment horizontal="center"/>
    </xf>
    <xf numFmtId="0" fontId="8" fillId="0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top" wrapText="1"/>
    </xf>
    <xf numFmtId="164" fontId="8" fillId="0" borderId="0" applyAlignment="1" pivotButton="0" quotePrefix="0" xfId="1">
      <alignment horizontal="center"/>
    </xf>
    <xf numFmtId="2" fontId="4" fillId="0" borderId="6" applyAlignment="1" pivotButton="0" quotePrefix="0" xfId="0">
      <alignment horizontal="center" vertical="top"/>
    </xf>
    <xf numFmtId="0" fontId="9" fillId="0" borderId="0" pivotButton="0" quotePrefix="0" xfId="0"/>
    <xf numFmtId="2" fontId="9" fillId="0" borderId="6" applyAlignment="1" pivotButton="0" quotePrefix="0" xfId="0">
      <alignment horizontal="center" vertical="top"/>
    </xf>
    <xf numFmtId="2" fontId="11" fillId="0" borderId="6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2" fontId="5" fillId="0" borderId="6" applyAlignment="1" pivotButton="0" quotePrefix="0" xfId="0">
      <alignment horizontal="center" vertical="top"/>
    </xf>
    <xf numFmtId="2" fontId="2" fillId="0" borderId="6" applyAlignment="1" pivotButton="0" quotePrefix="0" xfId="1">
      <alignment horizontal="center" vertical="top"/>
    </xf>
    <xf numFmtId="2" fontId="2" fillId="0" borderId="6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2" fontId="15" fillId="0" borderId="6" applyAlignment="1" pivotButton="0" quotePrefix="0" xfId="0">
      <alignment horizontal="center" vertical="top"/>
    </xf>
    <xf numFmtId="0" fontId="8" fillId="0" borderId="1" applyAlignment="1" pivotButton="0" quotePrefix="0" xfId="2">
      <alignment horizontal="left" vertical="top" wrapText="1"/>
    </xf>
    <xf numFmtId="164" fontId="16" fillId="0" borderId="1" applyAlignment="1" pivotButton="0" quotePrefix="0" xfId="0">
      <alignment horizontal="center"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top"/>
    </xf>
    <xf numFmtId="164" fontId="16" fillId="0" borderId="1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164" fontId="8" fillId="0" borderId="0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4" fontId="11" fillId="2" borderId="0" pivotButton="0" quotePrefix="0" xfId="0"/>
    <xf numFmtId="4" fontId="0" fillId="0" borderId="0" pivotButton="0" quotePrefix="0" xfId="0"/>
    <xf numFmtId="164" fontId="4" fillId="0" borderId="1" applyAlignment="1" pivotButton="0" quotePrefix="0" xfId="0">
      <alignment horizontal="center" vertical="top"/>
    </xf>
    <xf numFmtId="164" fontId="23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/>
    </xf>
    <xf numFmtId="164" fontId="8" fillId="0" borderId="1" applyAlignment="1" pivotButton="0" quotePrefix="0" xfId="1">
      <alignment horizontal="center"/>
    </xf>
    <xf numFmtId="164" fontId="8" fillId="0" borderId="1" applyAlignment="1" pivotButton="0" quotePrefix="0" xfId="1">
      <alignment horizontal="center" vertical="top"/>
    </xf>
    <xf numFmtId="164" fontId="2" fillId="0" borderId="1" applyAlignment="1" pivotButton="0" quotePrefix="0" xfId="1">
      <alignment horizontal="center" vertical="top"/>
    </xf>
    <xf numFmtId="164" fontId="15" fillId="0" borderId="1" applyAlignment="1" pivotButton="0" quotePrefix="0" xfId="1">
      <alignment horizontal="center" vertical="top"/>
    </xf>
    <xf numFmtId="164" fontId="15" fillId="0" borderId="1" applyAlignment="1" pivotButton="0" quotePrefix="0" xfId="0">
      <alignment horizontal="center" vertical="top"/>
    </xf>
    <xf numFmtId="4" fontId="11" fillId="0" borderId="0" pivotButton="0" quotePrefix="0" xfId="0"/>
    <xf numFmtId="164" fontId="5" fillId="0" borderId="0" applyAlignment="1" pivotButton="0" quotePrefix="0" xfId="0">
      <alignment horizontal="center" vertical="top"/>
    </xf>
    <xf numFmtId="164" fontId="2" fillId="0" borderId="6" applyAlignment="1" pivotButton="0" quotePrefix="0" xfId="0">
      <alignment horizontal="center" vertical="top"/>
    </xf>
    <xf numFmtId="164" fontId="2" fillId="0" borderId="8" applyAlignment="1" pivotButton="0" quotePrefix="0" xfId="0">
      <alignment horizontal="center" vertical="top"/>
    </xf>
    <xf numFmtId="164" fontId="2" fillId="0" borderId="6" applyAlignment="1" pivotButton="0" quotePrefix="0" xfId="1">
      <alignment horizontal="center" vertical="top"/>
    </xf>
    <xf numFmtId="164" fontId="2" fillId="0" borderId="5" applyAlignment="1" pivotButton="0" quotePrefix="0" xfId="1">
      <alignment horizontal="center" vertical="top"/>
    </xf>
    <xf numFmtId="164" fontId="2" fillId="0" borderId="6" applyAlignment="1" pivotButton="0" quotePrefix="0" xfId="0">
      <alignment horizontal="center"/>
    </xf>
    <xf numFmtId="164" fontId="8" fillId="0" borderId="0" applyAlignment="1" pivotButton="0" quotePrefix="0" xfId="1">
      <alignment horizontal="center"/>
    </xf>
    <xf numFmtId="4" fontId="9" fillId="0" borderId="0" pivotButton="0" quotePrefix="0" xfId="0"/>
    <xf numFmtId="164" fontId="16" fillId="0" borderId="1" applyAlignment="1" pivotButton="0" quotePrefix="0" xfId="0">
      <alignment horizontal="center" vertical="top"/>
    </xf>
  </cellXfs>
  <cellStyles count="10">
    <cellStyle name="Обычный" xfId="0" builtinId="0"/>
    <cellStyle name="Финансовый" xfId="1" builtinId="3"/>
    <cellStyle name="Обычный 14" xfId="2"/>
    <cellStyle name="Финансовый 2 2 4" xfId="3"/>
    <cellStyle name="Обычный 3" xfId="4"/>
    <cellStyle name="Обычный 14 3" xfId="5"/>
    <cellStyle name="Финансовый 3" xfId="6"/>
    <cellStyle name="Обычный 4" xfId="7"/>
    <cellStyle name="Финансовый 2" xfId="8"/>
    <cellStyle name="Обычный 14 2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L858"/>
  <sheetViews>
    <sheetView tabSelected="1" zoomScale="90" zoomScaleNormal="90" zoomScaleSheetLayoutView="80" workbookViewId="0">
      <pane ySplit="1" topLeftCell="A2" activePane="bottomLeft" state="frozen"/>
      <selection pane="bottomLeft" activeCell="A1" sqref="A1:E1048576"/>
    </sheetView>
  </sheetViews>
  <sheetFormatPr baseColWidth="8" defaultColWidth="9.109375" defaultRowHeight="13.8"/>
  <cols>
    <col width="9.109375" customWidth="1" style="136" min="1" max="1"/>
    <col width="9.109375" customWidth="1" style="137" min="2" max="2"/>
    <col width="52.88671875" customWidth="1" style="136" min="3" max="3"/>
    <col width="18" customWidth="1" style="136" min="4" max="5"/>
    <col width="25" customWidth="1" style="136" min="6" max="16384"/>
    <col width="25" customWidth="1" min="7" max="7"/>
    <col width="23" customWidth="1" min="8" max="8"/>
  </cols>
  <sheetData>
    <row r="1" ht="16.8" customFormat="1" customHeight="1" s="3">
      <c r="A1" s="21" t="inlineStr">
        <is>
          <t>2 этап</t>
        </is>
      </c>
      <c r="B1" s="22" t="n">
        <v>2</v>
      </c>
      <c r="C1" s="23" t="inlineStr">
        <is>
          <t xml:space="preserve"> 2 ЭТАП</t>
        </is>
      </c>
      <c r="D1" s="138" t="n"/>
      <c r="E1" s="139" t="n"/>
      <c r="F1" s="140" t="inlineStr">
        <is>
          <t>Единичная расценка (сом)</t>
        </is>
      </c>
      <c r="G1" s="140" t="inlineStr">
        <is>
          <t>Общая стоимость (сом)</t>
        </is>
      </c>
      <c r="H1" s="140" t="inlineStr">
        <is>
          <t>Источник</t>
        </is>
      </c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24" t="n"/>
      <c r="W1" s="124" t="n"/>
      <c r="X1" s="124" t="n"/>
      <c r="Y1" s="124" t="n"/>
      <c r="Z1" s="124" t="n"/>
      <c r="AA1" s="124" t="n"/>
      <c r="AB1" s="124" t="n"/>
      <c r="AC1" s="124" t="n"/>
      <c r="AD1" s="124" t="n"/>
      <c r="AE1" s="124" t="n"/>
      <c r="AF1" s="124" t="n"/>
      <c r="AG1" s="124" t="n"/>
      <c r="AH1" s="124" t="n"/>
      <c r="AI1" s="124" t="n"/>
      <c r="AJ1" s="124" t="n"/>
      <c r="AK1" s="124" t="n"/>
      <c r="AL1" s="124" t="n"/>
      <c r="AM1" s="124" t="n"/>
      <c r="AN1" s="124" t="n"/>
      <c r="AO1" s="124" t="n"/>
      <c r="AP1" s="124" t="n"/>
      <c r="AQ1" s="124" t="n"/>
      <c r="AR1" s="124" t="n"/>
      <c r="AS1" s="124" t="n"/>
      <c r="AT1" s="124" t="n"/>
      <c r="AU1" s="124" t="n"/>
      <c r="AV1" s="124" t="n"/>
      <c r="AW1" s="124" t="n"/>
      <c r="AX1" s="124" t="n"/>
      <c r="AY1" s="124" t="n"/>
      <c r="AZ1" s="124" t="n"/>
      <c r="BA1" s="124" t="n"/>
      <c r="BB1" s="124" t="n"/>
      <c r="BC1" s="124" t="n"/>
      <c r="BD1" s="124" t="n"/>
      <c r="BE1" s="124" t="n"/>
      <c r="BF1" s="124" t="n"/>
      <c r="BG1" s="124" t="n"/>
      <c r="BH1" s="124" t="n"/>
      <c r="BI1" s="124" t="n"/>
      <c r="BJ1" s="124" t="n"/>
      <c r="BK1" s="124" t="n"/>
      <c r="BL1" s="124" t="n"/>
      <c r="BM1" s="124" t="n"/>
      <c r="BN1" s="124" t="n"/>
      <c r="BO1" s="124" t="n"/>
      <c r="BP1" s="124" t="n"/>
      <c r="BQ1" s="124" t="n"/>
      <c r="BR1" s="124" t="n"/>
      <c r="BS1" s="124" t="n"/>
      <c r="BT1" s="124" t="n"/>
      <c r="BU1" s="124" t="n"/>
      <c r="BV1" s="124" t="n"/>
      <c r="BW1" s="124" t="n"/>
      <c r="BX1" s="124" t="n"/>
      <c r="BY1" s="124" t="n"/>
      <c r="BZ1" s="124" t="n"/>
      <c r="CA1" s="124" t="n"/>
      <c r="CB1" s="124" t="n"/>
      <c r="CC1" s="124" t="n"/>
      <c r="CD1" s="124" t="n"/>
      <c r="CE1" s="124" t="n"/>
      <c r="CF1" s="124" t="n"/>
      <c r="CG1" s="124" t="n"/>
      <c r="CH1" s="124" t="n"/>
      <c r="CI1" s="124" t="n"/>
      <c r="CJ1" s="124" t="n"/>
      <c r="CK1" s="124" t="n"/>
      <c r="CL1" s="124" t="n"/>
      <c r="CM1" s="124" t="n"/>
      <c r="CN1" s="124" t="n"/>
      <c r="CO1" s="124" t="n"/>
      <c r="CP1" s="124" t="n"/>
      <c r="CQ1" s="124" t="n"/>
      <c r="CR1" s="124" t="n"/>
      <c r="CS1" s="124" t="n"/>
      <c r="CT1" s="124" t="n"/>
      <c r="CU1" s="124" t="n"/>
      <c r="CV1" s="124" t="n"/>
      <c r="CW1" s="124" t="n"/>
      <c r="CX1" s="124" t="n"/>
      <c r="CY1" s="124" t="n"/>
      <c r="CZ1" s="124" t="n"/>
      <c r="DA1" s="124" t="n"/>
      <c r="DB1" s="124" t="n"/>
      <c r="DC1" s="124" t="n"/>
      <c r="DD1" s="124" t="n"/>
      <c r="DE1" s="124" t="n"/>
      <c r="DF1" s="124" t="n"/>
      <c r="DG1" s="124" t="n"/>
      <c r="DH1" s="124" t="n"/>
      <c r="DI1" s="124" t="n"/>
      <c r="DJ1" s="124" t="n"/>
      <c r="DK1" s="124" t="n"/>
      <c r="DL1" s="124" t="n"/>
      <c r="DM1" s="124" t="n"/>
      <c r="DN1" s="124" t="n"/>
      <c r="DO1" s="124" t="n"/>
      <c r="DP1" s="124" t="n"/>
      <c r="DQ1" s="124" t="n"/>
      <c r="DR1" s="124" t="n"/>
      <c r="DS1" s="124" t="n"/>
      <c r="DT1" s="124" t="n"/>
      <c r="DU1" s="124" t="n"/>
      <c r="DV1" s="124" t="n"/>
      <c r="DW1" s="124" t="n"/>
      <c r="DX1" s="124" t="n"/>
      <c r="DY1" s="124" t="n"/>
      <c r="DZ1" s="124" t="n"/>
      <c r="EA1" s="124" t="n"/>
      <c r="EB1" s="124" t="n"/>
      <c r="EC1" s="124" t="n"/>
      <c r="ED1" s="124" t="n"/>
      <c r="EE1" s="124" t="n"/>
      <c r="EF1" s="124" t="n"/>
      <c r="EG1" s="124" t="n"/>
      <c r="EH1" s="124" t="n"/>
      <c r="EI1" s="124" t="n"/>
      <c r="EJ1" s="124" t="n"/>
      <c r="EK1" s="124" t="n"/>
      <c r="EL1" s="124" t="n"/>
      <c r="EM1" s="124" t="n"/>
      <c r="EN1" s="124" t="n"/>
      <c r="EO1" s="124" t="n"/>
      <c r="EP1" s="124" t="n"/>
      <c r="EQ1" s="124" t="n"/>
      <c r="ER1" s="124" t="n"/>
      <c r="ES1" s="124" t="n"/>
      <c r="ET1" s="124" t="n"/>
      <c r="EU1" s="124" t="n"/>
      <c r="EV1" s="124" t="n"/>
      <c r="EW1" s="124" t="n"/>
      <c r="EX1" s="124" t="n"/>
      <c r="EY1" s="124" t="n"/>
      <c r="EZ1" s="124" t="n"/>
      <c r="FA1" s="124" t="n"/>
      <c r="FB1" s="124" t="n"/>
      <c r="FC1" s="124" t="n"/>
      <c r="FD1" s="124" t="n"/>
      <c r="FE1" s="124" t="n"/>
      <c r="FF1" s="124" t="n"/>
      <c r="FG1" s="124" t="n"/>
      <c r="FH1" s="124" t="n"/>
      <c r="FI1" s="124" t="n"/>
      <c r="FJ1" s="124" t="n"/>
      <c r="FK1" s="124" t="n"/>
      <c r="FL1" s="124" t="n"/>
      <c r="FM1" s="124" t="n"/>
      <c r="FN1" s="124" t="n"/>
      <c r="FO1" s="124" t="n"/>
      <c r="FP1" s="124" t="n"/>
      <c r="FQ1" s="124" t="n"/>
      <c r="FR1" s="124" t="n"/>
      <c r="FS1" s="124" t="n"/>
      <c r="FT1" s="124" t="n"/>
      <c r="FU1" s="124" t="n"/>
      <c r="FV1" s="124" t="n"/>
      <c r="FW1" s="124" t="n"/>
      <c r="FX1" s="124" t="n"/>
      <c r="FY1" s="124" t="n"/>
      <c r="FZ1" s="124" t="n"/>
      <c r="GA1" s="124" t="n"/>
      <c r="GB1" s="124" t="n"/>
      <c r="GC1" s="124" t="n"/>
      <c r="GD1" s="124" t="n"/>
      <c r="GE1" s="124" t="n"/>
      <c r="GF1" s="124" t="n"/>
      <c r="GG1" s="124" t="n"/>
      <c r="GH1" s="124" t="n"/>
      <c r="GI1" s="124" t="n"/>
      <c r="GJ1" s="124" t="n"/>
      <c r="GK1" s="124" t="n"/>
      <c r="GL1" s="124" t="n"/>
      <c r="GM1" s="124" t="n"/>
      <c r="GN1" s="124" t="n"/>
      <c r="GO1" s="124" t="n"/>
      <c r="GP1" s="124" t="n"/>
      <c r="GQ1" s="124" t="n"/>
      <c r="GR1" s="124" t="n"/>
      <c r="GS1" s="124" t="n"/>
      <c r="GT1" s="124" t="n"/>
      <c r="GU1" s="124" t="n"/>
      <c r="GV1" s="124" t="n"/>
      <c r="GW1" s="124" t="n"/>
      <c r="GX1" s="124" t="n"/>
      <c r="GY1" s="124" t="n"/>
      <c r="GZ1" s="124" t="n"/>
      <c r="HA1" s="124" t="n"/>
      <c r="HB1" s="124" t="n"/>
      <c r="HC1" s="124" t="n"/>
      <c r="HD1" s="124" t="n"/>
      <c r="HE1" s="124" t="n"/>
      <c r="HF1" s="124" t="n"/>
      <c r="HG1" s="124" t="n"/>
      <c r="HH1" s="124" t="n"/>
      <c r="HI1" s="124" t="n"/>
      <c r="HJ1" s="124" t="n"/>
      <c r="HK1" s="124" t="n"/>
      <c r="HL1" s="124" t="n"/>
    </row>
    <row r="2" ht="19.8" customFormat="1" customHeight="1" s="5">
      <c r="A2" s="26" t="inlineStr">
        <is>
          <t>2 этап</t>
        </is>
      </c>
      <c r="B2" s="27" t="inlineStr">
        <is>
          <t>2.1</t>
        </is>
      </c>
      <c r="C2" s="28" t="inlineStr">
        <is>
          <t>Земляные работы</t>
        </is>
      </c>
      <c r="D2" s="141" t="n"/>
      <c r="E2" s="142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 ht="14.4" customFormat="1" customHeight="1" s="5">
      <c r="A3" s="22" t="n"/>
      <c r="B3" s="27" t="n"/>
      <c r="C3" s="31" t="inlineStr">
        <is>
          <t>Земляные работы здание Общежития</t>
        </is>
      </c>
      <c r="D3" s="143" t="n"/>
      <c r="E3" s="142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 ht="41.4" customFormat="1" customHeight="1" s="5">
      <c r="A4" s="33" t="inlineStr">
        <is>
          <t>2 этап</t>
        </is>
      </c>
      <c r="B4" s="34" t="inlineStr">
        <is>
          <t>2.1.1</t>
        </is>
      </c>
      <c r="C4" s="35" t="inlineStr">
        <is>
          <t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t>
        </is>
      </c>
      <c r="D4" s="36" t="inlineStr">
        <is>
          <t>м3</t>
        </is>
      </c>
      <c r="E4" s="144" t="n">
        <v>1007</v>
      </c>
      <c r="F4" s="145" t="n">
        <v>600</v>
      </c>
      <c r="G4" s="145" t="n">
        <v>604200</v>
      </c>
      <c r="H4" s="10" t="inlineStr">
        <is>
          <t>ФЕР-2020 × 0.75</t>
        </is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 ht="41.4" customFormat="1" customHeight="1" s="5">
      <c r="A5" s="33" t="inlineStr">
        <is>
          <t>2 этап</t>
        </is>
      </c>
      <c r="B5" s="34" t="inlineStr">
        <is>
          <t>2.1.2</t>
        </is>
      </c>
      <c r="C5" s="38" t="inlineStr">
        <is>
          <t>Разработка грунта котлована здания Общежития с погрузкой, перемещением ик месту устройства оснований для фундаментов Общежития</t>
        </is>
      </c>
      <c r="D5" s="36" t="inlineStr">
        <is>
          <t>м3</t>
        </is>
      </c>
      <c r="E5" s="144" t="n">
        <v>3877</v>
      </c>
      <c r="F5" s="145" t="n">
        <v>11800</v>
      </c>
      <c r="G5" s="145" t="n">
        <v>45748600</v>
      </c>
      <c r="H5" s="10" t="inlineStr">
        <is>
          <t>ФЕР-2020 × 0.75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 ht="27.6" customFormat="1" customHeight="1" s="5">
      <c r="A6" s="33" t="inlineStr">
        <is>
          <t>2 этап</t>
        </is>
      </c>
      <c r="B6" s="34" t="inlineStr">
        <is>
          <t>2.1.3</t>
        </is>
      </c>
      <c r="C6" s="38" t="inlineStr">
        <is>
          <t>Устройство грунтовых оснований для фундаментов эдания Общежития ниже отм. -2.700</t>
        </is>
      </c>
      <c r="D6" s="36" t="inlineStr">
        <is>
          <t>м3</t>
        </is>
      </c>
      <c r="E6" s="144" t="n">
        <v>1136.51</v>
      </c>
      <c r="F6" s="145" t="n">
        <v>10100</v>
      </c>
      <c r="G6" s="145" t="n">
        <v>11478751</v>
      </c>
      <c r="H6" s="10" t="inlineStr">
        <is>
          <t>ФЕР-2020 × 0.75</t>
        </is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 ht="21" customFormat="1" customHeight="1" s="5">
      <c r="A7" s="33" t="inlineStr">
        <is>
          <t>2 этап</t>
        </is>
      </c>
      <c r="B7" s="34" t="inlineStr">
        <is>
          <t>2.1.4</t>
        </is>
      </c>
      <c r="C7" s="38" t="inlineStr">
        <is>
          <t>Обратная засыпка пазух котлована здания Общежития</t>
        </is>
      </c>
      <c r="D7" s="36" t="inlineStr">
        <is>
          <t>м3</t>
        </is>
      </c>
      <c r="E7" s="144" t="n">
        <v>1151.82</v>
      </c>
      <c r="F7" s="146" t="n">
        <v>600</v>
      </c>
      <c r="G7" s="146" t="n">
        <v>691092</v>
      </c>
      <c r="H7" t="inlineStr">
        <is>
          <t>ФЕР-2020 × 0.75</t>
        </is>
      </c>
    </row>
    <row r="8" ht="32.4" customFormat="1" customHeight="1" s="5">
      <c r="A8" s="33" t="inlineStr">
        <is>
          <t>2 этап</t>
        </is>
      </c>
      <c r="B8" s="34" t="inlineStr">
        <is>
          <t>2.1.5</t>
        </is>
      </c>
      <c r="C8" s="35" t="inlineStr">
        <is>
          <t>Устройство грунтового основания под плиту пола 1 этажа здания Общежития до отм. -0.500</t>
        </is>
      </c>
      <c r="D8" s="39" t="inlineStr">
        <is>
          <t>м3</t>
        </is>
      </c>
      <c r="E8" s="147" t="n">
        <v>1767.15</v>
      </c>
      <c r="F8" s="146" t="n">
        <v>2800</v>
      </c>
      <c r="G8" s="146" t="n">
        <v>4948020</v>
      </c>
      <c r="H8" t="inlineStr">
        <is>
          <t>ФЕР-2020 × 0.75</t>
        </is>
      </c>
    </row>
    <row r="9" ht="32.4" customFormat="1" customHeight="1" s="5">
      <c r="A9" s="41" t="n"/>
      <c r="B9" s="42" t="n"/>
      <c r="C9" s="43" t="inlineStr">
        <is>
          <t>Дополнительные работы: Погрузка, перевозка грунта с отм. +3500 до строительной площадки</t>
        </is>
      </c>
      <c r="D9" s="44" t="inlineStr">
        <is>
          <t>м3</t>
        </is>
      </c>
      <c r="E9" s="148" t="n">
        <v>2918.97</v>
      </c>
    </row>
    <row r="10" ht="44.4" customFormat="1" customHeight="1" s="5">
      <c r="A10" s="33" t="inlineStr">
        <is>
          <t>2 этап</t>
        </is>
      </c>
      <c r="B10" s="34" t="inlineStr">
        <is>
          <t>2.1.6</t>
        </is>
      </c>
      <c r="C10" s="35" t="inlineStr">
        <is>
          <t>Планировка мест предполагаемого строительства здания АБК, срезка, перемещение, погрузка, перевозка и складирование почвенно-растительного слоя</t>
        </is>
      </c>
      <c r="D10" s="36" t="inlineStr">
        <is>
          <t>м3</t>
        </is>
      </c>
      <c r="E10" s="144" t="n">
        <v>847.12</v>
      </c>
      <c r="F10" s="146" t="n">
        <v>600</v>
      </c>
      <c r="G10" s="146" t="n">
        <v>508272</v>
      </c>
      <c r="H10" t="inlineStr">
        <is>
          <t>ФЕР-2020 × 0.75</t>
        </is>
      </c>
    </row>
    <row r="11" ht="45.6" customFormat="1" customHeight="1" s="5">
      <c r="A11" s="33" t="inlineStr">
        <is>
          <t>2 этап</t>
        </is>
      </c>
      <c r="B11" s="34" t="inlineStr">
        <is>
          <t>2.1.7</t>
        </is>
      </c>
      <c r="C11" s="38" t="inlineStr">
        <is>
          <t>Разработка грунта котлованов здания АБК с погрузкой, перемещением к мету устройства оснований для фундаментов АБК</t>
        </is>
      </c>
      <c r="D11" s="36" t="inlineStr">
        <is>
          <t>м3</t>
        </is>
      </c>
      <c r="E11" s="144" t="n">
        <v>2051</v>
      </c>
      <c r="F11" s="146" t="n">
        <v>11800</v>
      </c>
      <c r="G11" s="146" t="n">
        <v>24201800</v>
      </c>
      <c r="H11" t="inlineStr">
        <is>
          <t>ФЕР-2020 × 0.75</t>
        </is>
      </c>
    </row>
    <row r="12" ht="31.8" customFormat="1" customHeight="1" s="5">
      <c r="A12" s="33" t="inlineStr">
        <is>
          <t>2 этап</t>
        </is>
      </c>
      <c r="B12" s="34" t="inlineStr">
        <is>
          <t>2.1.8</t>
        </is>
      </c>
      <c r="C12" s="38" t="inlineStr">
        <is>
          <t>Устройство грунтовых оснований для фундаментов эдания АБК ниже отм. -2.700</t>
        </is>
      </c>
      <c r="D12" s="36" t="inlineStr">
        <is>
          <t>м3</t>
        </is>
      </c>
      <c r="E12" s="144" t="n">
        <v>383.38</v>
      </c>
      <c r="F12" s="146" t="n">
        <v>10100</v>
      </c>
      <c r="G12" s="146" t="n">
        <v>3872138</v>
      </c>
      <c r="H12" t="inlineStr">
        <is>
          <t>ФЕР-2020 × 0.75</t>
        </is>
      </c>
    </row>
    <row r="13" ht="20.4" customFormat="1" customHeight="1" s="5">
      <c r="A13" s="33" t="inlineStr">
        <is>
          <t>2 этап</t>
        </is>
      </c>
      <c r="B13" s="34" t="inlineStr">
        <is>
          <t>2.1.9</t>
        </is>
      </c>
      <c r="C13" s="38" t="inlineStr">
        <is>
          <t>Обратная засыпка пазух котлована здания АБК</t>
        </is>
      </c>
      <c r="D13" s="36" t="inlineStr">
        <is>
          <t>м3</t>
        </is>
      </c>
      <c r="E13" s="144" t="n">
        <v>1069.2</v>
      </c>
      <c r="F13" s="146" t="n">
        <v>600</v>
      </c>
      <c r="G13" s="146" t="n">
        <v>641520</v>
      </c>
      <c r="H13" t="inlineStr">
        <is>
          <t>ФЕР-2020 × 0.75</t>
        </is>
      </c>
    </row>
    <row r="14" ht="31.8" customFormat="1" customHeight="1" s="5">
      <c r="A14" s="33" t="inlineStr">
        <is>
          <t>2 этап</t>
        </is>
      </c>
      <c r="B14" s="34" t="inlineStr">
        <is>
          <t>2.1.10</t>
        </is>
      </c>
      <c r="C14" s="35" t="inlineStr">
        <is>
          <t>Устройство грунтового основания под плиту пола 1 этажа здания АБК до отм. -0.500</t>
        </is>
      </c>
      <c r="D14" s="39" t="inlineStr">
        <is>
          <t>м3</t>
        </is>
      </c>
      <c r="E14" s="147" t="n">
        <v>1360.8</v>
      </c>
      <c r="F14" s="146" t="n">
        <v>2800</v>
      </c>
      <c r="G14" s="146" t="n">
        <v>3810240</v>
      </c>
      <c r="H14" t="inlineStr">
        <is>
          <t>ФЕР-2020 × 0.75</t>
        </is>
      </c>
    </row>
    <row r="15" ht="31.8" customFormat="1" customHeight="1" s="5">
      <c r="A15" s="46" t="n"/>
      <c r="B15" s="47" t="n"/>
      <c r="C15" s="48" t="inlineStr">
        <is>
          <t>Дополнительные работы: Погрузка, перевозка грунта с отм. +3500 до строительной площадки</t>
        </is>
      </c>
      <c r="D15" s="44" t="inlineStr">
        <is>
          <t>м3</t>
        </is>
      </c>
      <c r="E15" s="148" t="n">
        <v>2430</v>
      </c>
    </row>
    <row r="16" ht="16.8" customFormat="1" customHeight="1" s="5">
      <c r="A16" s="33" t="n"/>
      <c r="B16" s="34" t="n"/>
      <c r="C16" s="31" t="inlineStr">
        <is>
          <t>Земляные работы здание Галереи</t>
        </is>
      </c>
      <c r="D16" s="39" t="n"/>
      <c r="E16" s="39" t="n"/>
    </row>
    <row r="17" ht="63" customFormat="1" customHeight="1" s="5">
      <c r="A17" s="33" t="inlineStr">
        <is>
          <t>2 этап</t>
        </is>
      </c>
      <c r="B17" s="34" t="inlineStr">
        <is>
          <t>2.1.11</t>
        </is>
      </c>
      <c r="C17" s="38" t="inlineStr">
        <is>
          <t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t>
        </is>
      </c>
      <c r="D17" s="36" t="inlineStr">
        <is>
          <t>м3</t>
        </is>
      </c>
      <c r="E17" s="144" t="n">
        <v>73.5</v>
      </c>
      <c r="F17" s="146" t="n">
        <v>11800</v>
      </c>
      <c r="G17" s="146" t="n">
        <v>867300</v>
      </c>
      <c r="H17" t="inlineStr">
        <is>
          <t>ФЕР-2020 × 0.75</t>
        </is>
      </c>
    </row>
    <row r="18" ht="31.8" customFormat="1" customHeight="1" s="5">
      <c r="A18" s="33" t="inlineStr">
        <is>
          <t>2 этап</t>
        </is>
      </c>
      <c r="B18" s="34" t="inlineStr">
        <is>
          <t>2.1.12</t>
        </is>
      </c>
      <c r="C18" s="38" t="inlineStr">
        <is>
          <t>Обратная засыпка привозным песком пазух котлована переходной Галереи</t>
        </is>
      </c>
      <c r="D18" s="36" t="inlineStr">
        <is>
          <t>м3</t>
        </is>
      </c>
      <c r="E18" s="144" t="n">
        <v>70</v>
      </c>
      <c r="F18" s="146" t="n">
        <v>600</v>
      </c>
      <c r="G18" s="146" t="n">
        <v>42000</v>
      </c>
      <c r="H18" t="inlineStr">
        <is>
          <t>ФЕР-2020 × 0.75</t>
        </is>
      </c>
    </row>
    <row r="19" ht="17.4" customFormat="1" customHeight="1" s="5">
      <c r="A19" s="26" t="inlineStr">
        <is>
          <t>2 этап</t>
        </is>
      </c>
      <c r="B19" s="27" t="inlineStr">
        <is>
          <t>2.2</t>
        </is>
      </c>
      <c r="C19" s="28" t="inlineStr">
        <is>
          <t>Фундаменты</t>
        </is>
      </c>
      <c r="D19" s="144" t="n"/>
      <c r="E19" s="144" t="n"/>
    </row>
    <row r="20" ht="16.8" customFormat="1" customHeight="1" s="5">
      <c r="A20" s="49" t="n"/>
      <c r="B20" s="50" t="n"/>
      <c r="C20" s="31" t="inlineStr">
        <is>
          <t>Фундаменты здание Общежития</t>
        </is>
      </c>
      <c r="D20" s="149" t="n"/>
      <c r="E20" s="149" t="n"/>
    </row>
    <row r="21" ht="31.8" customFormat="1" customHeight="1" s="5">
      <c r="A21" s="33" t="inlineStr">
        <is>
          <t>2 этап</t>
        </is>
      </c>
      <c r="B21" s="34" t="inlineStr">
        <is>
          <t>2.2.1</t>
        </is>
      </c>
      <c r="C21" s="38" t="inlineStr">
        <is>
          <t>Устройсво бетонной подготовки для фундаментов  и цокольных стен здания Общежития</t>
        </is>
      </c>
      <c r="D21" s="36" t="inlineStr">
        <is>
          <t>м3</t>
        </is>
      </c>
      <c r="E21" s="144" t="n">
        <v>42.4</v>
      </c>
      <c r="F21" s="146" t="n">
        <v>10100</v>
      </c>
      <c r="G21" s="146" t="n">
        <v>428240</v>
      </c>
      <c r="H21" t="inlineStr">
        <is>
          <t>ФЕР-2020 × 0.75</t>
        </is>
      </c>
    </row>
    <row r="22" ht="44.4" customFormat="1" customHeight="1" s="5">
      <c r="A22" s="33" t="inlineStr">
        <is>
          <t>2 этап</t>
        </is>
      </c>
      <c r="B22" s="34" t="inlineStr">
        <is>
          <t>2.2.2</t>
        </is>
      </c>
      <c r="C22" s="38" t="inlineStr">
        <is>
          <t xml:space="preserve"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 </t>
        </is>
      </c>
      <c r="D22" s="36" t="inlineStr">
        <is>
          <t>м3</t>
        </is>
      </c>
      <c r="E22" s="144" t="n">
        <v>212.6</v>
      </c>
      <c r="F22" s="146" t="n">
        <v>80000</v>
      </c>
      <c r="G22" s="146" t="n">
        <v>17008000</v>
      </c>
      <c r="H22" t="inlineStr">
        <is>
          <t>ФЕР-2020 × 0.75</t>
        </is>
      </c>
    </row>
    <row r="23" ht="47.4" customFormat="1" customHeight="1" s="5">
      <c r="A23" s="33" t="inlineStr">
        <is>
          <t>2 этап</t>
        </is>
      </c>
      <c r="B23" s="34" t="inlineStr">
        <is>
          <t>2.2.3</t>
        </is>
      </c>
      <c r="C23" s="38" t="inlineStr">
        <is>
          <t xml:space="preserve">Устройство монолитных цокольных стен здания Общежития: опалубочные работы, армирование, установка закладных деталей, бетонирование, гидроизоляция. </t>
        </is>
      </c>
      <c r="D23" s="36" t="inlineStr">
        <is>
          <t>м3</t>
        </is>
      </c>
      <c r="E23" s="144" t="n">
        <v>40.8</v>
      </c>
      <c r="F23" s="146" t="n">
        <v>80000</v>
      </c>
      <c r="G23" s="146" t="n">
        <v>3264000</v>
      </c>
      <c r="H23" t="inlineStr">
        <is>
          <t>ФЕР-2020 × 0.75</t>
        </is>
      </c>
    </row>
    <row r="24" ht="60.6" customFormat="1" customHeight="1" s="5">
      <c r="A24" s="33" t="inlineStr">
        <is>
          <t>2 этап</t>
        </is>
      </c>
      <c r="B24" s="34" t="inlineStr">
        <is>
          <t>2.2.4</t>
        </is>
      </c>
      <c r="C24" s="38" t="inlineStr">
        <is>
          <t xml:space="preserve"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 </t>
        </is>
      </c>
      <c r="D24" s="36" t="inlineStr">
        <is>
          <t>м3</t>
        </is>
      </c>
      <c r="E24" s="144" t="n">
        <v>10.8</v>
      </c>
      <c r="F24" s="146" t="n">
        <v>70000</v>
      </c>
      <c r="G24" s="146" t="n">
        <v>756000</v>
      </c>
      <c r="H24" t="inlineStr">
        <is>
          <t>ФЕР-2020 × 0.75</t>
        </is>
      </c>
    </row>
    <row r="25" ht="16.2" customFormat="1" customHeight="1" s="5">
      <c r="A25" s="33" t="inlineStr">
        <is>
          <t>2 этап</t>
        </is>
      </c>
      <c r="B25" s="34" t="n"/>
      <c r="C25" s="52" t="inlineStr">
        <is>
          <t>Фундаменты здание АБК</t>
        </is>
      </c>
      <c r="D25" s="36" t="n"/>
      <c r="E25" s="144" t="n"/>
    </row>
    <row r="26" ht="31.8" customFormat="1" customHeight="1" s="5">
      <c r="A26" s="33" t="inlineStr">
        <is>
          <t>2 этап</t>
        </is>
      </c>
      <c r="B26" s="34" t="inlineStr">
        <is>
          <t>2.2.5</t>
        </is>
      </c>
      <c r="C26" s="38" t="inlineStr">
        <is>
          <t>Устройсво бетонной подготовки для цокольных стен здания АБК</t>
        </is>
      </c>
      <c r="D26" s="36" t="inlineStr">
        <is>
          <t>м3</t>
        </is>
      </c>
      <c r="E26" s="144" t="n">
        <v>30.2</v>
      </c>
      <c r="F26" s="146" t="n">
        <v>10100</v>
      </c>
      <c r="G26" s="146" t="n">
        <v>305020</v>
      </c>
      <c r="H26" t="inlineStr">
        <is>
          <t>ФЕР-2020 × 0.75</t>
        </is>
      </c>
    </row>
    <row r="27" ht="31.8" customFormat="1" customHeight="1" s="5">
      <c r="A27" s="33" t="inlineStr">
        <is>
          <t>2 этап</t>
        </is>
      </c>
      <c r="B27" s="34" t="inlineStr">
        <is>
          <t>2.2.6</t>
        </is>
      </c>
      <c r="C27" s="38" t="inlineStr">
        <is>
          <t xml:space="preserve"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 </t>
        </is>
      </c>
      <c r="D27" s="36" t="inlineStr">
        <is>
          <t>м3</t>
        </is>
      </c>
      <c r="E27" s="144" t="n">
        <v>199.8</v>
      </c>
      <c r="F27" s="146" t="n">
        <v>80000</v>
      </c>
      <c r="G27" s="146" t="n">
        <v>15984000</v>
      </c>
      <c r="H27" t="inlineStr">
        <is>
          <t>ФЕР-2020 × 0.75</t>
        </is>
      </c>
    </row>
    <row r="28" ht="45.6" customFormat="1" customHeight="1" s="5">
      <c r="A28" s="33" t="inlineStr">
        <is>
          <t>2 этап</t>
        </is>
      </c>
      <c r="B28" s="34" t="inlineStr">
        <is>
          <t>2.2.7</t>
        </is>
      </c>
      <c r="C28" s="38" t="inlineStr">
        <is>
          <t xml:space="preserve">Устройство монолитных цокольных стен здания АБК: опалубочные работы, армирование, установка закладных деталей, бетонирование, гидроизоляция. </t>
        </is>
      </c>
      <c r="D28" s="36" t="inlineStr">
        <is>
          <t>м3</t>
        </is>
      </c>
      <c r="E28" s="144" t="n">
        <v>37.4</v>
      </c>
      <c r="F28" s="146" t="n">
        <v>80000</v>
      </c>
      <c r="G28" s="146" t="n">
        <v>2992000</v>
      </c>
      <c r="H28" t="inlineStr">
        <is>
          <t>ФЕР-2020 × 0.75</t>
        </is>
      </c>
    </row>
    <row r="29" ht="57" customFormat="1" customHeight="1" s="5">
      <c r="A29" s="33" t="inlineStr">
        <is>
          <t>2 этап</t>
        </is>
      </c>
      <c r="B29" s="34" t="inlineStr">
        <is>
          <t>2.2.8</t>
        </is>
      </c>
      <c r="C29" s="38" t="inlineStr">
        <is>
          <t xml:space="preserve"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 </t>
        </is>
      </c>
      <c r="D29" s="36" t="inlineStr">
        <is>
          <t>м3</t>
        </is>
      </c>
      <c r="E29" s="144" t="n">
        <v>16.1</v>
      </c>
      <c r="F29" s="146" t="n">
        <v>70000</v>
      </c>
      <c r="G29" s="146" t="n">
        <v>1127000</v>
      </c>
      <c r="H29" t="inlineStr">
        <is>
          <t>ФЕР-2020 × 0.75</t>
        </is>
      </c>
    </row>
    <row r="30" ht="15" customFormat="1" customHeight="1" s="14">
      <c r="A30" s="33" t="inlineStr">
        <is>
          <t>2 этап</t>
        </is>
      </c>
      <c r="B30" s="34" t="n"/>
      <c r="C30" s="53" t="inlineStr">
        <is>
          <t>Фундаменты здание Галереи</t>
        </is>
      </c>
      <c r="D30" s="39" t="n"/>
      <c r="E30" s="147" t="n"/>
    </row>
    <row r="31" ht="33.6" customFormat="1" customHeight="1" s="14">
      <c r="A31" s="33" t="inlineStr">
        <is>
          <t>2 этап</t>
        </is>
      </c>
      <c r="B31" s="34" t="inlineStr">
        <is>
          <t>2.2.9</t>
        </is>
      </c>
      <c r="C31" s="38" t="inlineStr">
        <is>
          <t>Устройсво бетонной подготовки для фундаментов переходной Галереи</t>
        </is>
      </c>
      <c r="D31" s="36" t="inlineStr">
        <is>
          <t>м3</t>
        </is>
      </c>
      <c r="E31" s="144" t="n">
        <v>1.6</v>
      </c>
      <c r="F31" s="146" t="n">
        <v>10100</v>
      </c>
      <c r="G31" s="146" t="n">
        <v>16160</v>
      </c>
      <c r="H31" t="inlineStr">
        <is>
          <t>ФЕР-2020 × 0.75</t>
        </is>
      </c>
    </row>
    <row r="32" ht="48" customFormat="1" customHeight="1" s="14">
      <c r="A32" s="33" t="inlineStr">
        <is>
          <t>2 этап</t>
        </is>
      </c>
      <c r="B32" s="34" t="inlineStr">
        <is>
          <t>2.2.10</t>
        </is>
      </c>
      <c r="C32" s="38" t="inlineStr">
        <is>
          <t xml:space="preserve"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 </t>
        </is>
      </c>
      <c r="D32" s="36" t="inlineStr">
        <is>
          <t>м3</t>
        </is>
      </c>
      <c r="E32" s="144" t="n">
        <v>12.4</v>
      </c>
      <c r="F32" s="146" t="n">
        <v>80000</v>
      </c>
      <c r="G32" s="146" t="n">
        <v>992000</v>
      </c>
      <c r="H32" t="inlineStr">
        <is>
          <t>ФЕР-2020 × 0.75</t>
        </is>
      </c>
    </row>
    <row r="33" ht="16.2" customFormat="1" customHeight="1" s="14">
      <c r="A33" s="26" t="inlineStr">
        <is>
          <t>2 этап</t>
        </is>
      </c>
      <c r="B33" s="27" t="inlineStr">
        <is>
          <t>2.3</t>
        </is>
      </c>
      <c r="C33" s="28" t="inlineStr">
        <is>
          <t>М/каркас 1-х этажей зданий Общежития и АБК</t>
        </is>
      </c>
      <c r="D33" s="54" t="inlineStr">
        <is>
          <t>компл.</t>
        </is>
      </c>
      <c r="E33" s="142" t="n">
        <v>1</v>
      </c>
      <c r="F33" s="146" t="n">
        <v>750000</v>
      </c>
      <c r="G33" s="146" t="n">
        <v>750000</v>
      </c>
      <c r="H33" t="inlineStr">
        <is>
          <t>Экспертная оценка</t>
        </is>
      </c>
    </row>
    <row r="34" ht="16.2" customFormat="1" customHeight="1" s="14">
      <c r="A34" s="33" t="inlineStr">
        <is>
          <t>2 этап</t>
        </is>
      </c>
      <c r="B34" s="27" t="n"/>
      <c r="C34" s="52" t="inlineStr">
        <is>
          <t>Металлический каракас 1 эт. здание Общежития</t>
        </is>
      </c>
      <c r="D34" s="54" t="n"/>
      <c r="E34" s="142" t="n"/>
    </row>
    <row r="35" ht="46.2" customFormat="1" customHeight="1" s="15">
      <c r="A35" s="33" t="inlineStr">
        <is>
          <t>2 этап</t>
        </is>
      </c>
      <c r="B35" s="34" t="inlineStr">
        <is>
          <t>2.3.1</t>
        </is>
      </c>
      <c r="C35" s="38" t="inlineStr">
        <is>
          <t xml:space="preserve">Устройство металлического каркаса 1-го этажа здания Общежития: изготовление, поставка на объект, монтаж  металлических конструкций, грунтовка ГФ-021
</t>
        </is>
      </c>
      <c r="D35" s="36" t="inlineStr">
        <is>
          <t>тн</t>
        </is>
      </c>
      <c r="E35" s="150" t="n">
        <v>69.5</v>
      </c>
      <c r="F35" s="146" t="n">
        <v>40000</v>
      </c>
      <c r="G35" s="146" t="n">
        <v>2780000</v>
      </c>
      <c r="H35" t="inlineStr">
        <is>
          <t>ФЕР-2020 × 0.75</t>
        </is>
      </c>
    </row>
    <row r="36" ht="16.8" customFormat="1" customHeight="1" s="15">
      <c r="A36" s="33" t="inlineStr">
        <is>
          <t>2 этап</t>
        </is>
      </c>
      <c r="B36" s="27" t="n"/>
      <c r="C36" s="52" t="inlineStr">
        <is>
          <t>Металлический каракас 1 эт. здание АБК</t>
        </is>
      </c>
      <c r="D36" s="54" t="n"/>
      <c r="E36" s="142" t="n"/>
    </row>
    <row r="37" ht="46.8" customFormat="1" customHeight="1" s="15">
      <c r="A37" s="33" t="inlineStr">
        <is>
          <t>2 этап</t>
        </is>
      </c>
      <c r="B37" s="34" t="inlineStr">
        <is>
          <t>2.3.3</t>
        </is>
      </c>
      <c r="C37" s="38" t="inlineStr">
        <is>
          <t xml:space="preserve">Устройство металлического каркаса 1-го этажа здания АБК: изготовление, поставка на объект, монтаж  металлических конструкций, грунтовка ГФ-021
</t>
        </is>
      </c>
      <c r="D37" s="36" t="inlineStr">
        <is>
          <t>тн</t>
        </is>
      </c>
      <c r="E37" s="150" t="n">
        <v>51.179</v>
      </c>
      <c r="F37" s="146" t="n">
        <v>40000</v>
      </c>
      <c r="G37" s="146" t="n">
        <v>2047160</v>
      </c>
      <c r="H37" t="inlineStr">
        <is>
          <t>ФЕР-2020 × 0.75</t>
        </is>
      </c>
    </row>
    <row r="38" ht="14.4" customFormat="1" customHeight="1" s="14">
      <c r="A38" s="26" t="inlineStr">
        <is>
          <t>2 этап</t>
        </is>
      </c>
      <c r="B38" s="27" t="inlineStr">
        <is>
          <t>2.4</t>
        </is>
      </c>
      <c r="C38" s="28" t="inlineStr">
        <is>
          <t>Перекрытия 1-х этажей зданий Общежития и АБК</t>
        </is>
      </c>
      <c r="D38" s="54" t="inlineStr">
        <is>
          <t>компл.</t>
        </is>
      </c>
      <c r="E38" s="142" t="n">
        <v>1</v>
      </c>
      <c r="F38" s="146" t="n">
        <v>750000</v>
      </c>
      <c r="G38" s="146" t="n">
        <v>750000</v>
      </c>
      <c r="H38" t="inlineStr">
        <is>
          <t>Экспертная оценка</t>
        </is>
      </c>
    </row>
    <row r="39" ht="14.4" customFormat="1" customHeight="1" s="5">
      <c r="A39" s="33" t="inlineStr">
        <is>
          <t>2 этап</t>
        </is>
      </c>
      <c r="B39" s="27" t="n"/>
      <c r="C39" s="52" t="inlineStr">
        <is>
          <t>Перекрытие 1 эт. здание Общежития отм.+3.260</t>
        </is>
      </c>
      <c r="D39" s="54" t="n"/>
      <c r="E39" s="142" t="n"/>
    </row>
    <row r="40" ht="31.8" customHeight="1">
      <c r="A40" s="33" t="inlineStr">
        <is>
          <t>2 этап</t>
        </is>
      </c>
      <c r="B40" s="34" t="inlineStr">
        <is>
          <t>2.4.1</t>
        </is>
      </c>
      <c r="C40" s="38" t="inlineStr">
        <is>
          <t>Устройство несъемной опалубки из профлиста Н-60-845 (ОЦ-01-БЦ) 0,8мм</t>
        </is>
      </c>
      <c r="D40" s="36" t="inlineStr">
        <is>
          <t>м2</t>
        </is>
      </c>
      <c r="E40" s="144" t="n">
        <v>873.5700000000001</v>
      </c>
      <c r="F40" s="146" t="n">
        <v>2000</v>
      </c>
      <c r="G40" s="146" t="n">
        <v>1747140</v>
      </c>
      <c r="H40" t="inlineStr">
        <is>
          <t>Экспертная оценка</t>
        </is>
      </c>
    </row>
    <row r="41" ht="46.2" customHeight="1">
      <c r="A41" s="33" t="inlineStr">
        <is>
          <t>2 этап</t>
        </is>
      </c>
      <c r="B41" s="34" t="inlineStr">
        <is>
          <t>2.4.2</t>
        </is>
      </c>
      <c r="C41" s="38" t="inlineStr">
        <is>
          <t xml:space="preserve">Устройство монолитного железобетонного перекрытия  здания Общежития: торцевая опалубка, армирование, бетонирование, </t>
        </is>
      </c>
      <c r="D41" s="36" t="inlineStr">
        <is>
          <t>м3</t>
        </is>
      </c>
      <c r="E41" s="144" t="n">
        <v>104.3</v>
      </c>
      <c r="F41" s="146" t="n">
        <v>80000</v>
      </c>
      <c r="G41" s="146" t="n">
        <v>8344000</v>
      </c>
      <c r="H41" t="inlineStr">
        <is>
          <t>ФЕР-2020 × 0.75</t>
        </is>
      </c>
    </row>
    <row r="42" ht="14.4" customHeight="1">
      <c r="A42" s="33" t="inlineStr">
        <is>
          <t>2 этап</t>
        </is>
      </c>
      <c r="B42" s="34" t="n"/>
      <c r="C42" s="52" t="inlineStr">
        <is>
          <t>Перекрытие 1 эт. здание АБК отм.+3.800</t>
        </is>
      </c>
      <c r="D42" s="54" t="n"/>
      <c r="E42" s="142" t="n"/>
    </row>
    <row r="43" ht="31.2" customHeight="1">
      <c r="A43" s="33" t="inlineStr">
        <is>
          <t>2 этап</t>
        </is>
      </c>
      <c r="B43" s="34" t="inlineStr">
        <is>
          <t>2.4.3</t>
        </is>
      </c>
      <c r="C43" s="38" t="inlineStr">
        <is>
          <t>Устройство несъемной опалубки из профлиста Н-60-845 (ОЦ-01-БЦ) 0,8мм</t>
        </is>
      </c>
      <c r="D43" s="36" t="inlineStr">
        <is>
          <t>м2</t>
        </is>
      </c>
      <c r="E43" s="144" t="n">
        <v>624.92</v>
      </c>
      <c r="F43" s="146" t="n">
        <v>2000</v>
      </c>
      <c r="G43" s="146" t="n">
        <v>1249840</v>
      </c>
      <c r="H43" t="inlineStr">
        <is>
          <t>Экспертная оценка</t>
        </is>
      </c>
    </row>
    <row r="44" ht="45" customHeight="1">
      <c r="A44" s="33" t="inlineStr">
        <is>
          <t>2 этап</t>
        </is>
      </c>
      <c r="B44" s="34" t="inlineStr">
        <is>
          <t>2.4.4</t>
        </is>
      </c>
      <c r="C44" s="38" t="inlineStr">
        <is>
          <t xml:space="preserve">Устройство монолитного железобетонного перекрытия  здания АБК: торцевая опалубка, армирование, бетонирование, </t>
        </is>
      </c>
      <c r="D44" s="36" t="inlineStr">
        <is>
          <t>м3</t>
        </is>
      </c>
      <c r="E44" s="144" t="n">
        <v>75.5</v>
      </c>
      <c r="F44" s="146" t="n">
        <v>80000</v>
      </c>
      <c r="G44" s="146" t="n">
        <v>6040000</v>
      </c>
      <c r="H44" t="inlineStr">
        <is>
          <t>ФЕР-2020 × 0.75</t>
        </is>
      </c>
    </row>
    <row r="45" ht="24" customFormat="1" customHeight="1" s="17">
      <c r="A45" s="56" t="n"/>
      <c r="B45" s="36" t="n"/>
      <c r="C45" s="57" t="inlineStr">
        <is>
          <t>ИТОГО 2 ЭТАП</t>
        </is>
      </c>
      <c r="D45" s="151" t="n"/>
      <c r="E45" s="151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  <c r="BX45" s="16" t="n"/>
      <c r="BY45" s="16" t="n"/>
      <c r="BZ45" s="16" t="n"/>
      <c r="CA45" s="16" t="n"/>
      <c r="CB45" s="16" t="n"/>
      <c r="CC45" s="16" t="n"/>
      <c r="CD45" s="16" t="n"/>
      <c r="CE45" s="16" t="n"/>
      <c r="CF45" s="16" t="n"/>
      <c r="CG45" s="16" t="n"/>
      <c r="CH45" s="16" t="n"/>
      <c r="CI45" s="16" t="n"/>
      <c r="CJ45" s="16" t="n"/>
      <c r="CK45" s="16" t="n"/>
      <c r="CL45" s="16" t="n"/>
      <c r="CM45" s="16" t="n"/>
      <c r="CN45" s="16" t="n"/>
      <c r="CO45" s="16" t="n"/>
      <c r="CP45" s="16" t="n"/>
      <c r="CQ45" s="16" t="n"/>
      <c r="CR45" s="16" t="n"/>
      <c r="CS45" s="16" t="n"/>
      <c r="CT45" s="16" t="n"/>
      <c r="CU45" s="16" t="n"/>
      <c r="CV45" s="16" t="n"/>
      <c r="CW45" s="16" t="n"/>
      <c r="CX45" s="16" t="n"/>
      <c r="CY45" s="16" t="n"/>
      <c r="CZ45" s="16" t="n"/>
      <c r="DA45" s="16" t="n"/>
      <c r="DB45" s="16" t="n"/>
      <c r="DC45" s="16" t="n"/>
      <c r="DD45" s="16" t="n"/>
      <c r="DE45" s="16" t="n"/>
      <c r="DF45" s="16" t="n"/>
      <c r="DG45" s="16" t="n"/>
      <c r="DH45" s="16" t="n"/>
      <c r="DI45" s="16" t="n"/>
      <c r="DJ45" s="16" t="n"/>
      <c r="DK45" s="16" t="n"/>
      <c r="DL45" s="16" t="n"/>
      <c r="DM45" s="16" t="n"/>
      <c r="DN45" s="16" t="n"/>
      <c r="DO45" s="16" t="n"/>
      <c r="DP45" s="16" t="n"/>
      <c r="DQ45" s="16" t="n"/>
      <c r="DR45" s="16" t="n"/>
      <c r="DS45" s="16" t="n"/>
      <c r="DT45" s="16" t="n"/>
      <c r="DU45" s="16" t="n"/>
      <c r="DV45" s="16" t="n"/>
      <c r="DW45" s="16" t="n"/>
      <c r="DX45" s="16" t="n"/>
      <c r="DY45" s="16" t="n"/>
      <c r="DZ45" s="16" t="n"/>
      <c r="EA45" s="16" t="n"/>
      <c r="EB45" s="16" t="n"/>
      <c r="EC45" s="16" t="n"/>
      <c r="ED45" s="16" t="n"/>
      <c r="EE45" s="16" t="n"/>
      <c r="EF45" s="16" t="n"/>
      <c r="EG45" s="16" t="n"/>
      <c r="EH45" s="16" t="n"/>
      <c r="EI45" s="16" t="n"/>
      <c r="EJ45" s="16" t="n"/>
      <c r="EK45" s="16" t="n"/>
      <c r="EL45" s="16" t="n"/>
      <c r="EM45" s="16" t="n"/>
      <c r="EN45" s="16" t="n"/>
      <c r="EO45" s="16" t="n"/>
      <c r="EP45" s="16" t="n"/>
      <c r="EQ45" s="16" t="n"/>
      <c r="ER45" s="16" t="n"/>
      <c r="ES45" s="16" t="n"/>
      <c r="ET45" s="16" t="n"/>
      <c r="EU45" s="16" t="n"/>
      <c r="EV45" s="16" t="n"/>
      <c r="EW45" s="16" t="n"/>
      <c r="EX45" s="16" t="n"/>
      <c r="EY45" s="16" t="n"/>
      <c r="EZ45" s="16" t="n"/>
      <c r="FA45" s="16" t="n"/>
      <c r="FB45" s="16" t="n"/>
      <c r="FC45" s="16" t="n"/>
      <c r="FD45" s="16" t="n"/>
      <c r="FE45" s="16" t="n"/>
      <c r="FF45" s="16" t="n"/>
      <c r="FG45" s="16" t="n"/>
      <c r="FH45" s="16" t="n"/>
      <c r="FI45" s="16" t="n"/>
      <c r="FJ45" s="16" t="n"/>
      <c r="FK45" s="16" t="n"/>
      <c r="FL45" s="16" t="n"/>
      <c r="FM45" s="16" t="n"/>
      <c r="FN45" s="16" t="n"/>
      <c r="FO45" s="16" t="n"/>
      <c r="FP45" s="16" t="n"/>
      <c r="FQ45" s="16" t="n"/>
      <c r="FR45" s="16" t="n"/>
      <c r="FS45" s="16" t="n"/>
      <c r="FT45" s="16" t="n"/>
      <c r="FU45" s="16" t="n"/>
      <c r="FV45" s="16" t="n"/>
      <c r="FW45" s="16" t="n"/>
      <c r="FX45" s="16" t="n"/>
      <c r="FY45" s="16" t="n"/>
      <c r="FZ45" s="16" t="n"/>
      <c r="GA45" s="16" t="n"/>
      <c r="GB45" s="16" t="n"/>
      <c r="GC45" s="16" t="n"/>
      <c r="GD45" s="16" t="n"/>
      <c r="GE45" s="16" t="n"/>
      <c r="GF45" s="16" t="n"/>
      <c r="GG45" s="16" t="n"/>
      <c r="GH45" s="16" t="n"/>
      <c r="GI45" s="16" t="n"/>
      <c r="GJ45" s="16" t="n"/>
      <c r="GK45" s="16" t="n"/>
      <c r="GL45" s="16" t="n"/>
      <c r="GM45" s="16" t="n"/>
      <c r="GN45" s="16" t="n"/>
      <c r="GO45" s="16" t="n"/>
      <c r="GP45" s="16" t="n"/>
      <c r="GQ45" s="16" t="n"/>
      <c r="GR45" s="16" t="n"/>
      <c r="GS45" s="16" t="n"/>
      <c r="GT45" s="16" t="n"/>
      <c r="GU45" s="16" t="n"/>
      <c r="GV45" s="16" t="n"/>
      <c r="GW45" s="16" t="n"/>
      <c r="GX45" s="16" t="n"/>
      <c r="GY45" s="16" t="n"/>
      <c r="GZ45" s="16" t="n"/>
      <c r="HA45" s="16" t="n"/>
      <c r="HB45" s="16" t="n"/>
      <c r="HC45" s="16" t="n"/>
      <c r="HD45" s="16" t="n"/>
      <c r="HE45" s="16" t="n"/>
      <c r="HF45" s="16" t="n"/>
      <c r="HG45" s="16" t="n"/>
      <c r="HH45" s="16" t="n"/>
      <c r="HI45" s="16" t="n"/>
      <c r="HJ45" s="16" t="n"/>
      <c r="HK45" s="16" t="n"/>
      <c r="HL45" s="16" t="n"/>
    </row>
    <row r="46" ht="21" customFormat="1" customHeight="1" s="19">
      <c r="A46" s="59" t="inlineStr">
        <is>
          <t>3 этап</t>
        </is>
      </c>
      <c r="B46" s="39" t="n">
        <v>3</v>
      </c>
      <c r="C46" s="23" t="inlineStr">
        <is>
          <t xml:space="preserve"> 3 ЭТАП</t>
        </is>
      </c>
      <c r="D46" s="138" t="n"/>
      <c r="E46" s="13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</row>
    <row r="47" ht="31.8" customFormat="1" customHeight="1" s="5">
      <c r="A47" s="26" t="inlineStr">
        <is>
          <t>3 этап</t>
        </is>
      </c>
      <c r="B47" s="27" t="inlineStr">
        <is>
          <t>3.1</t>
        </is>
      </c>
      <c r="C47" s="60" t="inlineStr">
        <is>
          <t>М/каркас 2-го и последующих этажей зданий Общежития и АБК</t>
        </is>
      </c>
      <c r="D47" s="54" t="n"/>
      <c r="E47" s="142" t="n"/>
    </row>
    <row r="48" ht="14.4" customFormat="1" customHeight="1" s="5">
      <c r="A48" s="33" t="inlineStr">
        <is>
          <t>3 этап</t>
        </is>
      </c>
      <c r="B48" s="50" t="n"/>
      <c r="C48" s="53" t="inlineStr">
        <is>
          <t xml:space="preserve">Металлический каракас 2 и 3 эт. здание Общежития </t>
        </is>
      </c>
      <c r="D48" s="142" t="n"/>
      <c r="E48" s="142" t="n"/>
    </row>
    <row r="49" ht="48.6" customFormat="1" customHeight="1" s="5">
      <c r="A49" s="33" t="inlineStr">
        <is>
          <t>3 этап</t>
        </is>
      </c>
      <c r="B49" s="34" t="inlineStr">
        <is>
          <t>3.1.1</t>
        </is>
      </c>
      <c r="C49" s="38" t="inlineStr">
        <is>
          <t xml:space="preserve">Устройство металлического каркаса 2-го и 3-го  этажа здания Общежития: изготовление, поставка на объект, монтаж  металлических конструкций, грунтовка ГФ-021
</t>
        </is>
      </c>
      <c r="D49" s="36" t="inlineStr">
        <is>
          <t>тн</t>
        </is>
      </c>
      <c r="E49" s="144">
        <f>206.944-E35</f>
        <v/>
      </c>
    </row>
    <row r="50" ht="46.8" customFormat="1" customHeight="1" s="5">
      <c r="A50" s="33" t="inlineStr">
        <is>
          <t>3 этап</t>
        </is>
      </c>
      <c r="B50" s="34" t="inlineStr">
        <is>
          <t>3.1.2</t>
        </is>
      </c>
      <c r="C50" s="35" t="inlineStr">
        <is>
          <t xml:space="preserve">Изготовление, поставка на объект, монтаж  металлических конструкций лестниц для здания Общежития, грунтовка ГФ-021
</t>
        </is>
      </c>
      <c r="D50" s="36" t="inlineStr">
        <is>
          <t>тн</t>
        </is>
      </c>
      <c r="E50" s="144" t="n">
        <v>2.414</v>
      </c>
      <c r="F50" s="146" t="n">
        <v>800</v>
      </c>
      <c r="G50" s="146" t="n">
        <v>1931.2</v>
      </c>
      <c r="H50" t="inlineStr">
        <is>
          <t>ФЕР-2020 × 0.75</t>
        </is>
      </c>
    </row>
    <row r="51" ht="14.4" customFormat="1" customHeight="1" s="5">
      <c r="A51" s="33" t="inlineStr">
        <is>
          <t>3 этап</t>
        </is>
      </c>
      <c r="B51" s="34" t="n"/>
      <c r="C51" s="53" t="inlineStr">
        <is>
          <t>Металлический каракас 2 эт. здание АБК</t>
        </is>
      </c>
      <c r="D51" s="54" t="n"/>
      <c r="E51" s="142" t="n"/>
    </row>
    <row r="52" ht="48.6" customFormat="1" customHeight="1" s="5">
      <c r="A52" s="33" t="inlineStr">
        <is>
          <t>3 этап</t>
        </is>
      </c>
      <c r="B52" s="34" t="inlineStr">
        <is>
          <t>3.1.3</t>
        </is>
      </c>
      <c r="C52" s="35" t="inlineStr">
        <is>
          <t xml:space="preserve">Устройство металлического каркаса 2-го этажа здания АБК: изготовление, поставка на объект, монтаж  металлических конструкций, покраска  грунтовкой ГФ-021
</t>
        </is>
      </c>
      <c r="D52" s="36" t="inlineStr">
        <is>
          <t>тн</t>
        </is>
      </c>
      <c r="E52" s="144" t="n">
        <v>54.85</v>
      </c>
      <c r="F52" s="146" t="n">
        <v>40000</v>
      </c>
      <c r="G52" s="146" t="n">
        <v>2194000</v>
      </c>
      <c r="H52" t="inlineStr">
        <is>
          <t>ФЕР-2020 × 0.75</t>
        </is>
      </c>
    </row>
    <row r="53" ht="45.6" customFormat="1" customHeight="1" s="5">
      <c r="A53" s="33" t="inlineStr">
        <is>
          <t>3 этап</t>
        </is>
      </c>
      <c r="B53" s="34" t="inlineStr">
        <is>
          <t>3.1.4</t>
        </is>
      </c>
      <c r="C53" s="35" t="inlineStr">
        <is>
          <t xml:space="preserve">Изготовление, поставка на объект, монтаж  металлических конструкций лестниц для здания АБК, покраска  грунтовкой ГФ-021
</t>
        </is>
      </c>
      <c r="D53" s="36" t="inlineStr">
        <is>
          <t>тн</t>
        </is>
      </c>
      <c r="E53" s="144" t="n">
        <v>0.959</v>
      </c>
      <c r="F53" s="146" t="n">
        <v>800</v>
      </c>
      <c r="G53" s="146" t="n">
        <v>767.2</v>
      </c>
      <c r="H53" t="inlineStr">
        <is>
          <t>ФЕР-2020 × 0.75</t>
        </is>
      </c>
    </row>
    <row r="54" ht="14.4" customFormat="1" customHeight="1" s="5">
      <c r="A54" s="33" t="inlineStr">
        <is>
          <t>3 этап</t>
        </is>
      </c>
      <c r="B54" s="34" t="n"/>
      <c r="C54" s="53" t="inlineStr">
        <is>
          <t>Металлический каракас переходная Галерея</t>
        </is>
      </c>
      <c r="D54" s="54" t="n"/>
      <c r="E54" s="142" t="n"/>
    </row>
    <row r="55" ht="48.6" customFormat="1" customHeight="1" s="5">
      <c r="A55" s="61" t="inlineStr">
        <is>
          <t>3 этап</t>
        </is>
      </c>
      <c r="B55" s="34" t="inlineStr">
        <is>
          <t>3.1.5</t>
        </is>
      </c>
      <c r="C55" s="38" t="inlineStr">
        <is>
          <t xml:space="preserve">Устройство металлического каркаса переходной Галереи: изготовление, поставка на объект, монтаж  металлических конструкций, покраска  грунтовкой ГФ-021
</t>
        </is>
      </c>
      <c r="D55" s="36" t="inlineStr">
        <is>
          <t>тн</t>
        </is>
      </c>
      <c r="E55" s="144" t="n">
        <v>6.996</v>
      </c>
      <c r="F55" s="146" t="n">
        <v>40000</v>
      </c>
      <c r="G55" s="146" t="n">
        <v>279840</v>
      </c>
      <c r="H55" t="inlineStr">
        <is>
          <t>ФЕР-2020 × 0.75</t>
        </is>
      </c>
    </row>
    <row r="56" ht="28.8" customFormat="1" customHeight="1" s="5">
      <c r="A56" s="33" t="inlineStr">
        <is>
          <t>3 этап</t>
        </is>
      </c>
      <c r="B56" s="27" t="inlineStr">
        <is>
          <t>3.2</t>
        </is>
      </c>
      <c r="C56" s="60" t="inlineStr">
        <is>
          <t>Перекрытия 2-го и последующих этажей зданий Общежития и АБК</t>
        </is>
      </c>
      <c r="D56" s="54" t="n"/>
      <c r="E56" s="142" t="n"/>
    </row>
    <row r="57" ht="28.8" customFormat="1" customHeight="1" s="5">
      <c r="A57" s="33" t="inlineStr">
        <is>
          <t>3 этап</t>
        </is>
      </c>
      <c r="B57" s="50" t="n"/>
      <c r="C57" s="53" t="inlineStr">
        <is>
          <t>Перекрытие 2 и 3 эт. здание Общежития отм. +6.590; +9.930</t>
        </is>
      </c>
      <c r="D57" s="54" t="n"/>
      <c r="E57" s="142" t="n"/>
    </row>
    <row r="58" ht="27.6" customFormat="1" customHeight="1" s="5">
      <c r="A58" s="33" t="inlineStr">
        <is>
          <t>3 этап</t>
        </is>
      </c>
      <c r="B58" s="50" t="inlineStr">
        <is>
          <t>3.2.1</t>
        </is>
      </c>
      <c r="C58" s="35" t="inlineStr">
        <is>
          <t>Устройство несъемной опалубки из профлиста Н-60-845 (ОЦ-01-БЦ) 0,8мм</t>
        </is>
      </c>
      <c r="D58" s="36" t="inlineStr">
        <is>
          <t>м2</t>
        </is>
      </c>
      <c r="E58" s="144" t="n">
        <v>1775.82</v>
      </c>
      <c r="F58" s="146" t="n">
        <v>2000</v>
      </c>
      <c r="G58" s="146" t="n">
        <v>3551640</v>
      </c>
      <c r="H58" t="inlineStr">
        <is>
          <t>Экспертная оценка</t>
        </is>
      </c>
    </row>
    <row r="59" ht="41.4" customFormat="1" customHeight="1" s="5">
      <c r="A59" s="33" t="inlineStr">
        <is>
          <t>3 этап</t>
        </is>
      </c>
      <c r="B59" s="50" t="inlineStr">
        <is>
          <t>3.2.2</t>
        </is>
      </c>
      <c r="C59" s="35" t="inlineStr">
        <is>
          <t xml:space="preserve">Устройство монолитного железобетонного перекрытия  здания Общежития: торцевая опалубка, армирование, бетонирование, </t>
        </is>
      </c>
      <c r="D59" s="36" t="inlineStr">
        <is>
          <t>м3</t>
        </is>
      </c>
      <c r="E59" s="144" t="n">
        <v>208.6</v>
      </c>
      <c r="F59" s="146" t="n">
        <v>80000</v>
      </c>
      <c r="G59" s="146" t="n">
        <v>16688000</v>
      </c>
      <c r="H59" t="inlineStr">
        <is>
          <t>ФЕР-2020 × 0.75</t>
        </is>
      </c>
    </row>
    <row r="60" ht="14.4" customFormat="1" customHeight="1" s="5">
      <c r="A60" s="33" t="inlineStr">
        <is>
          <t>3 этап</t>
        </is>
      </c>
      <c r="B60" s="50" t="n"/>
      <c r="C60" s="53" t="inlineStr">
        <is>
          <t>Перекрытие 2 эт. здание АБК отм.+7.810</t>
        </is>
      </c>
      <c r="D60" s="54" t="n"/>
      <c r="E60" s="142" t="n"/>
    </row>
    <row r="61" ht="27.6" customFormat="1" customHeight="1" s="5">
      <c r="A61" s="33" t="inlineStr">
        <is>
          <t>3 этап</t>
        </is>
      </c>
      <c r="B61" s="50" t="inlineStr">
        <is>
          <t>3.2.3</t>
        </is>
      </c>
      <c r="C61" s="35" t="inlineStr">
        <is>
          <t>Устройство несъемной опалубки из профлиста Н-60-845 (ОЦ-01-БЦ) 0,8мм</t>
        </is>
      </c>
      <c r="D61" s="36" t="inlineStr">
        <is>
          <t>м2</t>
        </is>
      </c>
      <c r="E61" s="144" t="n">
        <v>651.58</v>
      </c>
      <c r="F61" s="146" t="n">
        <v>2000</v>
      </c>
      <c r="G61" s="146" t="n">
        <v>1303160</v>
      </c>
      <c r="H61" t="inlineStr">
        <is>
          <t>Экспертная оценка</t>
        </is>
      </c>
    </row>
    <row r="62" ht="41.4" customFormat="1" customHeight="1" s="5">
      <c r="A62" s="33" t="inlineStr">
        <is>
          <t>3 этап</t>
        </is>
      </c>
      <c r="B62" s="50" t="inlineStr">
        <is>
          <t>3.2.4</t>
        </is>
      </c>
      <c r="C62" s="35" t="inlineStr">
        <is>
          <t xml:space="preserve">Устройство монолитного железобетонного перекрытия  здания АБК: торцевая опалубка, армирование, бетонирование, </t>
        </is>
      </c>
      <c r="D62" s="36" t="inlineStr">
        <is>
          <t>м3</t>
        </is>
      </c>
      <c r="E62" s="144" t="n">
        <v>79.3</v>
      </c>
      <c r="F62" s="146" t="n">
        <v>80000</v>
      </c>
      <c r="G62" s="146" t="n">
        <v>6344000</v>
      </c>
      <c r="H62" t="inlineStr">
        <is>
          <t>ФЕР-2020 × 0.75</t>
        </is>
      </c>
    </row>
    <row r="63" ht="16.2" customFormat="1" customHeight="1" s="5">
      <c r="A63" s="33" t="inlineStr">
        <is>
          <t>3 этап</t>
        </is>
      </c>
      <c r="B63" s="50" t="n"/>
      <c r="C63" s="53" t="inlineStr">
        <is>
          <t>Перекрытие (полы) здание Галереи отм.+3.260</t>
        </is>
      </c>
      <c r="D63" s="54" t="n"/>
      <c r="E63" s="142" t="n"/>
    </row>
    <row r="64" ht="29.4" customFormat="1" customHeight="1" s="5">
      <c r="A64" s="33" t="inlineStr">
        <is>
          <t>3 этап</t>
        </is>
      </c>
      <c r="B64" s="50" t="inlineStr">
        <is>
          <t>3.2.5</t>
        </is>
      </c>
      <c r="C64" s="35" t="inlineStr">
        <is>
          <t>Устройство несъемной опалубки из профлиста Н-60-845 (ОЦ-01-БЦ) 0,8мм</t>
        </is>
      </c>
      <c r="D64" s="36" t="inlineStr">
        <is>
          <t>м2</t>
        </is>
      </c>
      <c r="E64" s="144" t="n">
        <v>23.9</v>
      </c>
      <c r="F64" s="146" t="n">
        <v>2000</v>
      </c>
      <c r="G64" s="146" t="n">
        <v>47800</v>
      </c>
      <c r="H64" t="inlineStr">
        <is>
          <t>Экспертная оценка</t>
        </is>
      </c>
    </row>
    <row r="65" ht="46.8" customFormat="1" customHeight="1" s="5">
      <c r="A65" s="33" t="inlineStr">
        <is>
          <t>3 этап</t>
        </is>
      </c>
      <c r="B65" s="50" t="inlineStr">
        <is>
          <t>3.2.6</t>
        </is>
      </c>
      <c r="C65" s="35" t="inlineStr">
        <is>
          <t>Устройство монолитного железобетонного перекрытия  переходгой Галереи: торцевая опалубка, армирование, бетонирование</t>
        </is>
      </c>
      <c r="D65" s="36" t="inlineStr">
        <is>
          <t>м3</t>
        </is>
      </c>
      <c r="E65" s="144" t="n">
        <v>2.8</v>
      </c>
      <c r="F65" s="146" t="n">
        <v>80000</v>
      </c>
      <c r="G65" s="146" t="n">
        <v>224000</v>
      </c>
      <c r="H65" t="inlineStr">
        <is>
          <t>ФЕР-2020 × 0.75</t>
        </is>
      </c>
    </row>
    <row r="66" ht="25.2" customFormat="1" customHeight="1" s="7">
      <c r="A66" s="56" t="inlineStr">
        <is>
          <t>3 этап</t>
        </is>
      </c>
      <c r="B66" s="36" t="n"/>
      <c r="C66" s="57" t="inlineStr">
        <is>
          <t>ИТОГО 3 ЭТАП</t>
        </is>
      </c>
      <c r="D66" s="151" t="n"/>
      <c r="E66" s="151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  <c r="CW66" s="6" t="n"/>
      <c r="CX66" s="6" t="n"/>
      <c r="CY66" s="6" t="n"/>
      <c r="CZ66" s="6" t="n"/>
      <c r="DA66" s="6" t="n"/>
      <c r="DB66" s="6" t="n"/>
      <c r="DC66" s="6" t="n"/>
      <c r="DD66" s="6" t="n"/>
      <c r="DE66" s="6" t="n"/>
      <c r="DF66" s="6" t="n"/>
      <c r="DG66" s="6" t="n"/>
      <c r="DH66" s="6" t="n"/>
      <c r="DI66" s="6" t="n"/>
      <c r="DJ66" s="6" t="n"/>
      <c r="DK66" s="6" t="n"/>
      <c r="DL66" s="6" t="n"/>
      <c r="DM66" s="6" t="n"/>
      <c r="DN66" s="6" t="n"/>
      <c r="DO66" s="6" t="n"/>
      <c r="DP66" s="6" t="n"/>
      <c r="DQ66" s="6" t="n"/>
      <c r="DR66" s="6" t="n"/>
      <c r="DS66" s="6" t="n"/>
      <c r="DT66" s="6" t="n"/>
      <c r="DU66" s="6" t="n"/>
      <c r="DV66" s="6" t="n"/>
      <c r="DW66" s="6" t="n"/>
      <c r="DX66" s="6" t="n"/>
      <c r="DY66" s="6" t="n"/>
      <c r="DZ66" s="6" t="n"/>
      <c r="EA66" s="6" t="n"/>
      <c r="EB66" s="6" t="n"/>
      <c r="EC66" s="6" t="n"/>
      <c r="ED66" s="6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Q66" s="6" t="n"/>
      <c r="GR66" s="6" t="n"/>
      <c r="GS66" s="6" t="n"/>
      <c r="GT66" s="6" t="n"/>
      <c r="GU66" s="6" t="n"/>
      <c r="GV66" s="6" t="n"/>
      <c r="GW66" s="6" t="n"/>
      <c r="GX66" s="6" t="n"/>
      <c r="GY66" s="6" t="n"/>
      <c r="GZ66" s="6" t="n"/>
      <c r="HA66" s="6" t="n"/>
      <c r="HB66" s="6" t="n"/>
      <c r="HC66" s="6" t="n"/>
      <c r="HD66" s="6" t="n"/>
      <c r="HE66" s="6" t="n"/>
      <c r="HF66" s="6" t="n"/>
      <c r="HG66" s="6" t="n"/>
      <c r="HH66" s="6" t="n"/>
      <c r="HI66" s="6" t="n"/>
      <c r="HJ66" s="6" t="n"/>
      <c r="HK66" s="6" t="n"/>
      <c r="HL66" s="6" t="n"/>
    </row>
    <row r="67" customFormat="1" s="2">
      <c r="A67" s="62" t="inlineStr">
        <is>
          <t>4 этап</t>
        </is>
      </c>
      <c r="B67" s="63" t="n">
        <v>4</v>
      </c>
      <c r="C67" s="64" t="inlineStr">
        <is>
          <t xml:space="preserve"> 4 ЭТАП</t>
        </is>
      </c>
      <c r="D67" s="152" t="n"/>
      <c r="E67" s="152" t="n"/>
      <c r="F67" s="136" t="n"/>
      <c r="G67" s="136" t="n"/>
      <c r="H67" s="136" t="n"/>
      <c r="I67" s="136" t="n"/>
      <c r="J67" s="136" t="n"/>
      <c r="K67" s="136" t="n"/>
      <c r="L67" s="136" t="n"/>
      <c r="M67" s="136" t="n"/>
      <c r="N67" s="136" t="n"/>
      <c r="O67" s="136" t="n"/>
      <c r="P67" s="136" t="n"/>
      <c r="Q67" s="136" t="n"/>
      <c r="R67" s="136" t="n"/>
      <c r="S67" s="136" t="n"/>
      <c r="T67" s="136" t="n"/>
      <c r="U67" s="136" t="n"/>
      <c r="V67" s="136" t="n"/>
      <c r="W67" s="136" t="n"/>
      <c r="X67" s="136" t="n"/>
      <c r="Y67" s="136" t="n"/>
      <c r="Z67" s="136" t="n"/>
      <c r="AA67" s="136" t="n"/>
      <c r="AB67" s="136" t="n"/>
      <c r="AC67" s="136" t="n"/>
      <c r="AD67" s="136" t="n"/>
      <c r="AE67" s="136" t="n"/>
      <c r="AF67" s="136" t="n"/>
      <c r="AG67" s="136" t="n"/>
      <c r="AH67" s="136" t="n"/>
      <c r="AI67" s="136" t="n"/>
      <c r="AJ67" s="136" t="n"/>
      <c r="AK67" s="136" t="n"/>
      <c r="AL67" s="136" t="n"/>
      <c r="AM67" s="136" t="n"/>
      <c r="AN67" s="136" t="n"/>
      <c r="AO67" s="136" t="n"/>
      <c r="AP67" s="136" t="n"/>
      <c r="AQ67" s="136" t="n"/>
      <c r="AR67" s="136" t="n"/>
      <c r="AS67" s="136" t="n"/>
      <c r="AT67" s="136" t="n"/>
      <c r="AU67" s="136" t="n"/>
      <c r="AV67" s="136" t="n"/>
      <c r="AW67" s="136" t="n"/>
      <c r="AX67" s="136" t="n"/>
      <c r="AY67" s="136" t="n"/>
      <c r="AZ67" s="136" t="n"/>
      <c r="BA67" s="136" t="n"/>
      <c r="BB67" s="136" t="n"/>
      <c r="BC67" s="136" t="n"/>
      <c r="BD67" s="136" t="n"/>
      <c r="BE67" s="136" t="n"/>
      <c r="BF67" s="136" t="n"/>
      <c r="BG67" s="136" t="n"/>
      <c r="BH67" s="136" t="n"/>
      <c r="BI67" s="136" t="n"/>
      <c r="BJ67" s="136" t="n"/>
      <c r="BK67" s="136" t="n"/>
      <c r="BL67" s="136" t="n"/>
      <c r="BM67" s="136" t="n"/>
      <c r="BN67" s="136" t="n"/>
      <c r="BO67" s="136" t="n"/>
      <c r="BP67" s="136" t="n"/>
      <c r="BQ67" s="136" t="n"/>
      <c r="BR67" s="136" t="n"/>
      <c r="BS67" s="136" t="n"/>
      <c r="BT67" s="136" t="n"/>
      <c r="BU67" s="136" t="n"/>
      <c r="BV67" s="136" t="n"/>
      <c r="BW67" s="136" t="n"/>
      <c r="BX67" s="136" t="n"/>
      <c r="BY67" s="136" t="n"/>
      <c r="BZ67" s="136" t="n"/>
      <c r="CA67" s="136" t="n"/>
      <c r="CB67" s="136" t="n"/>
      <c r="CC67" s="136" t="n"/>
      <c r="CD67" s="136" t="n"/>
      <c r="CE67" s="136" t="n"/>
      <c r="CF67" s="136" t="n"/>
      <c r="CG67" s="136" t="n"/>
      <c r="CH67" s="136" t="n"/>
      <c r="CI67" s="136" t="n"/>
      <c r="CJ67" s="136" t="n"/>
      <c r="CK67" s="136" t="n"/>
      <c r="CL67" s="136" t="n"/>
      <c r="CM67" s="136" t="n"/>
      <c r="CN67" s="136" t="n"/>
      <c r="CO67" s="136" t="n"/>
      <c r="CP67" s="136" t="n"/>
      <c r="CQ67" s="136" t="n"/>
      <c r="CR67" s="136" t="n"/>
      <c r="CS67" s="136" t="n"/>
      <c r="CT67" s="136" t="n"/>
      <c r="CU67" s="136" t="n"/>
      <c r="CV67" s="136" t="n"/>
      <c r="CW67" s="136" t="n"/>
      <c r="CX67" s="136" t="n"/>
      <c r="CY67" s="136" t="n"/>
      <c r="CZ67" s="136" t="n"/>
      <c r="DA67" s="136" t="n"/>
      <c r="DB67" s="136" t="n"/>
      <c r="DC67" s="136" t="n"/>
      <c r="DD67" s="136" t="n"/>
      <c r="DE67" s="136" t="n"/>
      <c r="DF67" s="136" t="n"/>
      <c r="DG67" s="136" t="n"/>
      <c r="DH67" s="136" t="n"/>
      <c r="DI67" s="136" t="n"/>
      <c r="DJ67" s="136" t="n"/>
      <c r="DK67" s="136" t="n"/>
      <c r="DL67" s="136" t="n"/>
      <c r="DM67" s="136" t="n"/>
      <c r="DN67" s="136" t="n"/>
      <c r="DO67" s="136" t="n"/>
      <c r="DP67" s="136" t="n"/>
      <c r="DQ67" s="136" t="n"/>
      <c r="DR67" s="136" t="n"/>
      <c r="DS67" s="136" t="n"/>
      <c r="DT67" s="136" t="n"/>
      <c r="DU67" s="136" t="n"/>
      <c r="DV67" s="136" t="n"/>
      <c r="DW67" s="136" t="n"/>
      <c r="DX67" s="136" t="n"/>
      <c r="DY67" s="136" t="n"/>
      <c r="DZ67" s="136" t="n"/>
      <c r="EA67" s="136" t="n"/>
      <c r="EB67" s="136" t="n"/>
      <c r="EC67" s="136" t="n"/>
      <c r="ED67" s="136" t="n"/>
      <c r="EE67" s="136" t="n"/>
      <c r="EF67" s="136" t="n"/>
      <c r="EG67" s="136" t="n"/>
      <c r="EH67" s="136" t="n"/>
      <c r="EI67" s="136" t="n"/>
      <c r="EJ67" s="136" t="n"/>
      <c r="EK67" s="136" t="n"/>
      <c r="EL67" s="136" t="n"/>
      <c r="EM67" s="136" t="n"/>
      <c r="EN67" s="136" t="n"/>
      <c r="EO67" s="136" t="n"/>
      <c r="EP67" s="136" t="n"/>
      <c r="EQ67" s="136" t="n"/>
      <c r="ER67" s="136" t="n"/>
      <c r="ES67" s="136" t="n"/>
      <c r="ET67" s="136" t="n"/>
      <c r="EU67" s="136" t="n"/>
      <c r="EV67" s="136" t="n"/>
      <c r="EW67" s="136" t="n"/>
      <c r="EX67" s="136" t="n"/>
      <c r="EY67" s="136" t="n"/>
      <c r="EZ67" s="136" t="n"/>
      <c r="FA67" s="136" t="n"/>
      <c r="FB67" s="136" t="n"/>
      <c r="FC67" s="136" t="n"/>
      <c r="FD67" s="136" t="n"/>
      <c r="FE67" s="136" t="n"/>
      <c r="FF67" s="136" t="n"/>
      <c r="FG67" s="136" t="n"/>
      <c r="FH67" s="136" t="n"/>
      <c r="FI67" s="136" t="n"/>
      <c r="FJ67" s="136" t="n"/>
      <c r="FK67" s="136" t="n"/>
      <c r="FL67" s="136" t="n"/>
      <c r="FM67" s="136" t="n"/>
      <c r="FN67" s="136" t="n"/>
      <c r="FO67" s="136" t="n"/>
      <c r="FP67" s="136" t="n"/>
      <c r="FQ67" s="136" t="n"/>
      <c r="FR67" s="136" t="n"/>
      <c r="FS67" s="136" t="n"/>
      <c r="FT67" s="136" t="n"/>
      <c r="FU67" s="136" t="n"/>
      <c r="FV67" s="136" t="n"/>
      <c r="FW67" s="136" t="n"/>
      <c r="FX67" s="136" t="n"/>
      <c r="FY67" s="136" t="n"/>
      <c r="FZ67" s="136" t="n"/>
      <c r="GA67" s="136" t="n"/>
      <c r="GB67" s="136" t="n"/>
      <c r="GC67" s="136" t="n"/>
      <c r="GD67" s="136" t="n"/>
      <c r="GE67" s="136" t="n"/>
      <c r="GF67" s="136" t="n"/>
      <c r="GG67" s="136" t="n"/>
      <c r="GH67" s="136" t="n"/>
      <c r="GI67" s="136" t="n"/>
      <c r="GJ67" s="136" t="n"/>
      <c r="GK67" s="136" t="n"/>
      <c r="GL67" s="136" t="n"/>
      <c r="GM67" s="136" t="n"/>
      <c r="GN67" s="136" t="n"/>
      <c r="GO67" s="136" t="n"/>
      <c r="GP67" s="136" t="n"/>
      <c r="GQ67" s="136" t="n"/>
      <c r="GR67" s="136" t="n"/>
      <c r="GS67" s="136" t="n"/>
      <c r="GT67" s="136" t="n"/>
      <c r="GU67" s="136" t="n"/>
      <c r="GV67" s="136" t="n"/>
      <c r="GW67" s="136" t="n"/>
      <c r="GX67" s="136" t="n"/>
      <c r="GY67" s="136" t="n"/>
      <c r="GZ67" s="136" t="n"/>
      <c r="HA67" s="136" t="n"/>
      <c r="HB67" s="136" t="n"/>
      <c r="HC67" s="136" t="n"/>
      <c r="HD67" s="136" t="n"/>
      <c r="HE67" s="136" t="n"/>
      <c r="HF67" s="136" t="n"/>
      <c r="HG67" s="136" t="n"/>
      <c r="HH67" s="136" t="n"/>
      <c r="HI67" s="136" t="n"/>
      <c r="HJ67" s="136" t="n"/>
      <c r="HK67" s="136" t="n"/>
      <c r="HL67" s="136" t="n"/>
    </row>
    <row r="68" ht="14.4" customFormat="1" customHeight="1" s="5">
      <c r="A68" s="49" t="inlineStr">
        <is>
          <t>4 этап</t>
        </is>
      </c>
      <c r="B68" s="50" t="inlineStr">
        <is>
          <t>4.1</t>
        </is>
      </c>
      <c r="C68" s="66" t="inlineStr">
        <is>
          <t>Ограждающие конструкции</t>
        </is>
      </c>
      <c r="D68" s="153" t="n"/>
      <c r="E68" s="153" t="n"/>
    </row>
    <row r="69" ht="14.4" customFormat="1" customHeight="1" s="5">
      <c r="A69" s="33" t="inlineStr">
        <is>
          <t>4 этап</t>
        </is>
      </c>
      <c r="B69" s="50" t="n"/>
      <c r="C69" s="53" t="inlineStr">
        <is>
          <t>Ограждающие конструкции здания Общежития</t>
        </is>
      </c>
      <c r="D69" s="142" t="n"/>
      <c r="E69" s="142" t="n"/>
    </row>
    <row r="70" ht="34.8" customFormat="1" customHeight="1" s="5">
      <c r="A70" s="33" t="inlineStr">
        <is>
          <t>4 этап</t>
        </is>
      </c>
      <c r="B70" s="34" t="inlineStr">
        <is>
          <t>4.1.1</t>
        </is>
      </c>
      <c r="C70" s="38" t="inlineStr">
        <is>
          <t xml:space="preserve">Изготовление, поставка, погрузо-разгрузочные работы, монтаж сэндвич-панелей для фасадов здания Общежития 
</t>
        </is>
      </c>
      <c r="D70" s="36" t="inlineStr">
        <is>
          <t>м2</t>
        </is>
      </c>
      <c r="E70" s="144" t="n">
        <v>1258.8</v>
      </c>
      <c r="F70" s="146" t="n">
        <v>4500</v>
      </c>
      <c r="G70" s="146" t="n">
        <v>5664600</v>
      </c>
      <c r="H70" t="inlineStr">
        <is>
          <t>ФЕР-2020 × 0.75</t>
        </is>
      </c>
    </row>
    <row r="71" ht="63" customFormat="1" customHeight="1" s="5">
      <c r="A71" s="33" t="inlineStr">
        <is>
          <t>4 этап</t>
        </is>
      </c>
      <c r="B71" s="34" t="inlineStr">
        <is>
          <t>4.1.2</t>
        </is>
      </c>
      <c r="C71" s="38" t="inlineStr">
        <is>
          <t xml:space="preserve">Изготовление, поставка, монтаж фасонных элементов для фасадов здания Общежития: нащельники и угловые фасонные элементы для сэндвич-панелей, наружные обрамления проемов, цокольные отливы
</t>
        </is>
      </c>
      <c r="D71" s="36" t="inlineStr">
        <is>
          <t>п.м.</t>
        </is>
      </c>
      <c r="E71" s="144" t="n">
        <v>955.34</v>
      </c>
      <c r="F71" s="146" t="n">
        <v>4500</v>
      </c>
      <c r="G71" s="146" t="n">
        <v>4299030</v>
      </c>
      <c r="H71" t="inlineStr">
        <is>
          <t>ФЕР-2020 × 0.75</t>
        </is>
      </c>
    </row>
    <row r="72" ht="14.4" customFormat="1" customHeight="1" s="5">
      <c r="A72" s="33" t="inlineStr">
        <is>
          <t>4 этап</t>
        </is>
      </c>
      <c r="B72" s="50" t="n"/>
      <c r="C72" s="53" t="inlineStr">
        <is>
          <t>Ограждающие конструкции здания АБК</t>
        </is>
      </c>
      <c r="D72" s="54" t="n"/>
      <c r="E72" s="142" t="n"/>
    </row>
    <row r="73" ht="43.2" customFormat="1" customHeight="1" s="5">
      <c r="A73" s="33" t="inlineStr">
        <is>
          <t>4 этап</t>
        </is>
      </c>
      <c r="B73" s="34" t="inlineStr">
        <is>
          <t>4.1.3</t>
        </is>
      </c>
      <c r="C73" s="38" t="inlineStr">
        <is>
          <t xml:space="preserve">Изготовление, поставка, погрузо-разгрузочные работы, монтаж сэндвич-панелей для фасадов здания АБК, в т.ч. герметик, метизы, уплотнительныая лента 
</t>
        </is>
      </c>
      <c r="D73" s="36" t="inlineStr">
        <is>
          <t>м2</t>
        </is>
      </c>
      <c r="E73" s="144" t="n">
        <v>864.13</v>
      </c>
      <c r="F73" s="146" t="n">
        <v>4500</v>
      </c>
      <c r="G73" s="146" t="n">
        <v>3888585</v>
      </c>
      <c r="H73" t="inlineStr">
        <is>
          <t>ФЕР-2020 × 0.75</t>
        </is>
      </c>
    </row>
    <row r="74" ht="57" customFormat="1" customHeight="1" s="5">
      <c r="A74" s="33" t="inlineStr">
        <is>
          <t>4 этап</t>
        </is>
      </c>
      <c r="B74" s="34" t="inlineStr">
        <is>
          <t>4.1.4</t>
        </is>
      </c>
      <c r="C74" s="38" t="inlineStr">
        <is>
          <t xml:space="preserve">Изготовление, поставка, монтаж фасонных элементов для фасадов здания АБК: нащельники и угловые фасонные элементы для сэндвич-панелей, наружные обрамления проемов, цокольные отливы
</t>
        </is>
      </c>
      <c r="D74" s="36" t="inlineStr">
        <is>
          <t>п.м.</t>
        </is>
      </c>
      <c r="E74" s="144" t="n">
        <v>645</v>
      </c>
      <c r="F74" s="146" t="n">
        <v>4500</v>
      </c>
      <c r="G74" s="146" t="n">
        <v>2902500</v>
      </c>
      <c r="H74" t="inlineStr">
        <is>
          <t>ФЕР-2020 × 0.75</t>
        </is>
      </c>
    </row>
    <row r="75" ht="14.4" customFormat="1" customHeight="1" s="5">
      <c r="A75" s="33" t="inlineStr">
        <is>
          <t>4 этап</t>
        </is>
      </c>
      <c r="B75" s="50" t="n"/>
      <c r="C75" s="53" t="inlineStr">
        <is>
          <t>Ограждающие конструкции переходной Галереи</t>
        </is>
      </c>
      <c r="D75" s="54" t="n"/>
      <c r="E75" s="142" t="n"/>
    </row>
    <row r="76" ht="33.6" customFormat="1" customHeight="1" s="5">
      <c r="A76" s="33" t="inlineStr">
        <is>
          <t>4 этап</t>
        </is>
      </c>
      <c r="B76" s="34" t="inlineStr">
        <is>
          <t>4.1.5</t>
        </is>
      </c>
      <c r="C76" s="38" t="inlineStr">
        <is>
          <t xml:space="preserve">Изготовление, поставка, погрузо-разгрузочные работы, монтаж сэндвич-панелей для фасадов переходной галереи 
</t>
        </is>
      </c>
      <c r="D76" s="36" t="inlineStr">
        <is>
          <t>м2</t>
        </is>
      </c>
      <c r="E76" s="144" t="n">
        <v>47.66</v>
      </c>
      <c r="F76" s="146" t="n">
        <v>4500</v>
      </c>
      <c r="G76" s="146" t="n">
        <v>214470</v>
      </c>
      <c r="H76" t="inlineStr">
        <is>
          <t>ФЕР-2020 × 0.75</t>
        </is>
      </c>
    </row>
    <row r="77" ht="61.2" customFormat="1" customHeight="1" s="5">
      <c r="A77" s="33" t="inlineStr">
        <is>
          <t>4 этап</t>
        </is>
      </c>
      <c r="B77" s="34" t="inlineStr">
        <is>
          <t>4.1.6</t>
        </is>
      </c>
      <c r="C77" s="38" t="inlineStr">
        <is>
          <t xml:space="preserve">Изготовление, поставка, монтаж фасонных элементов для фасадов здания Галереи: нащельники и угловые фасонные элементы для сэндвич-панелей, наружные обрамления проемов, цокольные отливы
</t>
        </is>
      </c>
      <c r="D77" s="36" t="inlineStr">
        <is>
          <t>п.м.</t>
        </is>
      </c>
      <c r="E77" s="144" t="n">
        <v>158.9</v>
      </c>
      <c r="F77" s="146" t="n">
        <v>4500</v>
      </c>
      <c r="G77" s="146" t="n">
        <v>715050</v>
      </c>
      <c r="H77" t="inlineStr">
        <is>
          <t>ФЕР-2020 × 0.75</t>
        </is>
      </c>
    </row>
    <row r="78" ht="16.2" customFormat="1" customHeight="1" s="5">
      <c r="A78" s="33" t="n"/>
      <c r="B78" s="34" t="n"/>
      <c r="C78" s="38" t="inlineStr">
        <is>
          <t>Саморезы, герметики, уплотнительные ленты</t>
        </is>
      </c>
      <c r="D78" s="36" t="n"/>
      <c r="E78" s="144" t="n"/>
    </row>
    <row r="79" ht="17.4" customFormat="1" customHeight="1" s="5">
      <c r="A79" s="33" t="n"/>
      <c r="B79" s="34" t="n"/>
      <c r="C79" s="38" t="inlineStr">
        <is>
          <t>Доставка сэндвич-панелей</t>
        </is>
      </c>
      <c r="D79" s="36" t="inlineStr">
        <is>
          <t>рейс</t>
        </is>
      </c>
      <c r="E79" s="144" t="n">
        <v>12</v>
      </c>
    </row>
    <row r="80" ht="16.8" customFormat="1" customHeight="1" s="5">
      <c r="A80" s="49" t="inlineStr">
        <is>
          <t>4 этап</t>
        </is>
      </c>
      <c r="B80" s="50" t="inlineStr">
        <is>
          <t>4.2</t>
        </is>
      </c>
      <c r="C80" s="66" t="inlineStr">
        <is>
          <t xml:space="preserve">Кровля,  кровельные конструкции </t>
        </is>
      </c>
      <c r="D80" s="68" t="inlineStr">
        <is>
          <t>компл.</t>
        </is>
      </c>
      <c r="E80" s="154" t="n">
        <v>1</v>
      </c>
      <c r="F80" s="146" t="n">
        <v>3500</v>
      </c>
      <c r="G80" s="146" t="n">
        <v>3500</v>
      </c>
      <c r="H80" t="inlineStr">
        <is>
          <t>ФЕР-2020 × 0.75</t>
        </is>
      </c>
    </row>
    <row r="81" ht="16.8" customFormat="1" customHeight="1" s="5">
      <c r="A81" s="33" t="inlineStr">
        <is>
          <t>4 этап</t>
        </is>
      </c>
      <c r="B81" s="50" t="n"/>
      <c r="C81" s="53" t="inlineStr">
        <is>
          <t>Кровельные конструкции здания Общежития</t>
        </is>
      </c>
      <c r="D81" s="54" t="n"/>
      <c r="E81" s="142" t="n"/>
    </row>
    <row r="82" ht="42.6" customFormat="1" customHeight="1" s="5">
      <c r="A82" s="33" t="inlineStr">
        <is>
          <t>4 этап</t>
        </is>
      </c>
      <c r="B82" s="34" t="inlineStr">
        <is>
          <t>4.2.1</t>
        </is>
      </c>
      <c r="C82" s="38" t="inlineStr">
        <is>
          <t xml:space="preserve">Устройство и огнезащитная пропитка деревянной стропильной системы для здания Общежития в т.ч. слуховые окна </t>
        </is>
      </c>
      <c r="D82" s="39" t="inlineStr">
        <is>
          <t>м3</t>
        </is>
      </c>
      <c r="E82" s="155" t="n">
        <v>43.6</v>
      </c>
      <c r="F82" s="146" t="n">
        <v>6200</v>
      </c>
      <c r="G82" s="146" t="n">
        <v>270320</v>
      </c>
      <c r="H82" t="inlineStr">
        <is>
          <t>ФЕР-2020 × 0.75</t>
        </is>
      </c>
    </row>
    <row r="83" ht="46.2" customFormat="1" customHeight="1" s="5">
      <c r="A83" s="33" t="inlineStr">
        <is>
          <t>4 этап</t>
        </is>
      </c>
      <c r="B83" s="34" t="inlineStr">
        <is>
          <t>4.2.2</t>
        </is>
      </c>
      <c r="C83" s="38" t="inlineStr">
        <is>
          <t>Утепление чердачного перекрытия здания Общежития минераловатными плитами с устройством ветрозащитной мембраны</t>
        </is>
      </c>
      <c r="D83" s="39" t="inlineStr">
        <is>
          <t>м2</t>
        </is>
      </c>
      <c r="E83" s="155" t="n">
        <v>1127.66</v>
      </c>
      <c r="F83" s="146" t="n">
        <v>2900</v>
      </c>
      <c r="G83" s="146" t="n">
        <v>3270214</v>
      </c>
      <c r="H83" t="inlineStr">
        <is>
          <t>ФЕР-2020 × 0.75</t>
        </is>
      </c>
    </row>
    <row r="84" ht="36.6" customFormat="1" customHeight="1" s="5">
      <c r="A84" s="33" t="inlineStr">
        <is>
          <t>4 этап</t>
        </is>
      </c>
      <c r="B84" s="34" t="inlineStr">
        <is>
          <t>4.2.3</t>
        </is>
      </c>
      <c r="C84" s="38" t="inlineStr">
        <is>
          <t xml:space="preserve">Устройство ходовых мостиков в подкровельном пространстве здания Общежития </t>
        </is>
      </c>
      <c r="D84" s="39" t="inlineStr">
        <is>
          <t>м.п.</t>
        </is>
      </c>
      <c r="E84" s="156" t="n">
        <v>108</v>
      </c>
      <c r="F84" s="146" t="n">
        <v>3500</v>
      </c>
      <c r="G84" s="146" t="n">
        <v>378000</v>
      </c>
      <c r="H84" t="inlineStr">
        <is>
          <t>Экспертная оценка</t>
        </is>
      </c>
    </row>
    <row r="85" ht="45" customFormat="1" customHeight="1" s="5">
      <c r="A85" s="33" t="inlineStr">
        <is>
          <t>4 этап</t>
        </is>
      </c>
      <c r="B85" s="34" t="inlineStr">
        <is>
          <t>4.2.4</t>
        </is>
      </c>
      <c r="C85" s="38" t="inlineStr">
        <is>
          <t xml:space="preserve">Поставка, погрузо-разгрузочные работы, монтаж кровельного профилированного листа для здания Общежития (в т.ч. входные группы)
</t>
        </is>
      </c>
      <c r="D85" s="36" t="inlineStr">
        <is>
          <t>м2</t>
        </is>
      </c>
      <c r="E85" s="144" t="n">
        <v>1204.34</v>
      </c>
      <c r="F85" s="146" t="n">
        <v>2000</v>
      </c>
      <c r="G85" s="146" t="n">
        <v>2408680</v>
      </c>
      <c r="H85" t="inlineStr">
        <is>
          <t>Экспертная оценка</t>
        </is>
      </c>
    </row>
    <row r="86" ht="33" customFormat="1" customHeight="1" s="5">
      <c r="A86" s="33" t="inlineStr">
        <is>
          <t>4 этап</t>
        </is>
      </c>
      <c r="B86" s="34" t="inlineStr">
        <is>
          <t>4.2.5</t>
        </is>
      </c>
      <c r="C86" s="38" t="inlineStr">
        <is>
          <t xml:space="preserve">Изготовление, поставка, монтаж конькового фасонного  элемента длякровли здания Общежития
</t>
        </is>
      </c>
      <c r="D86" s="39" t="inlineStr">
        <is>
          <t>п.м.</t>
        </is>
      </c>
      <c r="E86" s="157" t="n">
        <v>55</v>
      </c>
      <c r="F86" s="146" t="n">
        <v>3500</v>
      </c>
      <c r="G86" s="146" t="n">
        <v>192500</v>
      </c>
      <c r="H86" t="inlineStr">
        <is>
          <t>ФЕР-2020 × 0.75</t>
        </is>
      </c>
    </row>
    <row r="87" ht="35.4" customFormat="1" customHeight="1" s="5">
      <c r="A87" s="33" t="inlineStr">
        <is>
          <t>4 этап</t>
        </is>
      </c>
      <c r="B87" s="34" t="inlineStr">
        <is>
          <t>4.2.6</t>
        </is>
      </c>
      <c r="C87" s="38" t="inlineStr">
        <is>
          <t>Монтаж деревянной подсистемы и зашивка фронтонов здания Общежития профилированным листом</t>
        </is>
      </c>
      <c r="D87" s="36" t="inlineStr">
        <is>
          <t>м2</t>
        </is>
      </c>
      <c r="E87" s="157" t="n">
        <v>40.7</v>
      </c>
      <c r="F87" s="146" t="n">
        <v>2000</v>
      </c>
      <c r="G87" s="146" t="n">
        <v>81400</v>
      </c>
      <c r="H87" t="inlineStr">
        <is>
          <t>Экспертная оценка</t>
        </is>
      </c>
    </row>
    <row r="88" ht="27.6" customFormat="1" customHeight="1" s="5">
      <c r="A88" s="33" t="inlineStr">
        <is>
          <t>4 этап</t>
        </is>
      </c>
      <c r="B88" s="34" t="inlineStr">
        <is>
          <t>4.2.7</t>
        </is>
      </c>
      <c r="C88" s="38" t="inlineStr">
        <is>
          <t>Устройство карнизнызх свесов из металлического сайдинга</t>
        </is>
      </c>
      <c r="D88" s="39" t="inlineStr">
        <is>
          <t>п.м.</t>
        </is>
      </c>
      <c r="E88" s="147" t="n">
        <v>112.2</v>
      </c>
      <c r="F88" s="146" t="n">
        <v>3500</v>
      </c>
      <c r="G88" s="146" t="n">
        <v>392700</v>
      </c>
      <c r="H88" t="inlineStr">
        <is>
          <t>Экспертная оценка</t>
        </is>
      </c>
    </row>
    <row r="89" ht="19.2" customFormat="1" customHeight="1" s="5">
      <c r="A89" s="33" t="inlineStr">
        <is>
          <t>4 этап</t>
        </is>
      </c>
      <c r="B89" s="34" t="inlineStr">
        <is>
          <t>4.2.8</t>
        </is>
      </c>
      <c r="C89" s="38" t="inlineStr">
        <is>
          <t>Устройство вентиляционных кровельных тумб</t>
        </is>
      </c>
      <c r="D89" s="39" t="inlineStr">
        <is>
          <t>шт.</t>
        </is>
      </c>
      <c r="E89" s="147" t="n">
        <v>18</v>
      </c>
      <c r="F89" s="146" t="n">
        <v>5000</v>
      </c>
      <c r="G89" s="146" t="n">
        <v>90000</v>
      </c>
      <c r="H89" t="inlineStr">
        <is>
          <t>ФЕР-2020 × 0.75</t>
        </is>
      </c>
    </row>
    <row r="90" ht="27.6" customFormat="1" customHeight="1" s="5">
      <c r="A90" s="33" t="inlineStr">
        <is>
          <t>4 этап</t>
        </is>
      </c>
      <c r="B90" s="34" t="inlineStr">
        <is>
          <t>4.2.9</t>
        </is>
      </c>
      <c r="C90" s="38" t="inlineStr">
        <is>
          <t>Изготовление, поставка и монтаж системы снегозадержания</t>
        </is>
      </c>
      <c r="D90" s="39" t="inlineStr">
        <is>
          <t>п.м.</t>
        </is>
      </c>
      <c r="E90" s="147" t="n">
        <v>120</v>
      </c>
      <c r="F90" s="146" t="n">
        <v>3500</v>
      </c>
      <c r="G90" s="146" t="n">
        <v>420000</v>
      </c>
      <c r="H90" t="inlineStr">
        <is>
          <t>Экспертная оценка</t>
        </is>
      </c>
    </row>
    <row r="91" ht="20.4" customFormat="1" customHeight="1" s="5">
      <c r="A91" s="33" t="inlineStr">
        <is>
          <t>4 этап</t>
        </is>
      </c>
      <c r="B91" s="34" t="inlineStr">
        <is>
          <t>4.2.10</t>
        </is>
      </c>
      <c r="C91" s="38" t="inlineStr">
        <is>
          <t>Монтаж водосточной системы: желоба, трубы, воронки</t>
        </is>
      </c>
      <c r="D91" s="39" t="inlineStr">
        <is>
          <t>п.м.</t>
        </is>
      </c>
      <c r="E91" s="147" t="n">
        <v>188</v>
      </c>
      <c r="F91" s="146" t="n">
        <v>3500</v>
      </c>
      <c r="G91" s="146" t="n">
        <v>658000</v>
      </c>
      <c r="H91" t="inlineStr">
        <is>
          <t>Экспертная оценка</t>
        </is>
      </c>
    </row>
    <row r="92" ht="15" customFormat="1" customHeight="1" s="5">
      <c r="A92" s="33" t="inlineStr">
        <is>
          <t>4 этап</t>
        </is>
      </c>
      <c r="B92" s="50" t="n"/>
      <c r="C92" s="53" t="inlineStr">
        <is>
          <t>Кровельные конструкции здания АБК</t>
        </is>
      </c>
      <c r="D92" s="54" t="n"/>
      <c r="E92" s="142" t="n"/>
    </row>
    <row r="93" ht="46.2" customFormat="1" customHeight="1" s="5">
      <c r="A93" s="33" t="inlineStr">
        <is>
          <t>4 этап</t>
        </is>
      </c>
      <c r="B93" s="34" t="inlineStr">
        <is>
          <t>4.2.11</t>
        </is>
      </c>
      <c r="C93" s="38" t="inlineStr">
        <is>
          <t xml:space="preserve">Устройство и огнезащитная пропитка деревянной стропильной системы для здания АБК в т.ч. слуховые окна </t>
        </is>
      </c>
      <c r="D93" s="39" t="inlineStr">
        <is>
          <t>м3</t>
        </is>
      </c>
      <c r="E93" s="155" t="n">
        <v>34.5</v>
      </c>
      <c r="F93" s="146" t="n">
        <v>6200</v>
      </c>
      <c r="G93" s="146" t="n">
        <v>213900</v>
      </c>
      <c r="H93" t="inlineStr">
        <is>
          <t>ФЕР-2020 × 0.75</t>
        </is>
      </c>
    </row>
    <row r="94" ht="42" customFormat="1" customHeight="1" s="5">
      <c r="A94" s="33" t="inlineStr">
        <is>
          <t>4 этап</t>
        </is>
      </c>
      <c r="B94" s="34" t="inlineStr">
        <is>
          <t>4.2.12</t>
        </is>
      </c>
      <c r="C94" s="38" t="inlineStr">
        <is>
          <t>Утепление чердачного перекрытия здания АБК минераловатными плитами с устройством ветрозащитной мембраны</t>
        </is>
      </c>
      <c r="D94" s="39" t="inlineStr">
        <is>
          <t>м2</t>
        </is>
      </c>
      <c r="E94" s="155" t="n">
        <v>695.8</v>
      </c>
      <c r="F94" s="146" t="n">
        <v>2900</v>
      </c>
      <c r="G94" s="146" t="n">
        <v>2017820</v>
      </c>
      <c r="H94" t="inlineStr">
        <is>
          <t>ФЕР-2020 × 0.75</t>
        </is>
      </c>
    </row>
    <row r="95" ht="34.2" customFormat="1" customHeight="1" s="5">
      <c r="A95" s="33" t="inlineStr">
        <is>
          <t>4 этап</t>
        </is>
      </c>
      <c r="B95" s="34" t="inlineStr">
        <is>
          <t>4.2.13</t>
        </is>
      </c>
      <c r="C95" s="38" t="inlineStr">
        <is>
          <t>Устройство ходовых мостиков в подкровельном пространстве здания АБК</t>
        </is>
      </c>
      <c r="D95" s="71" t="inlineStr">
        <is>
          <t>м.п.</t>
        </is>
      </c>
      <c r="E95" s="156" t="n">
        <v>106</v>
      </c>
      <c r="F95" s="146" t="n">
        <v>3500</v>
      </c>
      <c r="G95" s="146" t="n">
        <v>371000</v>
      </c>
      <c r="H95" t="inlineStr">
        <is>
          <t>Экспертная оценка</t>
        </is>
      </c>
    </row>
    <row r="96" ht="43.8" customFormat="1" customHeight="1" s="5">
      <c r="A96" s="33" t="inlineStr">
        <is>
          <t>4 этап</t>
        </is>
      </c>
      <c r="B96" s="34" t="inlineStr">
        <is>
          <t>4.2.14</t>
        </is>
      </c>
      <c r="C96" s="38" t="inlineStr">
        <is>
          <t>Поставка, погрузо-разгрузочные работы, монтаж кровельного профилированного листа для здания АБК
 (в т.ч. входные группы)</t>
        </is>
      </c>
      <c r="D96" s="36" t="inlineStr">
        <is>
          <t>м2</t>
        </is>
      </c>
      <c r="E96" s="144" t="n">
        <v>952.35</v>
      </c>
      <c r="F96" s="146" t="n">
        <v>2000</v>
      </c>
      <c r="G96" s="146" t="n">
        <v>1904700</v>
      </c>
      <c r="H96" t="inlineStr">
        <is>
          <t>Экспертная оценка</t>
        </is>
      </c>
    </row>
    <row r="97" ht="34.2" customFormat="1" customHeight="1" s="5">
      <c r="A97" s="33" t="inlineStr">
        <is>
          <t>4 этап</t>
        </is>
      </c>
      <c r="B97" s="34" t="inlineStr">
        <is>
          <t>4.2.15</t>
        </is>
      </c>
      <c r="C97" s="38" t="inlineStr">
        <is>
          <t xml:space="preserve">Изготовление, поставка, монтаж конькового фасонного  элемента для кровли здания АБК
</t>
        </is>
      </c>
      <c r="D97" s="39" t="inlineStr">
        <is>
          <t>п.м.</t>
        </is>
      </c>
      <c r="E97" s="157" t="n">
        <v>55</v>
      </c>
      <c r="F97" s="146" t="n">
        <v>3500</v>
      </c>
      <c r="G97" s="146" t="n">
        <v>192500</v>
      </c>
      <c r="H97" t="inlineStr">
        <is>
          <t>ФЕР-2020 × 0.75</t>
        </is>
      </c>
    </row>
    <row r="98" ht="34.2" customFormat="1" customHeight="1" s="5">
      <c r="A98" s="33" t="inlineStr">
        <is>
          <t>4 этап</t>
        </is>
      </c>
      <c r="B98" s="34" t="inlineStr">
        <is>
          <t>4.2.16</t>
        </is>
      </c>
      <c r="C98" s="38" t="inlineStr">
        <is>
          <t>Монтаж деревянной подсистемы и зашивка фронтонов здания АБК профилированным листом</t>
        </is>
      </c>
      <c r="D98" s="36" t="inlineStr">
        <is>
          <t>м2</t>
        </is>
      </c>
      <c r="E98" s="144" t="n">
        <v>44.3</v>
      </c>
      <c r="F98" s="146" t="n">
        <v>2000</v>
      </c>
      <c r="G98" s="146" t="n">
        <v>88600</v>
      </c>
      <c r="H98" t="inlineStr">
        <is>
          <t>Экспертная оценка</t>
        </is>
      </c>
    </row>
    <row r="99" ht="28.8" customFormat="1" customHeight="1" s="5">
      <c r="A99" s="33" t="inlineStr">
        <is>
          <t>4 этап</t>
        </is>
      </c>
      <c r="B99" s="34" t="inlineStr">
        <is>
          <t>4.2.17</t>
        </is>
      </c>
      <c r="C99" s="38" t="inlineStr">
        <is>
          <t>Устройство карнизнызх свесов из металлического сайдинга</t>
        </is>
      </c>
      <c r="D99" s="39" t="inlineStr">
        <is>
          <t>п.м.</t>
        </is>
      </c>
      <c r="E99" s="147" t="n">
        <v>115</v>
      </c>
      <c r="F99" s="146" t="n">
        <v>3500</v>
      </c>
      <c r="G99" s="146" t="n">
        <v>402500</v>
      </c>
      <c r="H99" t="inlineStr">
        <is>
          <t>Экспертная оценка</t>
        </is>
      </c>
    </row>
    <row r="100" ht="16.8" customFormat="1" customHeight="1" s="5">
      <c r="A100" s="33" t="inlineStr">
        <is>
          <t>4 этап</t>
        </is>
      </c>
      <c r="B100" s="34" t="inlineStr">
        <is>
          <t>4.2.18</t>
        </is>
      </c>
      <c r="C100" s="38" t="inlineStr">
        <is>
          <t>Устройство вентиляционных кровельных тумб</t>
        </is>
      </c>
      <c r="D100" s="39" t="inlineStr">
        <is>
          <t>шт.</t>
        </is>
      </c>
      <c r="E100" s="147" t="n">
        <v>7</v>
      </c>
      <c r="F100" s="146" t="n">
        <v>5000</v>
      </c>
      <c r="G100" s="146" t="n">
        <v>35000</v>
      </c>
      <c r="H100" t="inlineStr">
        <is>
          <t>ФЕР-2020 × 0.75</t>
        </is>
      </c>
    </row>
    <row r="101" ht="31.2" customFormat="1" customHeight="1" s="5">
      <c r="A101" s="33" t="inlineStr">
        <is>
          <t>4 этап</t>
        </is>
      </c>
      <c r="B101" s="34" t="inlineStr">
        <is>
          <t>4.2.19</t>
        </is>
      </c>
      <c r="C101" s="38" t="inlineStr">
        <is>
          <t>Изготовление, поставка и монтаж системы снегозадержания</t>
        </is>
      </c>
      <c r="D101" s="39" t="inlineStr">
        <is>
          <t>п.м.</t>
        </is>
      </c>
      <c r="E101" s="147" t="n">
        <v>114</v>
      </c>
      <c r="F101" s="146" t="n">
        <v>3500</v>
      </c>
      <c r="G101" s="146" t="n">
        <v>399000</v>
      </c>
      <c r="H101" t="inlineStr">
        <is>
          <t>Экспертная оценка</t>
        </is>
      </c>
    </row>
    <row r="102" ht="22.2" customFormat="1" customHeight="1" s="5">
      <c r="A102" s="33" t="inlineStr">
        <is>
          <t>4 этап</t>
        </is>
      </c>
      <c r="B102" s="34" t="inlineStr">
        <is>
          <t>4.2.20</t>
        </is>
      </c>
      <c r="C102" s="38" t="inlineStr">
        <is>
          <t>Монтаж водосточной системы: желоба, трубы, воронки</t>
        </is>
      </c>
      <c r="D102" s="39" t="inlineStr">
        <is>
          <t>п.м.</t>
        </is>
      </c>
      <c r="E102" s="147" t="n">
        <v>182</v>
      </c>
      <c r="F102" s="146" t="n">
        <v>3500</v>
      </c>
      <c r="G102" s="146" t="n">
        <v>637000</v>
      </c>
      <c r="H102" t="inlineStr">
        <is>
          <t>Экспертная оценка</t>
        </is>
      </c>
    </row>
    <row r="103" ht="16.2" customFormat="1" customHeight="1" s="5">
      <c r="A103" s="33" t="inlineStr">
        <is>
          <t>4 этап</t>
        </is>
      </c>
      <c r="B103" s="50" t="n"/>
      <c r="C103" s="53" t="inlineStr">
        <is>
          <t>Кровельные конструкции переходной Галереи</t>
        </is>
      </c>
      <c r="D103" s="54" t="n"/>
      <c r="E103" s="142" t="n"/>
    </row>
    <row r="104" ht="40.2" customFormat="1" customHeight="1" s="5">
      <c r="A104" s="33" t="inlineStr">
        <is>
          <t>4 этап</t>
        </is>
      </c>
      <c r="B104" s="34" t="inlineStr">
        <is>
          <t>4.2.21</t>
        </is>
      </c>
      <c r="C104" s="38" t="inlineStr">
        <is>
          <t>Утепление чердачного перекрытия Галереи минераловатными плитами с устройством ветрозащитной мембраны</t>
        </is>
      </c>
      <c r="D104" s="39" t="inlineStr">
        <is>
          <t>м2</t>
        </is>
      </c>
      <c r="E104" s="155" t="n">
        <v>45</v>
      </c>
      <c r="F104" s="146" t="n">
        <v>2900</v>
      </c>
      <c r="G104" s="146" t="n">
        <v>130500</v>
      </c>
      <c r="H104" t="inlineStr">
        <is>
          <t>ФЕР-2020 × 0.75</t>
        </is>
      </c>
    </row>
    <row r="105" ht="34.2" customFormat="1" customHeight="1" s="5">
      <c r="A105" s="33" t="inlineStr">
        <is>
          <t>4 этап</t>
        </is>
      </c>
      <c r="B105" s="34" t="inlineStr">
        <is>
          <t>4.2.22</t>
        </is>
      </c>
      <c r="C105" s="38" t="inlineStr">
        <is>
          <t xml:space="preserve">Поставка, погрузо-разгрузочные работы, монтаж кровельного профилированного листа для Галереи
</t>
        </is>
      </c>
      <c r="D105" s="36" t="inlineStr">
        <is>
          <t>м2</t>
        </is>
      </c>
      <c r="E105" s="144" t="n">
        <v>45</v>
      </c>
      <c r="F105" s="146" t="n">
        <v>2000</v>
      </c>
      <c r="G105" s="146" t="n">
        <v>90000</v>
      </c>
      <c r="H105" t="inlineStr">
        <is>
          <t>Экспертная оценка</t>
        </is>
      </c>
    </row>
    <row r="106" ht="33.6" customFormat="1" customHeight="1" s="5">
      <c r="A106" s="33" t="inlineStr">
        <is>
          <t>4 этап</t>
        </is>
      </c>
      <c r="B106" s="34" t="inlineStr">
        <is>
          <t>4.2.23</t>
        </is>
      </c>
      <c r="C106" s="38" t="inlineStr">
        <is>
          <t xml:space="preserve">Изготовление, поставка, монтаж конькового фасонного  элемента для кровли Галереи
</t>
        </is>
      </c>
      <c r="D106" s="39" t="inlineStr">
        <is>
          <t>п.м.</t>
        </is>
      </c>
      <c r="E106" s="147" t="n">
        <v>7.9</v>
      </c>
      <c r="F106" s="146" t="n">
        <v>3500</v>
      </c>
      <c r="G106" s="146" t="n">
        <v>27650</v>
      </c>
      <c r="H106" t="inlineStr">
        <is>
          <t>ФЕР-2020 × 0.75</t>
        </is>
      </c>
    </row>
    <row r="107" ht="16.8" customFormat="1" customHeight="1" s="5">
      <c r="A107" s="33" t="inlineStr">
        <is>
          <t>4 этап</t>
        </is>
      </c>
      <c r="B107" s="34" t="inlineStr">
        <is>
          <t>4.2.24</t>
        </is>
      </c>
      <c r="C107" s="38" t="inlineStr">
        <is>
          <t>Устройство карнизнызх свесов из металлического сайдинга</t>
        </is>
      </c>
      <c r="D107" s="39" t="inlineStr">
        <is>
          <t>п.м.</t>
        </is>
      </c>
      <c r="E107" s="147" t="n">
        <v>18</v>
      </c>
      <c r="F107" s="146" t="n">
        <v>3500</v>
      </c>
      <c r="G107" s="146" t="n">
        <v>63000</v>
      </c>
      <c r="H107" t="inlineStr">
        <is>
          <t>Экспертная оценка</t>
        </is>
      </c>
    </row>
    <row r="108" ht="29.4" customFormat="1" customHeight="1" s="5">
      <c r="A108" s="33" t="inlineStr">
        <is>
          <t>4 этап</t>
        </is>
      </c>
      <c r="B108" s="34" t="inlineStr">
        <is>
          <t>4.2.25</t>
        </is>
      </c>
      <c r="C108" s="38" t="inlineStr">
        <is>
          <t>Изготовление, поставка и монтаж системы снегозадержания</t>
        </is>
      </c>
      <c r="D108" s="39" t="inlineStr">
        <is>
          <t>п.м.</t>
        </is>
      </c>
      <c r="E108" s="147" t="n">
        <v>12</v>
      </c>
      <c r="F108" s="146" t="n">
        <v>3500</v>
      </c>
      <c r="G108" s="146" t="n">
        <v>42000</v>
      </c>
      <c r="H108" t="inlineStr">
        <is>
          <t>Экспертная оценка</t>
        </is>
      </c>
    </row>
    <row r="109" ht="14.4" customFormat="1" customHeight="1" s="5">
      <c r="A109" s="33" t="inlineStr">
        <is>
          <t>4 этап</t>
        </is>
      </c>
      <c r="B109" s="34" t="inlineStr">
        <is>
          <t>4.2.26</t>
        </is>
      </c>
      <c r="C109" s="38" t="inlineStr">
        <is>
          <t>Монтаж водосточной системы: желоба, трубы, воронки</t>
        </is>
      </c>
      <c r="D109" s="39" t="inlineStr">
        <is>
          <t>п.м.</t>
        </is>
      </c>
      <c r="E109" s="147" t="n">
        <v>38</v>
      </c>
      <c r="F109" s="146" t="n">
        <v>3500</v>
      </c>
      <c r="G109" s="146" t="n">
        <v>133000</v>
      </c>
      <c r="H109" t="inlineStr">
        <is>
          <t>Экспертная оценка</t>
        </is>
      </c>
    </row>
    <row r="110" ht="18" customFormat="1" customHeight="1" s="5">
      <c r="A110" s="59" t="n"/>
      <c r="B110" s="72" t="n"/>
      <c r="C110" s="73" t="inlineStr">
        <is>
          <t xml:space="preserve">Материалы водосточной системы </t>
        </is>
      </c>
      <c r="D110" s="21" t="n"/>
      <c r="E110" s="138" t="n"/>
    </row>
    <row r="111" ht="16.8" customFormat="1" customHeight="1" s="8">
      <c r="A111" s="26" t="inlineStr">
        <is>
          <t>4 этап</t>
        </is>
      </c>
      <c r="B111" s="27" t="inlineStr">
        <is>
          <t>4.3</t>
        </is>
      </c>
      <c r="C111" s="28" t="inlineStr">
        <is>
          <t>Заполнение наружных оконных проемов</t>
        </is>
      </c>
      <c r="D111" s="54" t="inlineStr">
        <is>
          <t>компл.</t>
        </is>
      </c>
      <c r="E111" s="154" t="n">
        <v>1</v>
      </c>
      <c r="F111" s="158" t="n">
        <v>6200</v>
      </c>
      <c r="G111" s="158" t="n">
        <v>6200</v>
      </c>
      <c r="H111" s="5" t="inlineStr">
        <is>
          <t>ФЕР-2020 × 0.75</t>
        </is>
      </c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  <c r="EM111" s="5" t="n"/>
      <c r="EN111" s="5" t="n"/>
      <c r="EO111" s="5" t="n"/>
      <c r="EP111" s="5" t="n"/>
      <c r="EQ111" s="5" t="n"/>
      <c r="ER111" s="5" t="n"/>
      <c r="ES111" s="5" t="n"/>
      <c r="ET111" s="5" t="n"/>
      <c r="EU111" s="5" t="n"/>
      <c r="EV111" s="5" t="n"/>
      <c r="EW111" s="5" t="n"/>
      <c r="EX111" s="5" t="n"/>
      <c r="EY111" s="5" t="n"/>
      <c r="EZ111" s="5" t="n"/>
      <c r="FA111" s="5" t="n"/>
      <c r="FB111" s="5" t="n"/>
      <c r="FC111" s="5" t="n"/>
      <c r="FD111" s="5" t="n"/>
      <c r="FE111" s="5" t="n"/>
      <c r="FF111" s="5" t="n"/>
      <c r="FG111" s="5" t="n"/>
      <c r="FH111" s="5" t="n"/>
      <c r="FI111" s="5" t="n"/>
      <c r="FJ111" s="5" t="n"/>
      <c r="FK111" s="5" t="n"/>
      <c r="FL111" s="5" t="n"/>
      <c r="FM111" s="5" t="n"/>
      <c r="FN111" s="5" t="n"/>
      <c r="FO111" s="5" t="n"/>
      <c r="FP111" s="5" t="n"/>
      <c r="FQ111" s="5" t="n"/>
      <c r="FR111" s="5" t="n"/>
      <c r="FS111" s="5" t="n"/>
      <c r="FT111" s="5" t="n"/>
      <c r="FU111" s="5" t="n"/>
      <c r="FV111" s="5" t="n"/>
      <c r="FW111" s="5" t="n"/>
      <c r="FX111" s="5" t="n"/>
      <c r="FY111" s="5" t="n"/>
      <c r="FZ111" s="5" t="n"/>
      <c r="GA111" s="5" t="n"/>
      <c r="GB111" s="5" t="n"/>
      <c r="GC111" s="5" t="n"/>
      <c r="GD111" s="5" t="n"/>
      <c r="GE111" s="5" t="n"/>
      <c r="GF111" s="5" t="n"/>
      <c r="GG111" s="5" t="n"/>
      <c r="GH111" s="5" t="n"/>
      <c r="GI111" s="5" t="n"/>
      <c r="GJ111" s="5" t="n"/>
      <c r="GK111" s="5" t="n"/>
      <c r="GL111" s="5" t="n"/>
      <c r="GM111" s="5" t="n"/>
      <c r="GN111" s="5" t="n"/>
      <c r="GO111" s="5" t="n"/>
      <c r="GP111" s="5" t="n"/>
      <c r="GQ111" s="5" t="n"/>
      <c r="GR111" s="5" t="n"/>
      <c r="GS111" s="5" t="n"/>
      <c r="GT111" s="5" t="n"/>
      <c r="GU111" s="5" t="n"/>
      <c r="GV111" s="5" t="n"/>
      <c r="GW111" s="5" t="n"/>
      <c r="GX111" s="5" t="n"/>
      <c r="GY111" s="5" t="n"/>
      <c r="GZ111" s="5" t="n"/>
      <c r="HA111" s="5" t="n"/>
      <c r="HB111" s="5" t="n"/>
      <c r="HC111" s="5" t="n"/>
      <c r="HD111" s="5" t="n"/>
      <c r="HE111" s="5" t="n"/>
      <c r="HF111" s="5" t="n"/>
      <c r="HG111" s="5" t="n"/>
      <c r="HH111" s="5" t="n"/>
      <c r="HI111" s="5" t="n"/>
      <c r="HJ111" s="5" t="n"/>
      <c r="HK111" s="5" t="n"/>
      <c r="HL111" s="5" t="n"/>
    </row>
    <row r="112" ht="28.8" customFormat="1" customHeight="1" s="8">
      <c r="A112" s="33" t="inlineStr">
        <is>
          <t>4 этап</t>
        </is>
      </c>
      <c r="B112" s="27" t="n"/>
      <c r="C112" s="53" t="inlineStr">
        <is>
          <t>Заполнение  оконных и дверных проемов здания Общежития</t>
        </is>
      </c>
      <c r="D112" s="54" t="n"/>
      <c r="E112" s="142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  <c r="EM112" s="5" t="n"/>
      <c r="EN112" s="5" t="n"/>
      <c r="EO112" s="5" t="n"/>
      <c r="EP112" s="5" t="n"/>
      <c r="EQ112" s="5" t="n"/>
      <c r="ER112" s="5" t="n"/>
      <c r="ES112" s="5" t="n"/>
      <c r="ET112" s="5" t="n"/>
      <c r="EU112" s="5" t="n"/>
      <c r="EV112" s="5" t="n"/>
      <c r="EW112" s="5" t="n"/>
      <c r="EX112" s="5" t="n"/>
      <c r="EY112" s="5" t="n"/>
      <c r="EZ112" s="5" t="n"/>
      <c r="FA112" s="5" t="n"/>
      <c r="FB112" s="5" t="n"/>
      <c r="FC112" s="5" t="n"/>
      <c r="FD112" s="5" t="n"/>
      <c r="FE112" s="5" t="n"/>
      <c r="FF112" s="5" t="n"/>
      <c r="FG112" s="5" t="n"/>
      <c r="FH112" s="5" t="n"/>
      <c r="FI112" s="5" t="n"/>
      <c r="FJ112" s="5" t="n"/>
      <c r="FK112" s="5" t="n"/>
      <c r="FL112" s="5" t="n"/>
      <c r="FM112" s="5" t="n"/>
      <c r="FN112" s="5" t="n"/>
      <c r="FO112" s="5" t="n"/>
      <c r="FP112" s="5" t="n"/>
      <c r="FQ112" s="5" t="n"/>
      <c r="FR112" s="5" t="n"/>
      <c r="FS112" s="5" t="n"/>
      <c r="FT112" s="5" t="n"/>
      <c r="FU112" s="5" t="n"/>
      <c r="FV112" s="5" t="n"/>
      <c r="FW112" s="5" t="n"/>
      <c r="FX112" s="5" t="n"/>
      <c r="FY112" s="5" t="n"/>
      <c r="FZ112" s="5" t="n"/>
      <c r="GA112" s="5" t="n"/>
      <c r="GB112" s="5" t="n"/>
      <c r="GC112" s="5" t="n"/>
      <c r="GD112" s="5" t="n"/>
      <c r="GE112" s="5" t="n"/>
      <c r="GF112" s="5" t="n"/>
      <c r="GG112" s="5" t="n"/>
      <c r="GH112" s="5" t="n"/>
      <c r="GI112" s="5" t="n"/>
      <c r="GJ112" s="5" t="n"/>
      <c r="GK112" s="5" t="n"/>
      <c r="GL112" s="5" t="n"/>
      <c r="GM112" s="5" t="n"/>
      <c r="GN112" s="5" t="n"/>
      <c r="GO112" s="5" t="n"/>
      <c r="GP112" s="5" t="n"/>
      <c r="GQ112" s="5" t="n"/>
      <c r="GR112" s="5" t="n"/>
      <c r="GS112" s="5" t="n"/>
      <c r="GT112" s="5" t="n"/>
      <c r="GU112" s="5" t="n"/>
      <c r="GV112" s="5" t="n"/>
      <c r="GW112" s="5" t="n"/>
      <c r="GX112" s="5" t="n"/>
      <c r="GY112" s="5" t="n"/>
      <c r="GZ112" s="5" t="n"/>
      <c r="HA112" s="5" t="n"/>
      <c r="HB112" s="5" t="n"/>
      <c r="HC112" s="5" t="n"/>
      <c r="HD112" s="5" t="n"/>
      <c r="HE112" s="5" t="n"/>
      <c r="HF112" s="5" t="n"/>
      <c r="HG112" s="5" t="n"/>
      <c r="HH112" s="5" t="n"/>
      <c r="HI112" s="5" t="n"/>
      <c r="HJ112" s="5" t="n"/>
      <c r="HK112" s="5" t="n"/>
      <c r="HL112" s="5" t="n"/>
    </row>
    <row r="113" ht="47.4" customFormat="1" customHeight="1" s="8">
      <c r="A113" s="39" t="inlineStr">
        <is>
          <t>4 этап</t>
        </is>
      </c>
      <c r="B113" s="34" t="inlineStr">
        <is>
          <t>4.3.1</t>
        </is>
      </c>
      <c r="C113" s="38" t="inlineStr">
        <is>
          <t>Изготовление, поставка и монтаж наружных окон (аллюминиевый трехкамерный профиль теплой серии с термовставкой)</t>
        </is>
      </c>
      <c r="D113" s="39" t="inlineStr">
        <is>
          <t>м2</t>
        </is>
      </c>
      <c r="E113" s="155" t="n">
        <v>187.2</v>
      </c>
      <c r="F113" s="158" t="n">
        <v>6200</v>
      </c>
      <c r="G113" s="158" t="n">
        <v>1160640</v>
      </c>
      <c r="H113" s="5" t="inlineStr">
        <is>
          <t>ФЕР-2020 × 0.75</t>
        </is>
      </c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  <c r="EM113" s="5" t="n"/>
      <c r="EN113" s="5" t="n"/>
      <c r="EO113" s="5" t="n"/>
      <c r="EP113" s="5" t="n"/>
      <c r="EQ113" s="5" t="n"/>
      <c r="ER113" s="5" t="n"/>
      <c r="ES113" s="5" t="n"/>
      <c r="ET113" s="5" t="n"/>
      <c r="EU113" s="5" t="n"/>
      <c r="EV113" s="5" t="n"/>
      <c r="EW113" s="5" t="n"/>
      <c r="EX113" s="5" t="n"/>
      <c r="EY113" s="5" t="n"/>
      <c r="EZ113" s="5" t="n"/>
      <c r="FA113" s="5" t="n"/>
      <c r="FB113" s="5" t="n"/>
      <c r="FC113" s="5" t="n"/>
      <c r="FD113" s="5" t="n"/>
      <c r="FE113" s="5" t="n"/>
      <c r="FF113" s="5" t="n"/>
      <c r="FG113" s="5" t="n"/>
      <c r="FH113" s="5" t="n"/>
      <c r="FI113" s="5" t="n"/>
      <c r="FJ113" s="5" t="n"/>
      <c r="FK113" s="5" t="n"/>
      <c r="FL113" s="5" t="n"/>
      <c r="FM113" s="5" t="n"/>
      <c r="FN113" s="5" t="n"/>
      <c r="FO113" s="5" t="n"/>
      <c r="FP113" s="5" t="n"/>
      <c r="FQ113" s="5" t="n"/>
      <c r="FR113" s="5" t="n"/>
      <c r="FS113" s="5" t="n"/>
      <c r="FT113" s="5" t="n"/>
      <c r="FU113" s="5" t="n"/>
      <c r="FV113" s="5" t="n"/>
      <c r="FW113" s="5" t="n"/>
      <c r="FX113" s="5" t="n"/>
      <c r="FY113" s="5" t="n"/>
      <c r="FZ113" s="5" t="n"/>
      <c r="GA113" s="5" t="n"/>
      <c r="GB113" s="5" t="n"/>
      <c r="GC113" s="5" t="n"/>
      <c r="GD113" s="5" t="n"/>
      <c r="GE113" s="5" t="n"/>
      <c r="GF113" s="5" t="n"/>
      <c r="GG113" s="5" t="n"/>
      <c r="GH113" s="5" t="n"/>
      <c r="GI113" s="5" t="n"/>
      <c r="GJ113" s="5" t="n"/>
      <c r="GK113" s="5" t="n"/>
      <c r="GL113" s="5" t="n"/>
      <c r="GM113" s="5" t="n"/>
      <c r="GN113" s="5" t="n"/>
      <c r="GO113" s="5" t="n"/>
      <c r="GP113" s="5" t="n"/>
      <c r="GQ113" s="5" t="n"/>
      <c r="GR113" s="5" t="n"/>
      <c r="GS113" s="5" t="n"/>
      <c r="GT113" s="5" t="n"/>
      <c r="GU113" s="5" t="n"/>
      <c r="GV113" s="5" t="n"/>
      <c r="GW113" s="5" t="n"/>
      <c r="GX113" s="5" t="n"/>
      <c r="GY113" s="5" t="n"/>
      <c r="GZ113" s="5" t="n"/>
      <c r="HA113" s="5" t="n"/>
      <c r="HB113" s="5" t="n"/>
      <c r="HC113" s="5" t="n"/>
      <c r="HD113" s="5" t="n"/>
      <c r="HE113" s="5" t="n"/>
      <c r="HF113" s="5" t="n"/>
      <c r="HG113" s="5" t="n"/>
      <c r="HH113" s="5" t="n"/>
      <c r="HI113" s="5" t="n"/>
      <c r="HJ113" s="5" t="n"/>
      <c r="HK113" s="5" t="n"/>
      <c r="HL113" s="5" t="n"/>
    </row>
    <row r="114" ht="19.2" customFormat="1" customHeight="1" s="8">
      <c r="A114" s="39" t="inlineStr">
        <is>
          <t>4 этап</t>
        </is>
      </c>
      <c r="B114" s="34" t="inlineStr">
        <is>
          <t>4.3.2</t>
        </is>
      </c>
      <c r="C114" s="38" t="inlineStr">
        <is>
          <t>Изготовление, поставка и монтаж оконных отливов</t>
        </is>
      </c>
      <c r="D114" s="39" t="inlineStr">
        <is>
          <t>п.м.</t>
        </is>
      </c>
      <c r="E114" s="155" t="n">
        <v>115.44</v>
      </c>
      <c r="F114" s="158" t="n">
        <v>6200</v>
      </c>
      <c r="G114" s="158" t="n">
        <v>715728</v>
      </c>
      <c r="H114" s="5" t="inlineStr">
        <is>
          <t>ФЕР-2020 × 0.75</t>
        </is>
      </c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  <c r="EM114" s="5" t="n"/>
      <c r="EN114" s="5" t="n"/>
      <c r="EO114" s="5" t="n"/>
      <c r="EP114" s="5" t="n"/>
      <c r="EQ114" s="5" t="n"/>
      <c r="ER114" s="5" t="n"/>
      <c r="ES114" s="5" t="n"/>
      <c r="ET114" s="5" t="n"/>
      <c r="EU114" s="5" t="n"/>
      <c r="EV114" s="5" t="n"/>
      <c r="EW114" s="5" t="n"/>
      <c r="EX114" s="5" t="n"/>
      <c r="EY114" s="5" t="n"/>
      <c r="EZ114" s="5" t="n"/>
      <c r="FA114" s="5" t="n"/>
      <c r="FB114" s="5" t="n"/>
      <c r="FC114" s="5" t="n"/>
      <c r="FD114" s="5" t="n"/>
      <c r="FE114" s="5" t="n"/>
      <c r="FF114" s="5" t="n"/>
      <c r="FG114" s="5" t="n"/>
      <c r="FH114" s="5" t="n"/>
      <c r="FI114" s="5" t="n"/>
      <c r="FJ114" s="5" t="n"/>
      <c r="FK114" s="5" t="n"/>
      <c r="FL114" s="5" t="n"/>
      <c r="FM114" s="5" t="n"/>
      <c r="FN114" s="5" t="n"/>
      <c r="FO114" s="5" t="n"/>
      <c r="FP114" s="5" t="n"/>
      <c r="FQ114" s="5" t="n"/>
      <c r="FR114" s="5" t="n"/>
      <c r="FS114" s="5" t="n"/>
      <c r="FT114" s="5" t="n"/>
      <c r="FU114" s="5" t="n"/>
      <c r="FV114" s="5" t="n"/>
      <c r="FW114" s="5" t="n"/>
      <c r="FX114" s="5" t="n"/>
      <c r="FY114" s="5" t="n"/>
      <c r="FZ114" s="5" t="n"/>
      <c r="GA114" s="5" t="n"/>
      <c r="GB114" s="5" t="n"/>
      <c r="GC114" s="5" t="n"/>
      <c r="GD114" s="5" t="n"/>
      <c r="GE114" s="5" t="n"/>
      <c r="GF114" s="5" t="n"/>
      <c r="GG114" s="5" t="n"/>
      <c r="GH114" s="5" t="n"/>
      <c r="GI114" s="5" t="n"/>
      <c r="GJ114" s="5" t="n"/>
      <c r="GK114" s="5" t="n"/>
      <c r="GL114" s="5" t="n"/>
      <c r="GM114" s="5" t="n"/>
      <c r="GN114" s="5" t="n"/>
      <c r="GO114" s="5" t="n"/>
      <c r="GP114" s="5" t="n"/>
      <c r="GQ114" s="5" t="n"/>
      <c r="GR114" s="5" t="n"/>
      <c r="GS114" s="5" t="n"/>
      <c r="GT114" s="5" t="n"/>
      <c r="GU114" s="5" t="n"/>
      <c r="GV114" s="5" t="n"/>
      <c r="GW114" s="5" t="n"/>
      <c r="GX114" s="5" t="n"/>
      <c r="GY114" s="5" t="n"/>
      <c r="GZ114" s="5" t="n"/>
      <c r="HA114" s="5" t="n"/>
      <c r="HB114" s="5" t="n"/>
      <c r="HC114" s="5" t="n"/>
      <c r="HD114" s="5" t="n"/>
      <c r="HE114" s="5" t="n"/>
      <c r="HF114" s="5" t="n"/>
      <c r="HG114" s="5" t="n"/>
      <c r="HH114" s="5" t="n"/>
      <c r="HI114" s="5" t="n"/>
      <c r="HJ114" s="5" t="n"/>
      <c r="HK114" s="5" t="n"/>
      <c r="HL114" s="5" t="n"/>
    </row>
    <row r="115" ht="28.8" customFormat="1" customHeight="1" s="8">
      <c r="A115" s="22" t="inlineStr">
        <is>
          <t>4 этап</t>
        </is>
      </c>
      <c r="B115" s="27" t="n"/>
      <c r="C115" s="31" t="inlineStr">
        <is>
          <t>Заполнение наружных оконных и дверных проемов здания АБК и Галереи</t>
        </is>
      </c>
      <c r="D115" s="54" t="n"/>
      <c r="E115" s="142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  <c r="EM115" s="5" t="n"/>
      <c r="EN115" s="5" t="n"/>
      <c r="EO115" s="5" t="n"/>
      <c r="EP115" s="5" t="n"/>
      <c r="EQ115" s="5" t="n"/>
      <c r="ER115" s="5" t="n"/>
      <c r="ES115" s="5" t="n"/>
      <c r="ET115" s="5" t="n"/>
      <c r="EU115" s="5" t="n"/>
      <c r="EV115" s="5" t="n"/>
      <c r="EW115" s="5" t="n"/>
      <c r="EX115" s="5" t="n"/>
      <c r="EY115" s="5" t="n"/>
      <c r="EZ115" s="5" t="n"/>
      <c r="FA115" s="5" t="n"/>
      <c r="FB115" s="5" t="n"/>
      <c r="FC115" s="5" t="n"/>
      <c r="FD115" s="5" t="n"/>
      <c r="FE115" s="5" t="n"/>
      <c r="FF115" s="5" t="n"/>
      <c r="FG115" s="5" t="n"/>
      <c r="FH115" s="5" t="n"/>
      <c r="FI115" s="5" t="n"/>
      <c r="FJ115" s="5" t="n"/>
      <c r="FK115" s="5" t="n"/>
      <c r="FL115" s="5" t="n"/>
      <c r="FM115" s="5" t="n"/>
      <c r="FN115" s="5" t="n"/>
      <c r="FO115" s="5" t="n"/>
      <c r="FP115" s="5" t="n"/>
      <c r="FQ115" s="5" t="n"/>
      <c r="FR115" s="5" t="n"/>
      <c r="FS115" s="5" t="n"/>
      <c r="FT115" s="5" t="n"/>
      <c r="FU115" s="5" t="n"/>
      <c r="FV115" s="5" t="n"/>
      <c r="FW115" s="5" t="n"/>
      <c r="FX115" s="5" t="n"/>
      <c r="FY115" s="5" t="n"/>
      <c r="FZ115" s="5" t="n"/>
      <c r="GA115" s="5" t="n"/>
      <c r="GB115" s="5" t="n"/>
      <c r="GC115" s="5" t="n"/>
      <c r="GD115" s="5" t="n"/>
      <c r="GE115" s="5" t="n"/>
      <c r="GF115" s="5" t="n"/>
      <c r="GG115" s="5" t="n"/>
      <c r="GH115" s="5" t="n"/>
      <c r="GI115" s="5" t="n"/>
      <c r="GJ115" s="5" t="n"/>
      <c r="GK115" s="5" t="n"/>
      <c r="GL115" s="5" t="n"/>
      <c r="GM115" s="5" t="n"/>
      <c r="GN115" s="5" t="n"/>
      <c r="GO115" s="5" t="n"/>
      <c r="GP115" s="5" t="n"/>
      <c r="GQ115" s="5" t="n"/>
      <c r="GR115" s="5" t="n"/>
      <c r="GS115" s="5" t="n"/>
      <c r="GT115" s="5" t="n"/>
      <c r="GU115" s="5" t="n"/>
      <c r="GV115" s="5" t="n"/>
      <c r="GW115" s="5" t="n"/>
      <c r="GX115" s="5" t="n"/>
      <c r="GY115" s="5" t="n"/>
      <c r="GZ115" s="5" t="n"/>
      <c r="HA115" s="5" t="n"/>
      <c r="HB115" s="5" t="n"/>
      <c r="HC115" s="5" t="n"/>
      <c r="HD115" s="5" t="n"/>
      <c r="HE115" s="5" t="n"/>
      <c r="HF115" s="5" t="n"/>
      <c r="HG115" s="5" t="n"/>
      <c r="HH115" s="5" t="n"/>
      <c r="HI115" s="5" t="n"/>
      <c r="HJ115" s="5" t="n"/>
      <c r="HK115" s="5" t="n"/>
      <c r="HL115" s="5" t="n"/>
    </row>
    <row r="116" ht="41.4" customFormat="1" customHeight="1" s="8">
      <c r="A116" s="39" t="inlineStr">
        <is>
          <t>4 этап</t>
        </is>
      </c>
      <c r="B116" s="34" t="inlineStr">
        <is>
          <t>4.3.3</t>
        </is>
      </c>
      <c r="C116" s="38" t="inlineStr">
        <is>
          <t>Изготовление, поставка и монтаж наружных окон (аллюминиевый трехкамерный профиль теплой серии с термовставкой)</t>
        </is>
      </c>
      <c r="D116" s="39" t="inlineStr">
        <is>
          <t>м2</t>
        </is>
      </c>
      <c r="E116" s="155" t="n">
        <v>113.4</v>
      </c>
      <c r="F116" s="158" t="n">
        <v>6200</v>
      </c>
      <c r="G116" s="158" t="n">
        <v>703080</v>
      </c>
      <c r="H116" s="5" t="inlineStr">
        <is>
          <t>ФЕР-2020 × 0.75</t>
        </is>
      </c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  <c r="EM116" s="5" t="n"/>
      <c r="EN116" s="5" t="n"/>
      <c r="EO116" s="5" t="n"/>
      <c r="EP116" s="5" t="n"/>
      <c r="EQ116" s="5" t="n"/>
      <c r="ER116" s="5" t="n"/>
      <c r="ES116" s="5" t="n"/>
      <c r="ET116" s="5" t="n"/>
      <c r="EU116" s="5" t="n"/>
      <c r="EV116" s="5" t="n"/>
      <c r="EW116" s="5" t="n"/>
      <c r="EX116" s="5" t="n"/>
      <c r="EY116" s="5" t="n"/>
      <c r="EZ116" s="5" t="n"/>
      <c r="FA116" s="5" t="n"/>
      <c r="FB116" s="5" t="n"/>
      <c r="FC116" s="5" t="n"/>
      <c r="FD116" s="5" t="n"/>
      <c r="FE116" s="5" t="n"/>
      <c r="FF116" s="5" t="n"/>
      <c r="FG116" s="5" t="n"/>
      <c r="FH116" s="5" t="n"/>
      <c r="FI116" s="5" t="n"/>
      <c r="FJ116" s="5" t="n"/>
      <c r="FK116" s="5" t="n"/>
      <c r="FL116" s="5" t="n"/>
      <c r="FM116" s="5" t="n"/>
      <c r="FN116" s="5" t="n"/>
      <c r="FO116" s="5" t="n"/>
      <c r="FP116" s="5" t="n"/>
      <c r="FQ116" s="5" t="n"/>
      <c r="FR116" s="5" t="n"/>
      <c r="FS116" s="5" t="n"/>
      <c r="FT116" s="5" t="n"/>
      <c r="FU116" s="5" t="n"/>
      <c r="FV116" s="5" t="n"/>
      <c r="FW116" s="5" t="n"/>
      <c r="FX116" s="5" t="n"/>
      <c r="FY116" s="5" t="n"/>
      <c r="FZ116" s="5" t="n"/>
      <c r="GA116" s="5" t="n"/>
      <c r="GB116" s="5" t="n"/>
      <c r="GC116" s="5" t="n"/>
      <c r="GD116" s="5" t="n"/>
      <c r="GE116" s="5" t="n"/>
      <c r="GF116" s="5" t="n"/>
      <c r="GG116" s="5" t="n"/>
      <c r="GH116" s="5" t="n"/>
      <c r="GI116" s="5" t="n"/>
      <c r="GJ116" s="5" t="n"/>
      <c r="GK116" s="5" t="n"/>
      <c r="GL116" s="5" t="n"/>
      <c r="GM116" s="5" t="n"/>
      <c r="GN116" s="5" t="n"/>
      <c r="GO116" s="5" t="n"/>
      <c r="GP116" s="5" t="n"/>
      <c r="GQ116" s="5" t="n"/>
      <c r="GR116" s="5" t="n"/>
      <c r="GS116" s="5" t="n"/>
      <c r="GT116" s="5" t="n"/>
      <c r="GU116" s="5" t="n"/>
      <c r="GV116" s="5" t="n"/>
      <c r="GW116" s="5" t="n"/>
      <c r="GX116" s="5" t="n"/>
      <c r="GY116" s="5" t="n"/>
      <c r="GZ116" s="5" t="n"/>
      <c r="HA116" s="5" t="n"/>
      <c r="HB116" s="5" t="n"/>
      <c r="HC116" s="5" t="n"/>
      <c r="HD116" s="5" t="n"/>
      <c r="HE116" s="5" t="n"/>
      <c r="HF116" s="5" t="n"/>
      <c r="HG116" s="5" t="n"/>
      <c r="HH116" s="5" t="n"/>
      <c r="HI116" s="5" t="n"/>
      <c r="HJ116" s="5" t="n"/>
      <c r="HK116" s="5" t="n"/>
      <c r="HL116" s="5" t="n"/>
    </row>
    <row r="117" ht="14.4" customFormat="1" customHeight="1" s="8">
      <c r="A117" s="39" t="inlineStr">
        <is>
          <t>4 этап</t>
        </is>
      </c>
      <c r="B117" s="34" t="inlineStr">
        <is>
          <t>4.3.4</t>
        </is>
      </c>
      <c r="C117" s="38" t="inlineStr">
        <is>
          <t>Изготовление, поставка и монтаж оконных отливов</t>
        </is>
      </c>
      <c r="D117" s="39" t="inlineStr">
        <is>
          <t>п.м.</t>
        </is>
      </c>
      <c r="E117" s="155">
        <f>68.8+6.7</f>
        <v/>
      </c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  <c r="EM117" s="5" t="n"/>
      <c r="EN117" s="5" t="n"/>
      <c r="EO117" s="5" t="n"/>
      <c r="EP117" s="5" t="n"/>
      <c r="EQ117" s="5" t="n"/>
      <c r="ER117" s="5" t="n"/>
      <c r="ES117" s="5" t="n"/>
      <c r="ET117" s="5" t="n"/>
      <c r="EU117" s="5" t="n"/>
      <c r="EV117" s="5" t="n"/>
      <c r="EW117" s="5" t="n"/>
      <c r="EX117" s="5" t="n"/>
      <c r="EY117" s="5" t="n"/>
      <c r="EZ117" s="5" t="n"/>
      <c r="FA117" s="5" t="n"/>
      <c r="FB117" s="5" t="n"/>
      <c r="FC117" s="5" t="n"/>
      <c r="FD117" s="5" t="n"/>
      <c r="FE117" s="5" t="n"/>
      <c r="FF117" s="5" t="n"/>
      <c r="FG117" s="5" t="n"/>
      <c r="FH117" s="5" t="n"/>
      <c r="FI117" s="5" t="n"/>
      <c r="FJ117" s="5" t="n"/>
      <c r="FK117" s="5" t="n"/>
      <c r="FL117" s="5" t="n"/>
      <c r="FM117" s="5" t="n"/>
      <c r="FN117" s="5" t="n"/>
      <c r="FO117" s="5" t="n"/>
      <c r="FP117" s="5" t="n"/>
      <c r="FQ117" s="5" t="n"/>
      <c r="FR117" s="5" t="n"/>
      <c r="FS117" s="5" t="n"/>
      <c r="FT117" s="5" t="n"/>
      <c r="FU117" s="5" t="n"/>
      <c r="FV117" s="5" t="n"/>
      <c r="FW117" s="5" t="n"/>
      <c r="FX117" s="5" t="n"/>
      <c r="FY117" s="5" t="n"/>
      <c r="FZ117" s="5" t="n"/>
      <c r="GA117" s="5" t="n"/>
      <c r="GB117" s="5" t="n"/>
      <c r="GC117" s="5" t="n"/>
      <c r="GD117" s="5" t="n"/>
      <c r="GE117" s="5" t="n"/>
      <c r="GF117" s="5" t="n"/>
      <c r="GG117" s="5" t="n"/>
      <c r="GH117" s="5" t="n"/>
      <c r="GI117" s="5" t="n"/>
      <c r="GJ117" s="5" t="n"/>
      <c r="GK117" s="5" t="n"/>
      <c r="GL117" s="5" t="n"/>
      <c r="GM117" s="5" t="n"/>
      <c r="GN117" s="5" t="n"/>
      <c r="GO117" s="5" t="n"/>
      <c r="GP117" s="5" t="n"/>
      <c r="GQ117" s="5" t="n"/>
      <c r="GR117" s="5" t="n"/>
      <c r="GS117" s="5" t="n"/>
      <c r="GT117" s="5" t="n"/>
      <c r="GU117" s="5" t="n"/>
      <c r="GV117" s="5" t="n"/>
      <c r="GW117" s="5" t="n"/>
      <c r="GX117" s="5" t="n"/>
      <c r="GY117" s="5" t="n"/>
      <c r="GZ117" s="5" t="n"/>
      <c r="HA117" s="5" t="n"/>
      <c r="HB117" s="5" t="n"/>
      <c r="HC117" s="5" t="n"/>
      <c r="HD117" s="5" t="n"/>
      <c r="HE117" s="5" t="n"/>
      <c r="HF117" s="5" t="n"/>
      <c r="HG117" s="5" t="n"/>
      <c r="HH117" s="5" t="n"/>
      <c r="HI117" s="5" t="n"/>
      <c r="HJ117" s="5" t="n"/>
      <c r="HK117" s="5" t="n"/>
      <c r="HL117" s="5" t="n"/>
    </row>
    <row r="118" ht="14.4" customFormat="1" customHeight="1" s="8">
      <c r="A118" s="26" t="inlineStr">
        <is>
          <t>4 этап</t>
        </is>
      </c>
      <c r="B118" s="27" t="inlineStr">
        <is>
          <t>4.4</t>
        </is>
      </c>
      <c r="C118" s="28" t="inlineStr">
        <is>
          <t xml:space="preserve">Заполнение наружных дверных проемов </t>
        </is>
      </c>
      <c r="D118" s="54" t="inlineStr">
        <is>
          <t>компл.</t>
        </is>
      </c>
      <c r="E118" s="154" t="n">
        <v>1</v>
      </c>
      <c r="F118" s="158" t="n">
        <v>6200</v>
      </c>
      <c r="G118" s="158" t="n">
        <v>6200</v>
      </c>
      <c r="H118" s="5" t="inlineStr">
        <is>
          <t>ФЕР-2020 × 0.75</t>
        </is>
      </c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  <c r="EM118" s="5" t="n"/>
      <c r="EN118" s="5" t="n"/>
      <c r="EO118" s="5" t="n"/>
      <c r="EP118" s="5" t="n"/>
      <c r="EQ118" s="5" t="n"/>
      <c r="ER118" s="5" t="n"/>
      <c r="ES118" s="5" t="n"/>
      <c r="ET118" s="5" t="n"/>
      <c r="EU118" s="5" t="n"/>
      <c r="EV118" s="5" t="n"/>
      <c r="EW118" s="5" t="n"/>
      <c r="EX118" s="5" t="n"/>
      <c r="EY118" s="5" t="n"/>
      <c r="EZ118" s="5" t="n"/>
      <c r="FA118" s="5" t="n"/>
      <c r="FB118" s="5" t="n"/>
      <c r="FC118" s="5" t="n"/>
      <c r="FD118" s="5" t="n"/>
      <c r="FE118" s="5" t="n"/>
      <c r="FF118" s="5" t="n"/>
      <c r="FG118" s="5" t="n"/>
      <c r="FH118" s="5" t="n"/>
      <c r="FI118" s="5" t="n"/>
      <c r="FJ118" s="5" t="n"/>
      <c r="FK118" s="5" t="n"/>
      <c r="FL118" s="5" t="n"/>
      <c r="FM118" s="5" t="n"/>
      <c r="FN118" s="5" t="n"/>
      <c r="FO118" s="5" t="n"/>
      <c r="FP118" s="5" t="n"/>
      <c r="FQ118" s="5" t="n"/>
      <c r="FR118" s="5" t="n"/>
      <c r="FS118" s="5" t="n"/>
      <c r="FT118" s="5" t="n"/>
      <c r="FU118" s="5" t="n"/>
      <c r="FV118" s="5" t="n"/>
      <c r="FW118" s="5" t="n"/>
      <c r="FX118" s="5" t="n"/>
      <c r="FY118" s="5" t="n"/>
      <c r="FZ118" s="5" t="n"/>
      <c r="GA118" s="5" t="n"/>
      <c r="GB118" s="5" t="n"/>
      <c r="GC118" s="5" t="n"/>
      <c r="GD118" s="5" t="n"/>
      <c r="GE118" s="5" t="n"/>
      <c r="GF118" s="5" t="n"/>
      <c r="GG118" s="5" t="n"/>
      <c r="GH118" s="5" t="n"/>
      <c r="GI118" s="5" t="n"/>
      <c r="GJ118" s="5" t="n"/>
      <c r="GK118" s="5" t="n"/>
      <c r="GL118" s="5" t="n"/>
      <c r="GM118" s="5" t="n"/>
      <c r="GN118" s="5" t="n"/>
      <c r="GO118" s="5" t="n"/>
      <c r="GP118" s="5" t="n"/>
      <c r="GQ118" s="5" t="n"/>
      <c r="GR118" s="5" t="n"/>
      <c r="GS118" s="5" t="n"/>
      <c r="GT118" s="5" t="n"/>
      <c r="GU118" s="5" t="n"/>
      <c r="GV118" s="5" t="n"/>
      <c r="GW118" s="5" t="n"/>
      <c r="GX118" s="5" t="n"/>
      <c r="GY118" s="5" t="n"/>
      <c r="GZ118" s="5" t="n"/>
      <c r="HA118" s="5" t="n"/>
      <c r="HB118" s="5" t="n"/>
      <c r="HC118" s="5" t="n"/>
      <c r="HD118" s="5" t="n"/>
      <c r="HE118" s="5" t="n"/>
      <c r="HF118" s="5" t="n"/>
      <c r="HG118" s="5" t="n"/>
      <c r="HH118" s="5" t="n"/>
      <c r="HI118" s="5" t="n"/>
      <c r="HJ118" s="5" t="n"/>
      <c r="HK118" s="5" t="n"/>
      <c r="HL118" s="5" t="n"/>
    </row>
    <row r="119" ht="28.8" customFormat="1" customHeight="1" s="8">
      <c r="A119" s="33" t="inlineStr">
        <is>
          <t>4 этап</t>
        </is>
      </c>
      <c r="B119" s="27" t="n"/>
      <c r="C119" s="53" t="inlineStr">
        <is>
          <t>Заполнение наружных дверных проемов здания Общежития</t>
        </is>
      </c>
      <c r="D119" s="54" t="n"/>
      <c r="E119" s="142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  <c r="EM119" s="5" t="n"/>
      <c r="EN119" s="5" t="n"/>
      <c r="EO119" s="5" t="n"/>
      <c r="EP119" s="5" t="n"/>
      <c r="EQ119" s="5" t="n"/>
      <c r="ER119" s="5" t="n"/>
      <c r="ES119" s="5" t="n"/>
      <c r="ET119" s="5" t="n"/>
      <c r="EU119" s="5" t="n"/>
      <c r="EV119" s="5" t="n"/>
      <c r="EW119" s="5" t="n"/>
      <c r="EX119" s="5" t="n"/>
      <c r="EY119" s="5" t="n"/>
      <c r="EZ119" s="5" t="n"/>
      <c r="FA119" s="5" t="n"/>
      <c r="FB119" s="5" t="n"/>
      <c r="FC119" s="5" t="n"/>
      <c r="FD119" s="5" t="n"/>
      <c r="FE119" s="5" t="n"/>
      <c r="FF119" s="5" t="n"/>
      <c r="FG119" s="5" t="n"/>
      <c r="FH119" s="5" t="n"/>
      <c r="FI119" s="5" t="n"/>
      <c r="FJ119" s="5" t="n"/>
      <c r="FK119" s="5" t="n"/>
      <c r="FL119" s="5" t="n"/>
      <c r="FM119" s="5" t="n"/>
      <c r="FN119" s="5" t="n"/>
      <c r="FO119" s="5" t="n"/>
      <c r="FP119" s="5" t="n"/>
      <c r="FQ119" s="5" t="n"/>
      <c r="FR119" s="5" t="n"/>
      <c r="FS119" s="5" t="n"/>
      <c r="FT119" s="5" t="n"/>
      <c r="FU119" s="5" t="n"/>
      <c r="FV119" s="5" t="n"/>
      <c r="FW119" s="5" t="n"/>
      <c r="FX119" s="5" t="n"/>
      <c r="FY119" s="5" t="n"/>
      <c r="FZ119" s="5" t="n"/>
      <c r="GA119" s="5" t="n"/>
      <c r="GB119" s="5" t="n"/>
      <c r="GC119" s="5" t="n"/>
      <c r="GD119" s="5" t="n"/>
      <c r="GE119" s="5" t="n"/>
      <c r="GF119" s="5" t="n"/>
      <c r="GG119" s="5" t="n"/>
      <c r="GH119" s="5" t="n"/>
      <c r="GI119" s="5" t="n"/>
      <c r="GJ119" s="5" t="n"/>
      <c r="GK119" s="5" t="n"/>
      <c r="GL119" s="5" t="n"/>
      <c r="GM119" s="5" t="n"/>
      <c r="GN119" s="5" t="n"/>
      <c r="GO119" s="5" t="n"/>
      <c r="GP119" s="5" t="n"/>
      <c r="GQ119" s="5" t="n"/>
      <c r="GR119" s="5" t="n"/>
      <c r="GS119" s="5" t="n"/>
      <c r="GT119" s="5" t="n"/>
      <c r="GU119" s="5" t="n"/>
      <c r="GV119" s="5" t="n"/>
      <c r="GW119" s="5" t="n"/>
      <c r="GX119" s="5" t="n"/>
      <c r="GY119" s="5" t="n"/>
      <c r="GZ119" s="5" t="n"/>
      <c r="HA119" s="5" t="n"/>
      <c r="HB119" s="5" t="n"/>
      <c r="HC119" s="5" t="n"/>
      <c r="HD119" s="5" t="n"/>
      <c r="HE119" s="5" t="n"/>
      <c r="HF119" s="5" t="n"/>
      <c r="HG119" s="5" t="n"/>
      <c r="HH119" s="5" t="n"/>
      <c r="HI119" s="5" t="n"/>
      <c r="HJ119" s="5" t="n"/>
      <c r="HK119" s="5" t="n"/>
      <c r="HL119" s="5" t="n"/>
    </row>
    <row r="120" ht="27.6" customFormat="1" customHeight="1" s="8">
      <c r="A120" s="39" t="inlineStr">
        <is>
          <t>4 этап</t>
        </is>
      </c>
      <c r="B120" s="74" t="inlineStr">
        <is>
          <t>4.3.7</t>
        </is>
      </c>
      <c r="C120" s="38" t="inlineStr">
        <is>
          <t>Изготовление, поставка и монтаж наружных дверей 2300-1450 (Металлическая)</t>
        </is>
      </c>
      <c r="D120" s="39" t="inlineStr">
        <is>
          <t>шт.</t>
        </is>
      </c>
      <c r="E120" s="155" t="n">
        <v>4</v>
      </c>
      <c r="F120" s="158" t="n">
        <v>6200</v>
      </c>
      <c r="G120" s="158" t="n">
        <v>24800</v>
      </c>
      <c r="H120" s="5" t="inlineStr">
        <is>
          <t>ФЕР-2020 × 0.75</t>
        </is>
      </c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  <c r="EM120" s="5" t="n"/>
      <c r="EN120" s="5" t="n"/>
      <c r="EO120" s="5" t="n"/>
      <c r="EP120" s="5" t="n"/>
      <c r="EQ120" s="5" t="n"/>
      <c r="ER120" s="5" t="n"/>
      <c r="ES120" s="5" t="n"/>
      <c r="ET120" s="5" t="n"/>
      <c r="EU120" s="5" t="n"/>
      <c r="EV120" s="5" t="n"/>
      <c r="EW120" s="5" t="n"/>
      <c r="EX120" s="5" t="n"/>
      <c r="EY120" s="5" t="n"/>
      <c r="EZ120" s="5" t="n"/>
      <c r="FA120" s="5" t="n"/>
      <c r="FB120" s="5" t="n"/>
      <c r="FC120" s="5" t="n"/>
      <c r="FD120" s="5" t="n"/>
      <c r="FE120" s="5" t="n"/>
      <c r="FF120" s="5" t="n"/>
      <c r="FG120" s="5" t="n"/>
      <c r="FH120" s="5" t="n"/>
      <c r="FI120" s="5" t="n"/>
      <c r="FJ120" s="5" t="n"/>
      <c r="FK120" s="5" t="n"/>
      <c r="FL120" s="5" t="n"/>
      <c r="FM120" s="5" t="n"/>
      <c r="FN120" s="5" t="n"/>
      <c r="FO120" s="5" t="n"/>
      <c r="FP120" s="5" t="n"/>
      <c r="FQ120" s="5" t="n"/>
      <c r="FR120" s="5" t="n"/>
      <c r="FS120" s="5" t="n"/>
      <c r="FT120" s="5" t="n"/>
      <c r="FU120" s="5" t="n"/>
      <c r="FV120" s="5" t="n"/>
      <c r="FW120" s="5" t="n"/>
      <c r="FX120" s="5" t="n"/>
      <c r="FY120" s="5" t="n"/>
      <c r="FZ120" s="5" t="n"/>
      <c r="GA120" s="5" t="n"/>
      <c r="GB120" s="5" t="n"/>
      <c r="GC120" s="5" t="n"/>
      <c r="GD120" s="5" t="n"/>
      <c r="GE120" s="5" t="n"/>
      <c r="GF120" s="5" t="n"/>
      <c r="GG120" s="5" t="n"/>
      <c r="GH120" s="5" t="n"/>
      <c r="GI120" s="5" t="n"/>
      <c r="GJ120" s="5" t="n"/>
      <c r="GK120" s="5" t="n"/>
      <c r="GL120" s="5" t="n"/>
      <c r="GM120" s="5" t="n"/>
      <c r="GN120" s="5" t="n"/>
      <c r="GO120" s="5" t="n"/>
      <c r="GP120" s="5" t="n"/>
      <c r="GQ120" s="5" t="n"/>
      <c r="GR120" s="5" t="n"/>
      <c r="GS120" s="5" t="n"/>
      <c r="GT120" s="5" t="n"/>
      <c r="GU120" s="5" t="n"/>
      <c r="GV120" s="5" t="n"/>
      <c r="GW120" s="5" t="n"/>
      <c r="GX120" s="5" t="n"/>
      <c r="GY120" s="5" t="n"/>
      <c r="GZ120" s="5" t="n"/>
      <c r="HA120" s="5" t="n"/>
      <c r="HB120" s="5" t="n"/>
      <c r="HC120" s="5" t="n"/>
      <c r="HD120" s="5" t="n"/>
      <c r="HE120" s="5" t="n"/>
      <c r="HF120" s="5" t="n"/>
      <c r="HG120" s="5" t="n"/>
      <c r="HH120" s="5" t="n"/>
      <c r="HI120" s="5" t="n"/>
      <c r="HJ120" s="5" t="n"/>
      <c r="HK120" s="5" t="n"/>
      <c r="HL120" s="5" t="n"/>
    </row>
    <row r="121" ht="27.6" customFormat="1" customHeight="1" s="8">
      <c r="A121" s="39" t="inlineStr">
        <is>
          <t>4 этап</t>
        </is>
      </c>
      <c r="B121" s="74" t="inlineStr">
        <is>
          <t>4.3.8</t>
        </is>
      </c>
      <c r="C121" s="38" t="inlineStr">
        <is>
          <t>Изготовление, поставка и монтаж наружных дверей 2300-1000 (металлическая противопожарная EI-30)</t>
        </is>
      </c>
      <c r="D121" s="39" t="inlineStr">
        <is>
          <t>шт.</t>
        </is>
      </c>
      <c r="E121" s="155" t="n">
        <v>1</v>
      </c>
      <c r="F121" s="158" t="n">
        <v>6200</v>
      </c>
      <c r="G121" s="158" t="n">
        <v>6200</v>
      </c>
      <c r="H121" s="5" t="inlineStr">
        <is>
          <t>ФЕР-2020 × 0.75</t>
        </is>
      </c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  <c r="EM121" s="5" t="n"/>
      <c r="EN121" s="5" t="n"/>
      <c r="EO121" s="5" t="n"/>
      <c r="EP121" s="5" t="n"/>
      <c r="EQ121" s="5" t="n"/>
      <c r="ER121" s="5" t="n"/>
      <c r="ES121" s="5" t="n"/>
      <c r="ET121" s="5" t="n"/>
      <c r="EU121" s="5" t="n"/>
      <c r="EV121" s="5" t="n"/>
      <c r="EW121" s="5" t="n"/>
      <c r="EX121" s="5" t="n"/>
      <c r="EY121" s="5" t="n"/>
      <c r="EZ121" s="5" t="n"/>
      <c r="FA121" s="5" t="n"/>
      <c r="FB121" s="5" t="n"/>
      <c r="FC121" s="5" t="n"/>
      <c r="FD121" s="5" t="n"/>
      <c r="FE121" s="5" t="n"/>
      <c r="FF121" s="5" t="n"/>
      <c r="FG121" s="5" t="n"/>
      <c r="FH121" s="5" t="n"/>
      <c r="FI121" s="5" t="n"/>
      <c r="FJ121" s="5" t="n"/>
      <c r="FK121" s="5" t="n"/>
      <c r="FL121" s="5" t="n"/>
      <c r="FM121" s="5" t="n"/>
      <c r="FN121" s="5" t="n"/>
      <c r="FO121" s="5" t="n"/>
      <c r="FP121" s="5" t="n"/>
      <c r="FQ121" s="5" t="n"/>
      <c r="FR121" s="5" t="n"/>
      <c r="FS121" s="5" t="n"/>
      <c r="FT121" s="5" t="n"/>
      <c r="FU121" s="5" t="n"/>
      <c r="FV121" s="5" t="n"/>
      <c r="FW121" s="5" t="n"/>
      <c r="FX121" s="5" t="n"/>
      <c r="FY121" s="5" t="n"/>
      <c r="FZ121" s="5" t="n"/>
      <c r="GA121" s="5" t="n"/>
      <c r="GB121" s="5" t="n"/>
      <c r="GC121" s="5" t="n"/>
      <c r="GD121" s="5" t="n"/>
      <c r="GE121" s="5" t="n"/>
      <c r="GF121" s="5" t="n"/>
      <c r="GG121" s="5" t="n"/>
      <c r="GH121" s="5" t="n"/>
      <c r="GI121" s="5" t="n"/>
      <c r="GJ121" s="5" t="n"/>
      <c r="GK121" s="5" t="n"/>
      <c r="GL121" s="5" t="n"/>
      <c r="GM121" s="5" t="n"/>
      <c r="GN121" s="5" t="n"/>
      <c r="GO121" s="5" t="n"/>
      <c r="GP121" s="5" t="n"/>
      <c r="GQ121" s="5" t="n"/>
      <c r="GR121" s="5" t="n"/>
      <c r="GS121" s="5" t="n"/>
      <c r="GT121" s="5" t="n"/>
      <c r="GU121" s="5" t="n"/>
      <c r="GV121" s="5" t="n"/>
      <c r="GW121" s="5" t="n"/>
      <c r="GX121" s="5" t="n"/>
      <c r="GY121" s="5" t="n"/>
      <c r="GZ121" s="5" t="n"/>
      <c r="HA121" s="5" t="n"/>
      <c r="HB121" s="5" t="n"/>
      <c r="HC121" s="5" t="n"/>
      <c r="HD121" s="5" t="n"/>
      <c r="HE121" s="5" t="n"/>
      <c r="HF121" s="5" t="n"/>
      <c r="HG121" s="5" t="n"/>
      <c r="HH121" s="5" t="n"/>
      <c r="HI121" s="5" t="n"/>
      <c r="HJ121" s="5" t="n"/>
      <c r="HK121" s="5" t="n"/>
      <c r="HL121" s="5" t="n"/>
    </row>
    <row r="122" ht="14.4" customFormat="1" customHeight="1" s="8">
      <c r="A122" s="33" t="inlineStr">
        <is>
          <t>4 этап</t>
        </is>
      </c>
      <c r="B122" s="34" t="n"/>
      <c r="C122" s="53" t="inlineStr">
        <is>
          <t>Заполнение наружных дверных проемов здания АБК</t>
        </is>
      </c>
      <c r="D122" s="54" t="n"/>
      <c r="E122" s="142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  <c r="EM122" s="5" t="n"/>
      <c r="EN122" s="5" t="n"/>
      <c r="EO122" s="5" t="n"/>
      <c r="EP122" s="5" t="n"/>
      <c r="EQ122" s="5" t="n"/>
      <c r="ER122" s="5" t="n"/>
      <c r="ES122" s="5" t="n"/>
      <c r="ET122" s="5" t="n"/>
      <c r="EU122" s="5" t="n"/>
      <c r="EV122" s="5" t="n"/>
      <c r="EW122" s="5" t="n"/>
      <c r="EX122" s="5" t="n"/>
      <c r="EY122" s="5" t="n"/>
      <c r="EZ122" s="5" t="n"/>
      <c r="FA122" s="5" t="n"/>
      <c r="FB122" s="5" t="n"/>
      <c r="FC122" s="5" t="n"/>
      <c r="FD122" s="5" t="n"/>
      <c r="FE122" s="5" t="n"/>
      <c r="FF122" s="5" t="n"/>
      <c r="FG122" s="5" t="n"/>
      <c r="FH122" s="5" t="n"/>
      <c r="FI122" s="5" t="n"/>
      <c r="FJ122" s="5" t="n"/>
      <c r="FK122" s="5" t="n"/>
      <c r="FL122" s="5" t="n"/>
      <c r="FM122" s="5" t="n"/>
      <c r="FN122" s="5" t="n"/>
      <c r="FO122" s="5" t="n"/>
      <c r="FP122" s="5" t="n"/>
      <c r="FQ122" s="5" t="n"/>
      <c r="FR122" s="5" t="n"/>
      <c r="FS122" s="5" t="n"/>
      <c r="FT122" s="5" t="n"/>
      <c r="FU122" s="5" t="n"/>
      <c r="FV122" s="5" t="n"/>
      <c r="FW122" s="5" t="n"/>
      <c r="FX122" s="5" t="n"/>
      <c r="FY122" s="5" t="n"/>
      <c r="FZ122" s="5" t="n"/>
      <c r="GA122" s="5" t="n"/>
      <c r="GB122" s="5" t="n"/>
      <c r="GC122" s="5" t="n"/>
      <c r="GD122" s="5" t="n"/>
      <c r="GE122" s="5" t="n"/>
      <c r="GF122" s="5" t="n"/>
      <c r="GG122" s="5" t="n"/>
      <c r="GH122" s="5" t="n"/>
      <c r="GI122" s="5" t="n"/>
      <c r="GJ122" s="5" t="n"/>
      <c r="GK122" s="5" t="n"/>
      <c r="GL122" s="5" t="n"/>
      <c r="GM122" s="5" t="n"/>
      <c r="GN122" s="5" t="n"/>
      <c r="GO122" s="5" t="n"/>
      <c r="GP122" s="5" t="n"/>
      <c r="GQ122" s="5" t="n"/>
      <c r="GR122" s="5" t="n"/>
      <c r="GS122" s="5" t="n"/>
      <c r="GT122" s="5" t="n"/>
      <c r="GU122" s="5" t="n"/>
      <c r="GV122" s="5" t="n"/>
      <c r="GW122" s="5" t="n"/>
      <c r="GX122" s="5" t="n"/>
      <c r="GY122" s="5" t="n"/>
      <c r="GZ122" s="5" t="n"/>
      <c r="HA122" s="5" t="n"/>
      <c r="HB122" s="5" t="n"/>
      <c r="HC122" s="5" t="n"/>
      <c r="HD122" s="5" t="n"/>
      <c r="HE122" s="5" t="n"/>
      <c r="HF122" s="5" t="n"/>
      <c r="HG122" s="5" t="n"/>
      <c r="HH122" s="5" t="n"/>
      <c r="HI122" s="5" t="n"/>
      <c r="HJ122" s="5" t="n"/>
      <c r="HK122" s="5" t="n"/>
      <c r="HL122" s="5" t="n"/>
    </row>
    <row r="123" ht="27.6" customFormat="1" customHeight="1" s="8">
      <c r="A123" s="39" t="inlineStr">
        <is>
          <t>4 этап</t>
        </is>
      </c>
      <c r="B123" s="74" t="inlineStr">
        <is>
          <t>4.3.10</t>
        </is>
      </c>
      <c r="C123" s="38" t="inlineStr">
        <is>
          <t>Изготовление, поставка и монтаж наружных дверей 2100-1000 (Металлическая)</t>
        </is>
      </c>
      <c r="D123" s="39" t="inlineStr">
        <is>
          <t>шт.</t>
        </is>
      </c>
      <c r="E123" s="155" t="n">
        <v>1</v>
      </c>
      <c r="F123" s="158" t="n">
        <v>6200</v>
      </c>
      <c r="G123" s="158" t="n">
        <v>6200</v>
      </c>
      <c r="H123" s="5" t="inlineStr">
        <is>
          <t>ФЕР-2020 × 0.75</t>
        </is>
      </c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  <c r="EM123" s="5" t="n"/>
      <c r="EN123" s="5" t="n"/>
      <c r="EO123" s="5" t="n"/>
      <c r="EP123" s="5" t="n"/>
      <c r="EQ123" s="5" t="n"/>
      <c r="ER123" s="5" t="n"/>
      <c r="ES123" s="5" t="n"/>
      <c r="ET123" s="5" t="n"/>
      <c r="EU123" s="5" t="n"/>
      <c r="EV123" s="5" t="n"/>
      <c r="EW123" s="5" t="n"/>
      <c r="EX123" s="5" t="n"/>
      <c r="EY123" s="5" t="n"/>
      <c r="EZ123" s="5" t="n"/>
      <c r="FA123" s="5" t="n"/>
      <c r="FB123" s="5" t="n"/>
      <c r="FC123" s="5" t="n"/>
      <c r="FD123" s="5" t="n"/>
      <c r="FE123" s="5" t="n"/>
      <c r="FF123" s="5" t="n"/>
      <c r="FG123" s="5" t="n"/>
      <c r="FH123" s="5" t="n"/>
      <c r="FI123" s="5" t="n"/>
      <c r="FJ123" s="5" t="n"/>
      <c r="FK123" s="5" t="n"/>
      <c r="FL123" s="5" t="n"/>
      <c r="FM123" s="5" t="n"/>
      <c r="FN123" s="5" t="n"/>
      <c r="FO123" s="5" t="n"/>
      <c r="FP123" s="5" t="n"/>
      <c r="FQ123" s="5" t="n"/>
      <c r="FR123" s="5" t="n"/>
      <c r="FS123" s="5" t="n"/>
      <c r="FT123" s="5" t="n"/>
      <c r="FU123" s="5" t="n"/>
      <c r="FV123" s="5" t="n"/>
      <c r="FW123" s="5" t="n"/>
      <c r="FX123" s="5" t="n"/>
      <c r="FY123" s="5" t="n"/>
      <c r="FZ123" s="5" t="n"/>
      <c r="GA123" s="5" t="n"/>
      <c r="GB123" s="5" t="n"/>
      <c r="GC123" s="5" t="n"/>
      <c r="GD123" s="5" t="n"/>
      <c r="GE123" s="5" t="n"/>
      <c r="GF123" s="5" t="n"/>
      <c r="GG123" s="5" t="n"/>
      <c r="GH123" s="5" t="n"/>
      <c r="GI123" s="5" t="n"/>
      <c r="GJ123" s="5" t="n"/>
      <c r="GK123" s="5" t="n"/>
      <c r="GL123" s="5" t="n"/>
      <c r="GM123" s="5" t="n"/>
      <c r="GN123" s="5" t="n"/>
      <c r="GO123" s="5" t="n"/>
      <c r="GP123" s="5" t="n"/>
      <c r="GQ123" s="5" t="n"/>
      <c r="GR123" s="5" t="n"/>
      <c r="GS123" s="5" t="n"/>
      <c r="GT123" s="5" t="n"/>
      <c r="GU123" s="5" t="n"/>
      <c r="GV123" s="5" t="n"/>
      <c r="GW123" s="5" t="n"/>
      <c r="GX123" s="5" t="n"/>
      <c r="GY123" s="5" t="n"/>
      <c r="GZ123" s="5" t="n"/>
      <c r="HA123" s="5" t="n"/>
      <c r="HB123" s="5" t="n"/>
      <c r="HC123" s="5" t="n"/>
      <c r="HD123" s="5" t="n"/>
      <c r="HE123" s="5" t="n"/>
      <c r="HF123" s="5" t="n"/>
      <c r="HG123" s="5" t="n"/>
      <c r="HH123" s="5" t="n"/>
      <c r="HI123" s="5" t="n"/>
      <c r="HJ123" s="5" t="n"/>
      <c r="HK123" s="5" t="n"/>
      <c r="HL123" s="5" t="n"/>
    </row>
    <row r="124" ht="30.6" customFormat="1" customHeight="1" s="8">
      <c r="A124" s="39" t="inlineStr">
        <is>
          <t>4 этап</t>
        </is>
      </c>
      <c r="B124" s="74" t="inlineStr">
        <is>
          <t>4.3.11</t>
        </is>
      </c>
      <c r="C124" s="38" t="inlineStr">
        <is>
          <t>Изготовление, поставка и монтаж наружных дверей 2300-1450 (металлическая противопожарная EI-45)</t>
        </is>
      </c>
      <c r="D124" s="39" t="inlineStr">
        <is>
          <t>шт.</t>
        </is>
      </c>
      <c r="E124" s="155" t="n">
        <v>1</v>
      </c>
      <c r="F124" s="158" t="n">
        <v>6200</v>
      </c>
      <c r="G124" s="158" t="n">
        <v>6200</v>
      </c>
      <c r="H124" s="5" t="inlineStr">
        <is>
          <t>ФЕР-2020 × 0.75</t>
        </is>
      </c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  <c r="EM124" s="5" t="n"/>
      <c r="EN124" s="5" t="n"/>
      <c r="EO124" s="5" t="n"/>
      <c r="EP124" s="5" t="n"/>
      <c r="EQ124" s="5" t="n"/>
      <c r="ER124" s="5" t="n"/>
      <c r="ES124" s="5" t="n"/>
      <c r="ET124" s="5" t="n"/>
      <c r="EU124" s="5" t="n"/>
      <c r="EV124" s="5" t="n"/>
      <c r="EW124" s="5" t="n"/>
      <c r="EX124" s="5" t="n"/>
      <c r="EY124" s="5" t="n"/>
      <c r="EZ124" s="5" t="n"/>
      <c r="FA124" s="5" t="n"/>
      <c r="FB124" s="5" t="n"/>
      <c r="FC124" s="5" t="n"/>
      <c r="FD124" s="5" t="n"/>
      <c r="FE124" s="5" t="n"/>
      <c r="FF124" s="5" t="n"/>
      <c r="FG124" s="5" t="n"/>
      <c r="FH124" s="5" t="n"/>
      <c r="FI124" s="5" t="n"/>
      <c r="FJ124" s="5" t="n"/>
      <c r="FK124" s="5" t="n"/>
      <c r="FL124" s="5" t="n"/>
      <c r="FM124" s="5" t="n"/>
      <c r="FN124" s="5" t="n"/>
      <c r="FO124" s="5" t="n"/>
      <c r="FP124" s="5" t="n"/>
      <c r="FQ124" s="5" t="n"/>
      <c r="FR124" s="5" t="n"/>
      <c r="FS124" s="5" t="n"/>
      <c r="FT124" s="5" t="n"/>
      <c r="FU124" s="5" t="n"/>
      <c r="FV124" s="5" t="n"/>
      <c r="FW124" s="5" t="n"/>
      <c r="FX124" s="5" t="n"/>
      <c r="FY124" s="5" t="n"/>
      <c r="FZ124" s="5" t="n"/>
      <c r="GA124" s="5" t="n"/>
      <c r="GB124" s="5" t="n"/>
      <c r="GC124" s="5" t="n"/>
      <c r="GD124" s="5" t="n"/>
      <c r="GE124" s="5" t="n"/>
      <c r="GF124" s="5" t="n"/>
      <c r="GG124" s="5" t="n"/>
      <c r="GH124" s="5" t="n"/>
      <c r="GI124" s="5" t="n"/>
      <c r="GJ124" s="5" t="n"/>
      <c r="GK124" s="5" t="n"/>
      <c r="GL124" s="5" t="n"/>
      <c r="GM124" s="5" t="n"/>
      <c r="GN124" s="5" t="n"/>
      <c r="GO124" s="5" t="n"/>
      <c r="GP124" s="5" t="n"/>
      <c r="GQ124" s="5" t="n"/>
      <c r="GR124" s="5" t="n"/>
      <c r="GS124" s="5" t="n"/>
      <c r="GT124" s="5" t="n"/>
      <c r="GU124" s="5" t="n"/>
      <c r="GV124" s="5" t="n"/>
      <c r="GW124" s="5" t="n"/>
      <c r="GX124" s="5" t="n"/>
      <c r="GY124" s="5" t="n"/>
      <c r="GZ124" s="5" t="n"/>
      <c r="HA124" s="5" t="n"/>
      <c r="HB124" s="5" t="n"/>
      <c r="HC124" s="5" t="n"/>
      <c r="HD124" s="5" t="n"/>
      <c r="HE124" s="5" t="n"/>
      <c r="HF124" s="5" t="n"/>
      <c r="HG124" s="5" t="n"/>
      <c r="HH124" s="5" t="n"/>
      <c r="HI124" s="5" t="n"/>
      <c r="HJ124" s="5" t="n"/>
      <c r="HK124" s="5" t="n"/>
      <c r="HL124" s="5" t="n"/>
    </row>
    <row r="125" ht="30.6" customFormat="1" customHeight="1" s="8">
      <c r="A125" s="39" t="inlineStr">
        <is>
          <t>4 этап</t>
        </is>
      </c>
      <c r="B125" s="74" t="inlineStr">
        <is>
          <t>4.3.12</t>
        </is>
      </c>
      <c r="C125" s="38" t="inlineStr">
        <is>
          <t>Изготовление, поставка и монтаж наружных дверей 2300-1000 (металлическая противопожарная EI-30)</t>
        </is>
      </c>
      <c r="D125" s="39" t="inlineStr">
        <is>
          <t>шт.</t>
        </is>
      </c>
      <c r="E125" s="155" t="n">
        <v>1</v>
      </c>
      <c r="F125" s="158" t="n">
        <v>6200</v>
      </c>
      <c r="G125" s="158" t="n">
        <v>6200</v>
      </c>
      <c r="H125" s="5" t="inlineStr">
        <is>
          <t>ФЕР-2020 × 0.75</t>
        </is>
      </c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  <c r="EM125" s="5" t="n"/>
      <c r="EN125" s="5" t="n"/>
      <c r="EO125" s="5" t="n"/>
      <c r="EP125" s="5" t="n"/>
      <c r="EQ125" s="5" t="n"/>
      <c r="ER125" s="5" t="n"/>
      <c r="ES125" s="5" t="n"/>
      <c r="ET125" s="5" t="n"/>
      <c r="EU125" s="5" t="n"/>
      <c r="EV125" s="5" t="n"/>
      <c r="EW125" s="5" t="n"/>
      <c r="EX125" s="5" t="n"/>
      <c r="EY125" s="5" t="n"/>
      <c r="EZ125" s="5" t="n"/>
      <c r="FA125" s="5" t="n"/>
      <c r="FB125" s="5" t="n"/>
      <c r="FC125" s="5" t="n"/>
      <c r="FD125" s="5" t="n"/>
      <c r="FE125" s="5" t="n"/>
      <c r="FF125" s="5" t="n"/>
      <c r="FG125" s="5" t="n"/>
      <c r="FH125" s="5" t="n"/>
      <c r="FI125" s="5" t="n"/>
      <c r="FJ125" s="5" t="n"/>
      <c r="FK125" s="5" t="n"/>
      <c r="FL125" s="5" t="n"/>
      <c r="FM125" s="5" t="n"/>
      <c r="FN125" s="5" t="n"/>
      <c r="FO125" s="5" t="n"/>
      <c r="FP125" s="5" t="n"/>
      <c r="FQ125" s="5" t="n"/>
      <c r="FR125" s="5" t="n"/>
      <c r="FS125" s="5" t="n"/>
      <c r="FT125" s="5" t="n"/>
      <c r="FU125" s="5" t="n"/>
      <c r="FV125" s="5" t="n"/>
      <c r="FW125" s="5" t="n"/>
      <c r="FX125" s="5" t="n"/>
      <c r="FY125" s="5" t="n"/>
      <c r="FZ125" s="5" t="n"/>
      <c r="GA125" s="5" t="n"/>
      <c r="GB125" s="5" t="n"/>
      <c r="GC125" s="5" t="n"/>
      <c r="GD125" s="5" t="n"/>
      <c r="GE125" s="5" t="n"/>
      <c r="GF125" s="5" t="n"/>
      <c r="GG125" s="5" t="n"/>
      <c r="GH125" s="5" t="n"/>
      <c r="GI125" s="5" t="n"/>
      <c r="GJ125" s="5" t="n"/>
      <c r="GK125" s="5" t="n"/>
      <c r="GL125" s="5" t="n"/>
      <c r="GM125" s="5" t="n"/>
      <c r="GN125" s="5" t="n"/>
      <c r="GO125" s="5" t="n"/>
      <c r="GP125" s="5" t="n"/>
      <c r="GQ125" s="5" t="n"/>
      <c r="GR125" s="5" t="n"/>
      <c r="GS125" s="5" t="n"/>
      <c r="GT125" s="5" t="n"/>
      <c r="GU125" s="5" t="n"/>
      <c r="GV125" s="5" t="n"/>
      <c r="GW125" s="5" t="n"/>
      <c r="GX125" s="5" t="n"/>
      <c r="GY125" s="5" t="n"/>
      <c r="GZ125" s="5" t="n"/>
      <c r="HA125" s="5" t="n"/>
      <c r="HB125" s="5" t="n"/>
      <c r="HC125" s="5" t="n"/>
      <c r="HD125" s="5" t="n"/>
      <c r="HE125" s="5" t="n"/>
      <c r="HF125" s="5" t="n"/>
      <c r="HG125" s="5" t="n"/>
      <c r="HH125" s="5" t="n"/>
      <c r="HI125" s="5" t="n"/>
      <c r="HJ125" s="5" t="n"/>
      <c r="HK125" s="5" t="n"/>
      <c r="HL125" s="5" t="n"/>
    </row>
    <row r="126" ht="24" customFormat="1" customHeight="1" s="8">
      <c r="A126" s="75" t="n"/>
      <c r="B126" s="76" t="n"/>
      <c r="C126" s="57" t="inlineStr">
        <is>
          <t xml:space="preserve">ИТОГО 4 ЭТАП </t>
        </is>
      </c>
      <c r="D126" s="77" t="n"/>
      <c r="E126" s="144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  <c r="EM126" s="5" t="n"/>
      <c r="EN126" s="5" t="n"/>
      <c r="EO126" s="5" t="n"/>
      <c r="EP126" s="5" t="n"/>
      <c r="EQ126" s="5" t="n"/>
      <c r="ER126" s="5" t="n"/>
      <c r="ES126" s="5" t="n"/>
      <c r="ET126" s="5" t="n"/>
      <c r="EU126" s="5" t="n"/>
      <c r="EV126" s="5" t="n"/>
      <c r="EW126" s="5" t="n"/>
      <c r="EX126" s="5" t="n"/>
      <c r="EY126" s="5" t="n"/>
      <c r="EZ126" s="5" t="n"/>
      <c r="FA126" s="5" t="n"/>
      <c r="FB126" s="5" t="n"/>
      <c r="FC126" s="5" t="n"/>
      <c r="FD126" s="5" t="n"/>
      <c r="FE126" s="5" t="n"/>
      <c r="FF126" s="5" t="n"/>
      <c r="FG126" s="5" t="n"/>
      <c r="FH126" s="5" t="n"/>
      <c r="FI126" s="5" t="n"/>
      <c r="FJ126" s="5" t="n"/>
      <c r="FK126" s="5" t="n"/>
      <c r="FL126" s="5" t="n"/>
      <c r="FM126" s="5" t="n"/>
      <c r="FN126" s="5" t="n"/>
      <c r="FO126" s="5" t="n"/>
      <c r="FP126" s="5" t="n"/>
      <c r="FQ126" s="5" t="n"/>
      <c r="FR126" s="5" t="n"/>
      <c r="FS126" s="5" t="n"/>
      <c r="FT126" s="5" t="n"/>
      <c r="FU126" s="5" t="n"/>
      <c r="FV126" s="5" t="n"/>
      <c r="FW126" s="5" t="n"/>
      <c r="FX126" s="5" t="n"/>
      <c r="FY126" s="5" t="n"/>
      <c r="FZ126" s="5" t="n"/>
      <c r="GA126" s="5" t="n"/>
      <c r="GB126" s="5" t="n"/>
      <c r="GC126" s="5" t="n"/>
      <c r="GD126" s="5" t="n"/>
      <c r="GE126" s="5" t="n"/>
      <c r="GF126" s="5" t="n"/>
      <c r="GG126" s="5" t="n"/>
      <c r="GH126" s="5" t="n"/>
      <c r="GI126" s="5" t="n"/>
      <c r="GJ126" s="5" t="n"/>
      <c r="GK126" s="5" t="n"/>
      <c r="GL126" s="5" t="n"/>
      <c r="GM126" s="5" t="n"/>
      <c r="GN126" s="5" t="n"/>
      <c r="GO126" s="5" t="n"/>
      <c r="GP126" s="5" t="n"/>
      <c r="GQ126" s="5" t="n"/>
      <c r="GR126" s="5" t="n"/>
      <c r="GS126" s="5" t="n"/>
      <c r="GT126" s="5" t="n"/>
      <c r="GU126" s="5" t="n"/>
      <c r="GV126" s="5" t="n"/>
      <c r="GW126" s="5" t="n"/>
      <c r="GX126" s="5" t="n"/>
      <c r="GY126" s="5" t="n"/>
      <c r="GZ126" s="5" t="n"/>
      <c r="HA126" s="5" t="n"/>
      <c r="HB126" s="5" t="n"/>
      <c r="HC126" s="5" t="n"/>
      <c r="HD126" s="5" t="n"/>
      <c r="HE126" s="5" t="n"/>
      <c r="HF126" s="5" t="n"/>
      <c r="HG126" s="5" t="n"/>
      <c r="HH126" s="5" t="n"/>
      <c r="HI126" s="5" t="n"/>
      <c r="HJ126" s="5" t="n"/>
      <c r="HK126" s="5" t="n"/>
      <c r="HL126" s="5" t="n"/>
    </row>
    <row r="127" ht="16.8" customFormat="1" customHeight="1" s="3">
      <c r="A127" s="62" t="inlineStr">
        <is>
          <t>5 этап</t>
        </is>
      </c>
      <c r="B127" s="63" t="n"/>
      <c r="C127" s="23" t="inlineStr">
        <is>
          <t xml:space="preserve"> 5 ЭТАП</t>
        </is>
      </c>
      <c r="D127" s="138" t="n"/>
      <c r="E127" s="138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24" t="n"/>
      <c r="Z127" s="124" t="n"/>
      <c r="AA127" s="124" t="n"/>
      <c r="AB127" s="124" t="n"/>
      <c r="AC127" s="124" t="n"/>
      <c r="AD127" s="124" t="n"/>
      <c r="AE127" s="124" t="n"/>
      <c r="AF127" s="124" t="n"/>
      <c r="AG127" s="124" t="n"/>
      <c r="AH127" s="124" t="n"/>
      <c r="AI127" s="124" t="n"/>
      <c r="AJ127" s="124" t="n"/>
      <c r="AK127" s="124" t="n"/>
      <c r="AL127" s="124" t="n"/>
      <c r="AM127" s="124" t="n"/>
      <c r="AN127" s="124" t="n"/>
      <c r="AO127" s="124" t="n"/>
      <c r="AP127" s="124" t="n"/>
      <c r="AQ127" s="124" t="n"/>
      <c r="AR127" s="124" t="n"/>
      <c r="AS127" s="124" t="n"/>
      <c r="AT127" s="124" t="n"/>
      <c r="AU127" s="124" t="n"/>
      <c r="AV127" s="124" t="n"/>
      <c r="AW127" s="124" t="n"/>
      <c r="AX127" s="124" t="n"/>
      <c r="AY127" s="124" t="n"/>
      <c r="AZ127" s="124" t="n"/>
      <c r="BA127" s="124" t="n"/>
      <c r="BB127" s="124" t="n"/>
      <c r="BC127" s="124" t="n"/>
      <c r="BD127" s="124" t="n"/>
      <c r="BE127" s="124" t="n"/>
      <c r="BF127" s="124" t="n"/>
      <c r="BG127" s="124" t="n"/>
      <c r="BH127" s="124" t="n"/>
      <c r="BI127" s="124" t="n"/>
      <c r="BJ127" s="124" t="n"/>
      <c r="BK127" s="124" t="n"/>
      <c r="BL127" s="124" t="n"/>
      <c r="BM127" s="124" t="n"/>
      <c r="BN127" s="124" t="n"/>
      <c r="BO127" s="124" t="n"/>
      <c r="BP127" s="124" t="n"/>
      <c r="BQ127" s="124" t="n"/>
      <c r="BR127" s="124" t="n"/>
      <c r="BS127" s="124" t="n"/>
      <c r="BT127" s="124" t="n"/>
      <c r="BU127" s="124" t="n"/>
      <c r="BV127" s="124" t="n"/>
      <c r="BW127" s="124" t="n"/>
      <c r="BX127" s="124" t="n"/>
      <c r="BY127" s="124" t="n"/>
      <c r="BZ127" s="124" t="n"/>
      <c r="CA127" s="124" t="n"/>
      <c r="CB127" s="124" t="n"/>
      <c r="CC127" s="124" t="n"/>
      <c r="CD127" s="124" t="n"/>
      <c r="CE127" s="124" t="n"/>
      <c r="CF127" s="124" t="n"/>
      <c r="CG127" s="124" t="n"/>
      <c r="CH127" s="124" t="n"/>
      <c r="CI127" s="124" t="n"/>
      <c r="CJ127" s="124" t="n"/>
      <c r="CK127" s="124" t="n"/>
      <c r="CL127" s="124" t="n"/>
      <c r="CM127" s="124" t="n"/>
      <c r="CN127" s="124" t="n"/>
      <c r="CO127" s="124" t="n"/>
      <c r="CP127" s="124" t="n"/>
      <c r="CQ127" s="124" t="n"/>
      <c r="CR127" s="124" t="n"/>
      <c r="CS127" s="124" t="n"/>
      <c r="CT127" s="124" t="n"/>
      <c r="CU127" s="124" t="n"/>
      <c r="CV127" s="124" t="n"/>
      <c r="CW127" s="124" t="n"/>
      <c r="CX127" s="124" t="n"/>
      <c r="CY127" s="124" t="n"/>
      <c r="CZ127" s="124" t="n"/>
      <c r="DA127" s="124" t="n"/>
      <c r="DB127" s="124" t="n"/>
      <c r="DC127" s="124" t="n"/>
      <c r="DD127" s="124" t="n"/>
      <c r="DE127" s="124" t="n"/>
      <c r="DF127" s="124" t="n"/>
      <c r="DG127" s="124" t="n"/>
      <c r="DH127" s="124" t="n"/>
      <c r="DI127" s="124" t="n"/>
      <c r="DJ127" s="124" t="n"/>
      <c r="DK127" s="124" t="n"/>
      <c r="DL127" s="124" t="n"/>
      <c r="DM127" s="124" t="n"/>
      <c r="DN127" s="124" t="n"/>
      <c r="DO127" s="124" t="n"/>
      <c r="DP127" s="124" t="n"/>
      <c r="DQ127" s="124" t="n"/>
      <c r="DR127" s="124" t="n"/>
      <c r="DS127" s="124" t="n"/>
      <c r="DT127" s="124" t="n"/>
      <c r="DU127" s="124" t="n"/>
      <c r="DV127" s="124" t="n"/>
      <c r="DW127" s="124" t="n"/>
      <c r="DX127" s="124" t="n"/>
      <c r="DY127" s="124" t="n"/>
      <c r="DZ127" s="124" t="n"/>
      <c r="EA127" s="124" t="n"/>
      <c r="EB127" s="124" t="n"/>
      <c r="EC127" s="124" t="n"/>
      <c r="ED127" s="124" t="n"/>
      <c r="EE127" s="124" t="n"/>
      <c r="EF127" s="124" t="n"/>
      <c r="EG127" s="124" t="n"/>
      <c r="EH127" s="124" t="n"/>
      <c r="EI127" s="124" t="n"/>
      <c r="EJ127" s="124" t="n"/>
      <c r="EK127" s="124" t="n"/>
      <c r="EL127" s="124" t="n"/>
      <c r="EM127" s="124" t="n"/>
      <c r="EN127" s="124" t="n"/>
      <c r="EO127" s="124" t="n"/>
      <c r="EP127" s="124" t="n"/>
      <c r="EQ127" s="124" t="n"/>
      <c r="ER127" s="124" t="n"/>
      <c r="ES127" s="124" t="n"/>
      <c r="ET127" s="124" t="n"/>
      <c r="EU127" s="124" t="n"/>
      <c r="EV127" s="124" t="n"/>
      <c r="EW127" s="124" t="n"/>
      <c r="EX127" s="124" t="n"/>
      <c r="EY127" s="124" t="n"/>
      <c r="EZ127" s="124" t="n"/>
      <c r="FA127" s="124" t="n"/>
      <c r="FB127" s="124" t="n"/>
      <c r="FC127" s="124" t="n"/>
      <c r="FD127" s="124" t="n"/>
      <c r="FE127" s="124" t="n"/>
      <c r="FF127" s="124" t="n"/>
      <c r="FG127" s="124" t="n"/>
      <c r="FH127" s="124" t="n"/>
      <c r="FI127" s="124" t="n"/>
      <c r="FJ127" s="124" t="n"/>
      <c r="FK127" s="124" t="n"/>
      <c r="FL127" s="124" t="n"/>
      <c r="FM127" s="124" t="n"/>
      <c r="FN127" s="124" t="n"/>
      <c r="FO127" s="124" t="n"/>
      <c r="FP127" s="124" t="n"/>
      <c r="FQ127" s="124" t="n"/>
      <c r="FR127" s="124" t="n"/>
      <c r="FS127" s="124" t="n"/>
      <c r="FT127" s="124" t="n"/>
      <c r="FU127" s="124" t="n"/>
      <c r="FV127" s="124" t="n"/>
      <c r="FW127" s="124" t="n"/>
      <c r="FX127" s="124" t="n"/>
      <c r="FY127" s="124" t="n"/>
      <c r="FZ127" s="124" t="n"/>
      <c r="GA127" s="124" t="n"/>
      <c r="GB127" s="124" t="n"/>
      <c r="GC127" s="124" t="n"/>
      <c r="GD127" s="124" t="n"/>
      <c r="GE127" s="124" t="n"/>
      <c r="GF127" s="124" t="n"/>
      <c r="GG127" s="124" t="n"/>
      <c r="GH127" s="124" t="n"/>
      <c r="GI127" s="124" t="n"/>
      <c r="GJ127" s="124" t="n"/>
      <c r="GK127" s="124" t="n"/>
      <c r="GL127" s="124" t="n"/>
      <c r="GM127" s="124" t="n"/>
      <c r="GN127" s="124" t="n"/>
      <c r="GO127" s="124" t="n"/>
      <c r="GP127" s="124" t="n"/>
      <c r="GQ127" s="124" t="n"/>
      <c r="GR127" s="124" t="n"/>
      <c r="GS127" s="124" t="n"/>
      <c r="GT127" s="124" t="n"/>
      <c r="GU127" s="124" t="n"/>
      <c r="GV127" s="124" t="n"/>
      <c r="GW127" s="124" t="n"/>
      <c r="GX127" s="124" t="n"/>
      <c r="GY127" s="124" t="n"/>
      <c r="GZ127" s="124" t="n"/>
      <c r="HA127" s="124" t="n"/>
      <c r="HB127" s="124" t="n"/>
      <c r="HC127" s="124" t="n"/>
      <c r="HD127" s="124" t="n"/>
      <c r="HE127" s="124" t="n"/>
      <c r="HF127" s="124" t="n"/>
      <c r="HG127" s="124" t="n"/>
      <c r="HH127" s="124" t="n"/>
      <c r="HI127" s="124" t="n"/>
      <c r="HJ127" s="124" t="n"/>
      <c r="HK127" s="124" t="n"/>
      <c r="HL127" s="124" t="n"/>
    </row>
    <row r="128" ht="28.8" customFormat="1" customHeight="1" s="5">
      <c r="A128" s="78" t="inlineStr">
        <is>
          <t>5 этап</t>
        </is>
      </c>
      <c r="B128" s="27" t="inlineStr">
        <is>
          <t>5.1</t>
        </is>
      </c>
      <c r="C128" s="60" t="inlineStr">
        <is>
          <t>Холодный и горячий водопровод, Противопожарный водопровод АБК</t>
        </is>
      </c>
      <c r="D128" s="54" t="inlineStr">
        <is>
          <t>компл.</t>
        </is>
      </c>
      <c r="E128" s="154" t="n">
        <v>1</v>
      </c>
      <c r="F128" s="146" t="n">
        <v>2400</v>
      </c>
      <c r="G128" s="146" t="n">
        <v>2400</v>
      </c>
      <c r="H128" t="inlineStr">
        <is>
          <t>ФЕР-2020 × 0.75</t>
        </is>
      </c>
    </row>
    <row r="129" ht="27.6" customFormat="1" customHeight="1" s="10">
      <c r="A129" s="78" t="n"/>
      <c r="B129" s="74" t="inlineStr">
        <is>
          <t>5.1.1</t>
        </is>
      </c>
      <c r="C129" s="79" t="inlineStr">
        <is>
          <t>Труба из полипропилена, армированные стекловолокном   ∅ 15</t>
        </is>
      </c>
      <c r="D129" s="80" t="inlineStr">
        <is>
          <t>м</t>
        </is>
      </c>
      <c r="E129" s="81" t="n">
        <v>260</v>
      </c>
      <c r="F129" s="146" t="n">
        <v>75000</v>
      </c>
      <c r="G129" s="146" t="n">
        <v>19500000</v>
      </c>
      <c r="H129" t="inlineStr">
        <is>
          <t>ФЕР-2020 × 0.75</t>
        </is>
      </c>
    </row>
    <row r="130" ht="27.6" customFormat="1" customHeight="1" s="10">
      <c r="A130" s="78" t="n"/>
      <c r="B130" s="74" t="inlineStr">
        <is>
          <t>5.1.2</t>
        </is>
      </c>
      <c r="C130" s="79" t="inlineStr">
        <is>
          <t>Труба из полипропилена, армированные стекловолокном ∅ 20</t>
        </is>
      </c>
      <c r="D130" s="80" t="inlineStr">
        <is>
          <t>м</t>
        </is>
      </c>
      <c r="E130" s="81" t="n">
        <v>17</v>
      </c>
      <c r="F130" s="146" t="n">
        <v>75000</v>
      </c>
      <c r="G130" s="146" t="n">
        <v>1275000</v>
      </c>
      <c r="H130" t="inlineStr">
        <is>
          <t>ФЕР-2020 × 0.75</t>
        </is>
      </c>
    </row>
    <row r="131" ht="27.6" customFormat="1" customHeight="1" s="10">
      <c r="A131" s="78" t="n"/>
      <c r="B131" s="74" t="inlineStr">
        <is>
          <t>5.1.3</t>
        </is>
      </c>
      <c r="C131" s="79" t="inlineStr">
        <is>
          <t>Труба из полипропилена, армированные стекловолокном  ∅ 25</t>
        </is>
      </c>
      <c r="D131" s="80" t="inlineStr">
        <is>
          <t>м</t>
        </is>
      </c>
      <c r="E131" s="81" t="n">
        <v>9</v>
      </c>
      <c r="F131" s="146" t="n">
        <v>75000</v>
      </c>
      <c r="G131" s="146" t="n">
        <v>675000</v>
      </c>
      <c r="H131" t="inlineStr">
        <is>
          <t>ФЕР-2020 × 0.75</t>
        </is>
      </c>
    </row>
    <row r="132" ht="27.6" customFormat="1" customHeight="1" s="10">
      <c r="A132" s="78" t="n"/>
      <c r="B132" s="74" t="inlineStr">
        <is>
          <t>5.1.4</t>
        </is>
      </c>
      <c r="C132" s="79" t="inlineStr">
        <is>
          <t>Труба из полипропилена, армированные стекловолокном ∅ 32</t>
        </is>
      </c>
      <c r="D132" s="80" t="inlineStr">
        <is>
          <t>м</t>
        </is>
      </c>
      <c r="E132" s="81" t="n">
        <v>28</v>
      </c>
      <c r="F132" s="146" t="n">
        <v>75000</v>
      </c>
      <c r="G132" s="146" t="n">
        <v>2100000</v>
      </c>
      <c r="H132" t="inlineStr">
        <is>
          <t>ФЕР-2020 × 0.75</t>
        </is>
      </c>
    </row>
    <row r="133" ht="27.6" customFormat="1" customHeight="1" s="10">
      <c r="A133" s="78" t="n"/>
      <c r="B133" s="74" t="inlineStr">
        <is>
          <t>5.1.5</t>
        </is>
      </c>
      <c r="C133" s="79" t="inlineStr">
        <is>
          <t>Труба из полипропилена, армированные стекловолокном ∅ 40</t>
        </is>
      </c>
      <c r="D133" s="82" t="inlineStr">
        <is>
          <t>м</t>
        </is>
      </c>
      <c r="E133" s="81" t="n">
        <v>3</v>
      </c>
      <c r="F133" s="146" t="n">
        <v>75000</v>
      </c>
      <c r="G133" s="146" t="n">
        <v>225000</v>
      </c>
      <c r="H133" t="inlineStr">
        <is>
          <t>ФЕР-2020 × 0.75</t>
        </is>
      </c>
    </row>
    <row r="134" ht="27.6" customFormat="1" customHeight="1" s="10">
      <c r="A134" s="78" t="n"/>
      <c r="B134" s="74" t="inlineStr">
        <is>
          <t>5.1.6</t>
        </is>
      </c>
      <c r="C134" s="79" t="inlineStr">
        <is>
          <t>Труба стальная водогазопроводная  оцинкованная  ∅ 50*3,5</t>
        </is>
      </c>
      <c r="D134" s="80" t="inlineStr">
        <is>
          <t>м</t>
        </is>
      </c>
      <c r="E134" s="81" t="n">
        <v>1</v>
      </c>
      <c r="F134" s="146" t="n">
        <v>1500</v>
      </c>
      <c r="G134" s="146" t="n">
        <v>1500</v>
      </c>
      <c r="H134" t="inlineStr">
        <is>
          <t>Экспертная оценка</t>
        </is>
      </c>
    </row>
    <row r="135" ht="14.4" customFormat="1" customHeight="1" s="10">
      <c r="A135" s="78" t="n"/>
      <c r="B135" s="74" t="inlineStr">
        <is>
          <t>5.1.7</t>
        </is>
      </c>
      <c r="C135" s="79" t="inlineStr">
        <is>
          <t>Труба стальная электросварная    ∅ 57*3</t>
        </is>
      </c>
      <c r="D135" s="80" t="inlineStr">
        <is>
          <t>м</t>
        </is>
      </c>
      <c r="E135" s="81" t="n">
        <v>4</v>
      </c>
      <c r="F135" s="146" t="n">
        <v>1600</v>
      </c>
      <c r="G135" s="146" t="n">
        <v>6400</v>
      </c>
      <c r="H135" t="inlineStr">
        <is>
          <t>ФЕР-2020 × 0.75</t>
        </is>
      </c>
    </row>
    <row r="136" ht="14.4" customFormat="1" customHeight="1" s="10">
      <c r="A136" s="78" t="n"/>
      <c r="B136" s="74" t="inlineStr">
        <is>
          <t>5.1.8</t>
        </is>
      </c>
      <c r="C136" s="79" t="inlineStr">
        <is>
          <t>Труба стальная электросварная    ∅63*3,5</t>
        </is>
      </c>
      <c r="D136" s="80" t="inlineStr">
        <is>
          <t>м</t>
        </is>
      </c>
      <c r="E136" s="81" t="n">
        <v>4</v>
      </c>
      <c r="F136" s="146" t="n">
        <v>1600</v>
      </c>
      <c r="G136" s="146" t="n">
        <v>6400</v>
      </c>
      <c r="H136" t="inlineStr">
        <is>
          <t>ФЕР-2020 × 0.75</t>
        </is>
      </c>
    </row>
    <row r="137" ht="14.4" customFormat="1" customHeight="1" s="10">
      <c r="A137" s="78" t="n"/>
      <c r="B137" s="74" t="inlineStr">
        <is>
          <t>5.1.9</t>
        </is>
      </c>
      <c r="C137" s="79" t="inlineStr">
        <is>
          <t>Труба стальная электросварная    ∅76*3,5</t>
        </is>
      </c>
      <c r="D137" s="80" t="inlineStr">
        <is>
          <t>м</t>
        </is>
      </c>
      <c r="E137" s="81" t="n">
        <v>20</v>
      </c>
      <c r="F137" s="146" t="n">
        <v>1600</v>
      </c>
      <c r="G137" s="146" t="n">
        <v>32000</v>
      </c>
      <c r="H137" t="inlineStr">
        <is>
          <t>ФЕР-2020 × 0.75</t>
        </is>
      </c>
    </row>
    <row r="138" ht="14.4" customFormat="1" customHeight="1" s="10">
      <c r="A138" s="78" t="n"/>
      <c r="B138" s="74" t="inlineStr">
        <is>
          <t>5.1.10</t>
        </is>
      </c>
      <c r="C138" s="79" t="inlineStr">
        <is>
          <t>Труба стальная электросварная    ∅89*4</t>
        </is>
      </c>
      <c r="D138" s="80" t="inlineStr">
        <is>
          <t>м</t>
        </is>
      </c>
      <c r="E138" s="81" t="n">
        <v>12</v>
      </c>
      <c r="F138" s="146" t="n">
        <v>1600</v>
      </c>
      <c r="G138" s="146" t="n">
        <v>19200</v>
      </c>
      <c r="H138" t="inlineStr">
        <is>
          <t>ФЕР-2020 × 0.75</t>
        </is>
      </c>
    </row>
    <row r="139" ht="14.4" customFormat="1" customHeight="1" s="10">
      <c r="A139" s="78" t="n"/>
      <c r="B139" s="74" t="inlineStr">
        <is>
          <t>5.1.11</t>
        </is>
      </c>
      <c r="C139" s="79" t="inlineStr">
        <is>
          <t>Кран шаровый муфтовый  Ру 1.6МПа ∅20</t>
        </is>
      </c>
      <c r="D139" s="80" t="inlineStr">
        <is>
          <t>шт.</t>
        </is>
      </c>
      <c r="E139" s="81" t="n">
        <v>2</v>
      </c>
      <c r="F139" s="146" t="n">
        <v>5000</v>
      </c>
      <c r="G139" s="146" t="n">
        <v>10000</v>
      </c>
      <c r="H139" t="inlineStr">
        <is>
          <t>Экспертная оценка</t>
        </is>
      </c>
    </row>
    <row r="140" ht="14.4" customFormat="1" customHeight="1" s="10">
      <c r="A140" s="78" t="n"/>
      <c r="B140" s="74" t="inlineStr">
        <is>
          <t>5.1.12</t>
        </is>
      </c>
      <c r="C140" s="79" t="inlineStr">
        <is>
          <t>Кран шаровый муфтовый  Ру 1.6МПа ∅15</t>
        </is>
      </c>
      <c r="D140" s="80" t="inlineStr">
        <is>
          <t>шт.</t>
        </is>
      </c>
      <c r="E140" s="81" t="n">
        <v>3</v>
      </c>
      <c r="F140" s="146" t="n">
        <v>5000</v>
      </c>
      <c r="G140" s="146" t="n">
        <v>15000</v>
      </c>
      <c r="H140" t="inlineStr">
        <is>
          <t>Экспертная оценка</t>
        </is>
      </c>
    </row>
    <row r="141" ht="14.4" customFormat="1" customHeight="1" s="10">
      <c r="A141" s="78" t="n"/>
      <c r="B141" s="74" t="inlineStr">
        <is>
          <t>5.1.13</t>
        </is>
      </c>
      <c r="C141" s="79" t="inlineStr">
        <is>
          <t>Задвижка ∅80</t>
        </is>
      </c>
      <c r="D141" s="80" t="inlineStr">
        <is>
          <t>шт.</t>
        </is>
      </c>
      <c r="E141" s="81" t="n">
        <v>1</v>
      </c>
      <c r="F141" s="146" t="n">
        <v>5000</v>
      </c>
      <c r="G141" s="146" t="n">
        <v>5000</v>
      </c>
      <c r="H141" t="inlineStr">
        <is>
          <t>Экспертная оценка</t>
        </is>
      </c>
    </row>
    <row r="142" ht="14.4" customFormat="1" customHeight="1" s="10">
      <c r="A142" s="78" t="n"/>
      <c r="B142" s="74" t="inlineStr">
        <is>
          <t>5.1.14</t>
        </is>
      </c>
      <c r="C142" s="79" t="inlineStr">
        <is>
          <t>Гибкие металлизированные подводки ∅15</t>
        </is>
      </c>
      <c r="D142" s="80" t="inlineStr">
        <is>
          <t>шт.</t>
        </is>
      </c>
      <c r="E142" s="81" t="n">
        <v>68</v>
      </c>
      <c r="F142" s="146" t="n">
        <v>5000</v>
      </c>
      <c r="G142" s="146" t="n">
        <v>340000</v>
      </c>
      <c r="H142" t="inlineStr">
        <is>
          <t>Экспертная оценка</t>
        </is>
      </c>
    </row>
    <row r="143" ht="14.4" customFormat="1" customHeight="1" s="10">
      <c r="A143" s="78" t="n"/>
      <c r="B143" s="74" t="inlineStr">
        <is>
          <t>5.1.15</t>
        </is>
      </c>
      <c r="C143" s="79" t="inlineStr">
        <is>
          <t>Кран угловой для сантехники ∅15</t>
        </is>
      </c>
      <c r="D143" s="80" t="inlineStr">
        <is>
          <t>шт.</t>
        </is>
      </c>
      <c r="E143" s="81" t="n">
        <v>45</v>
      </c>
      <c r="F143" s="146" t="n">
        <v>2400</v>
      </c>
      <c r="G143" s="146" t="n">
        <v>108000</v>
      </c>
      <c r="H143" t="inlineStr">
        <is>
          <t>ФЕР-2020 × 0.75</t>
        </is>
      </c>
    </row>
    <row r="144" ht="14.4" customFormat="1" customHeight="1" s="10">
      <c r="A144" s="78" t="n"/>
      <c r="B144" s="74" t="inlineStr">
        <is>
          <t>5.1.16</t>
        </is>
      </c>
      <c r="C144" s="83" t="inlineStr">
        <is>
          <t>Труба стальная электросварная   ∅ 50</t>
        </is>
      </c>
      <c r="D144" s="39" t="inlineStr">
        <is>
          <t>м. пог</t>
        </is>
      </c>
      <c r="E144" s="84" t="n">
        <v>5</v>
      </c>
      <c r="F144" s="146" t="n">
        <v>1600</v>
      </c>
      <c r="G144" s="146" t="n">
        <v>8000</v>
      </c>
      <c r="H144" t="inlineStr">
        <is>
          <t>ФЕР-2020 × 0.75</t>
        </is>
      </c>
    </row>
    <row r="145" ht="14.4" customFormat="1" customHeight="1" s="10">
      <c r="A145" s="78" t="n"/>
      <c r="B145" s="74" t="inlineStr">
        <is>
          <t>5.1.17</t>
        </is>
      </c>
      <c r="C145" s="83" t="inlineStr">
        <is>
          <t>Труба стальная электросварная   ∅ 57*3</t>
        </is>
      </c>
      <c r="D145" s="39" t="inlineStr">
        <is>
          <t>м. пог</t>
        </is>
      </c>
      <c r="E145" s="84" t="n">
        <v>16</v>
      </c>
      <c r="F145" s="146" t="n">
        <v>1600</v>
      </c>
      <c r="G145" s="146" t="n">
        <v>25600</v>
      </c>
      <c r="H145" t="inlineStr">
        <is>
          <t>ФЕР-2020 × 0.75</t>
        </is>
      </c>
    </row>
    <row r="146" ht="14.4" customFormat="1" customHeight="1" s="10">
      <c r="A146" s="78" t="n"/>
      <c r="B146" s="74" t="inlineStr">
        <is>
          <t>5.1.18</t>
        </is>
      </c>
      <c r="C146" s="83" t="inlineStr">
        <is>
          <t>Труба стальная электросварная   ∅ 63,5*3</t>
        </is>
      </c>
      <c r="D146" s="39" t="inlineStr">
        <is>
          <t>м. пог</t>
        </is>
      </c>
      <c r="E146" s="84" t="n">
        <v>24</v>
      </c>
      <c r="F146" s="146" t="n">
        <v>1600</v>
      </c>
      <c r="G146" s="146" t="n">
        <v>38400</v>
      </c>
      <c r="H146" t="inlineStr">
        <is>
          <t>ФЕР-2020 × 0.75</t>
        </is>
      </c>
    </row>
    <row r="147" ht="14.4" customFormat="1" customHeight="1" s="10">
      <c r="A147" s="78" t="n"/>
      <c r="B147" s="74" t="inlineStr">
        <is>
          <t>5.1.19</t>
        </is>
      </c>
      <c r="C147" s="83" t="inlineStr">
        <is>
          <t>Труба стальная электросварная   ∅ 76*3</t>
        </is>
      </c>
      <c r="D147" s="39" t="inlineStr">
        <is>
          <t>м. пог</t>
        </is>
      </c>
      <c r="E147" s="84" t="n">
        <v>28</v>
      </c>
      <c r="F147" s="146" t="n">
        <v>1600</v>
      </c>
      <c r="G147" s="146" t="n">
        <v>44800</v>
      </c>
      <c r="H147" t="inlineStr">
        <is>
          <t>ФЕР-2020 × 0.75</t>
        </is>
      </c>
    </row>
    <row r="148" ht="14.4" customFormat="1" customHeight="1" s="10">
      <c r="A148" s="78" t="n"/>
      <c r="B148" s="74" t="inlineStr">
        <is>
          <t>5.1.20</t>
        </is>
      </c>
      <c r="C148" s="83" t="inlineStr">
        <is>
          <t>Труба стальная электросварная   ∅ 89*4</t>
        </is>
      </c>
      <c r="D148" s="39" t="inlineStr">
        <is>
          <t>м. пог</t>
        </is>
      </c>
      <c r="E148" s="84" t="n">
        <v>7</v>
      </c>
      <c r="F148" s="146" t="n">
        <v>1600</v>
      </c>
      <c r="G148" s="146" t="n">
        <v>11200</v>
      </c>
      <c r="H148" t="inlineStr">
        <is>
          <t>ФЕР-2020 × 0.75</t>
        </is>
      </c>
    </row>
    <row r="149" ht="14.4" customFormat="1" customHeight="1" s="10">
      <c r="A149" s="78" t="n"/>
      <c r="B149" s="74" t="inlineStr">
        <is>
          <t>5.1.21</t>
        </is>
      </c>
      <c r="C149" s="83" t="inlineStr">
        <is>
          <t>Пожарный кран</t>
        </is>
      </c>
      <c r="D149" s="39" t="inlineStr">
        <is>
          <t>шт.</t>
        </is>
      </c>
      <c r="E149" s="84" t="n">
        <v>4</v>
      </c>
      <c r="F149" s="146" t="n">
        <v>5000</v>
      </c>
      <c r="G149" s="146" t="n">
        <v>20000</v>
      </c>
      <c r="H149" t="inlineStr">
        <is>
          <t>Экспертная оценка</t>
        </is>
      </c>
    </row>
    <row r="150" ht="27.6" customFormat="1" customHeight="1" s="10">
      <c r="A150" s="78" t="n"/>
      <c r="B150" s="74" t="inlineStr">
        <is>
          <t>5.1.22</t>
        </is>
      </c>
      <c r="C150" s="79" t="inlineStr">
        <is>
          <t>Труба из полипропилена, армированные стекловолокном   ∅ 15</t>
        </is>
      </c>
      <c r="D150" s="39" t="inlineStr">
        <is>
          <t>м. пог</t>
        </is>
      </c>
      <c r="E150" s="84" t="n">
        <v>185</v>
      </c>
      <c r="F150" s="146" t="n">
        <v>75000</v>
      </c>
      <c r="G150" s="146" t="n">
        <v>13875000</v>
      </c>
      <c r="H150" t="inlineStr">
        <is>
          <t>ФЕР-2020 × 0.75</t>
        </is>
      </c>
    </row>
    <row r="151" ht="27.6" customFormat="1" customHeight="1" s="10">
      <c r="A151" s="78" t="n"/>
      <c r="B151" s="74" t="inlineStr">
        <is>
          <t>5.1.23</t>
        </is>
      </c>
      <c r="C151" s="79" t="inlineStr">
        <is>
          <t>Труба из полипропилена, армированные стекловолокном ∅ 20</t>
        </is>
      </c>
      <c r="D151" s="39" t="inlineStr">
        <is>
          <t>м. пог</t>
        </is>
      </c>
      <c r="E151" s="84" t="n">
        <v>21</v>
      </c>
      <c r="F151" s="146" t="n">
        <v>75000</v>
      </c>
      <c r="G151" s="146" t="n">
        <v>1575000</v>
      </c>
      <c r="H151" t="inlineStr">
        <is>
          <t>ФЕР-2020 × 0.75</t>
        </is>
      </c>
    </row>
    <row r="152" ht="27.6" customFormat="1" customHeight="1" s="10">
      <c r="A152" s="78" t="n"/>
      <c r="B152" s="74" t="inlineStr">
        <is>
          <t>5.1.24</t>
        </is>
      </c>
      <c r="C152" s="79" t="inlineStr">
        <is>
          <t>Труба из полипропилена, армированные стекловолокном  ∅ 25</t>
        </is>
      </c>
      <c r="D152" s="39" t="inlineStr">
        <is>
          <t>м. пог</t>
        </is>
      </c>
      <c r="E152" s="84" t="n">
        <v>31</v>
      </c>
      <c r="F152" s="146" t="n">
        <v>75000</v>
      </c>
      <c r="G152" s="146" t="n">
        <v>2325000</v>
      </c>
      <c r="H152" t="inlineStr">
        <is>
          <t>ФЕР-2020 × 0.75</t>
        </is>
      </c>
    </row>
    <row r="153" ht="27.6" customFormat="1" customHeight="1" s="10">
      <c r="A153" s="78" t="n"/>
      <c r="B153" s="74" t="inlineStr">
        <is>
          <t>5.1.25</t>
        </is>
      </c>
      <c r="C153" s="79" t="inlineStr">
        <is>
          <t>Труба из полипропилена, армированные стекловолокном ∅ 32</t>
        </is>
      </c>
      <c r="D153" s="39" t="inlineStr">
        <is>
          <t>м. пог</t>
        </is>
      </c>
      <c r="E153" s="84" t="n">
        <v>21</v>
      </c>
      <c r="F153" s="146" t="n">
        <v>75000</v>
      </c>
      <c r="G153" s="146" t="n">
        <v>1575000</v>
      </c>
      <c r="H153" t="inlineStr">
        <is>
          <t>ФЕР-2020 × 0.75</t>
        </is>
      </c>
    </row>
    <row r="154" ht="27.6" customFormat="1" customHeight="1" s="10">
      <c r="A154" s="78" t="n"/>
      <c r="B154" s="74" t="inlineStr">
        <is>
          <t>5.1.26</t>
        </is>
      </c>
      <c r="C154" s="79" t="inlineStr">
        <is>
          <t>Труба из полипропилена, армированные стекловолокном ∅ 40</t>
        </is>
      </c>
      <c r="D154" s="39" t="inlineStr">
        <is>
          <t>м. пог</t>
        </is>
      </c>
      <c r="E154" s="84" t="n">
        <v>32</v>
      </c>
      <c r="F154" s="146" t="n">
        <v>75000</v>
      </c>
      <c r="G154" s="146" t="n">
        <v>2400000</v>
      </c>
      <c r="H154" t="inlineStr">
        <is>
          <t>ФЕР-2020 × 0.75</t>
        </is>
      </c>
    </row>
    <row r="155" ht="27.6" customFormat="1" customHeight="1" s="10">
      <c r="A155" s="78" t="n"/>
      <c r="B155" s="74" t="inlineStr">
        <is>
          <t>5.1.27</t>
        </is>
      </c>
      <c r="C155" s="79" t="inlineStr">
        <is>
          <t>Труба стальная водогазопроводная  оцинкованная  ∅ 50х3,5</t>
        </is>
      </c>
      <c r="D155" s="39" t="inlineStr">
        <is>
          <t>м. пог</t>
        </is>
      </c>
      <c r="E155" s="84" t="n">
        <v>33</v>
      </c>
      <c r="F155" s="146" t="n">
        <v>3500</v>
      </c>
      <c r="G155" s="146" t="n">
        <v>115500</v>
      </c>
      <c r="H155" t="inlineStr">
        <is>
          <t>Экспертная оценка</t>
        </is>
      </c>
    </row>
    <row r="156" ht="27.6" customFormat="1" customHeight="1" s="10">
      <c r="A156" s="78" t="n"/>
      <c r="B156" s="74" t="inlineStr">
        <is>
          <t>5.1.28</t>
        </is>
      </c>
      <c r="C156" s="79" t="inlineStr">
        <is>
          <t>Труба стальная водогазопроводная  оцинкованная  ∅ 63х3,5</t>
        </is>
      </c>
      <c r="D156" s="39" t="inlineStr">
        <is>
          <t>м. пог</t>
        </is>
      </c>
      <c r="E156" s="84" t="n">
        <v>17</v>
      </c>
      <c r="F156" s="146" t="n">
        <v>3500</v>
      </c>
      <c r="G156" s="146" t="n">
        <v>59500</v>
      </c>
      <c r="H156" t="inlineStr">
        <is>
          <t>Экспертная оценка</t>
        </is>
      </c>
    </row>
    <row r="157" ht="27.6" customFormat="1" customHeight="1" s="10">
      <c r="A157" s="78" t="n"/>
      <c r="B157" s="74" t="inlineStr">
        <is>
          <t>5.1.29</t>
        </is>
      </c>
      <c r="C157" s="79" t="inlineStr">
        <is>
          <t>Труба стальная водогазопроводная  оцинкованная  ∅ 76х3,5</t>
        </is>
      </c>
      <c r="D157" s="39" t="inlineStr">
        <is>
          <t>м. пог</t>
        </is>
      </c>
      <c r="E157" s="84" t="n">
        <v>17</v>
      </c>
      <c r="F157" s="146" t="n">
        <v>3500</v>
      </c>
      <c r="G157" s="146" t="n">
        <v>59500</v>
      </c>
      <c r="H157" t="inlineStr">
        <is>
          <t>Экспертная оценка</t>
        </is>
      </c>
    </row>
    <row r="158" ht="14.4" customFormat="1" customHeight="1" s="10">
      <c r="A158" s="78" t="n"/>
      <c r="B158" s="74" t="inlineStr">
        <is>
          <t>5.1.30</t>
        </is>
      </c>
      <c r="C158" s="79" t="inlineStr">
        <is>
          <t>Кран шаровый муфтовый  Ру 1.6МПа ∅20</t>
        </is>
      </c>
      <c r="D158" s="39" t="inlineStr">
        <is>
          <t>шт.</t>
        </is>
      </c>
      <c r="E158" s="84" t="n">
        <v>3</v>
      </c>
      <c r="F158" s="146" t="n">
        <v>5000</v>
      </c>
      <c r="G158" s="146" t="n">
        <v>15000</v>
      </c>
      <c r="H158" t="inlineStr">
        <is>
          <t>Экспертная оценка</t>
        </is>
      </c>
    </row>
    <row r="159" ht="14.4" customFormat="1" customHeight="1" s="10">
      <c r="A159" s="78" t="n"/>
      <c r="B159" s="74" t="inlineStr">
        <is>
          <t>5.1.31</t>
        </is>
      </c>
      <c r="C159" s="79" t="inlineStr">
        <is>
          <t>Кран шаровый муфтовый  Ру 1.6МПа ∅15</t>
        </is>
      </c>
      <c r="D159" s="39" t="inlineStr">
        <is>
          <t>шт.</t>
        </is>
      </c>
      <c r="E159" s="84" t="n">
        <v>6</v>
      </c>
      <c r="F159" s="146" t="n">
        <v>5000</v>
      </c>
      <c r="G159" s="146" t="n">
        <v>30000</v>
      </c>
      <c r="H159" t="inlineStr">
        <is>
          <t>Экспертная оценка</t>
        </is>
      </c>
    </row>
    <row r="160" ht="14.4" customFormat="1" customHeight="1" s="10">
      <c r="A160" s="78" t="n"/>
      <c r="B160" s="74" t="inlineStr">
        <is>
          <t>5.1.32</t>
        </is>
      </c>
      <c r="C160" s="79" t="inlineStr">
        <is>
          <t>Гибкие металлизированные подводки ∅15</t>
        </is>
      </c>
      <c r="D160" s="39" t="inlineStr">
        <is>
          <t>шт.</t>
        </is>
      </c>
      <c r="E160" s="84" t="n">
        <v>57</v>
      </c>
      <c r="F160" s="146" t="n">
        <v>5000</v>
      </c>
      <c r="G160" s="146" t="n">
        <v>285000</v>
      </c>
      <c r="H160" t="inlineStr">
        <is>
          <t>Экспертная оценка</t>
        </is>
      </c>
    </row>
    <row r="161" ht="14.4" customFormat="1" customHeight="1" s="10">
      <c r="A161" s="78" t="n"/>
      <c r="B161" s="74" t="inlineStr">
        <is>
          <t>5.1.33</t>
        </is>
      </c>
      <c r="C161" s="83" t="inlineStr">
        <is>
          <t>Умывальник керамический</t>
        </is>
      </c>
      <c r="D161" s="39" t="inlineStr">
        <is>
          <t>комплект</t>
        </is>
      </c>
      <c r="E161" s="84" t="n">
        <v>16</v>
      </c>
      <c r="F161" s="146" t="n">
        <v>750000</v>
      </c>
      <c r="G161" s="146" t="n">
        <v>12000000</v>
      </c>
      <c r="H161" t="inlineStr">
        <is>
          <t>Экспертная оценка</t>
        </is>
      </c>
    </row>
    <row r="162" ht="14.4" customFormat="1" customHeight="1" s="10">
      <c r="A162" s="78" t="n"/>
      <c r="B162" s="74" t="inlineStr">
        <is>
          <t>5.1.34</t>
        </is>
      </c>
      <c r="C162" s="83" t="inlineStr">
        <is>
          <t>а)   сифон бутылочный пластмассовый</t>
        </is>
      </c>
      <c r="D162" s="39" t="inlineStr">
        <is>
          <t>шт.</t>
        </is>
      </c>
      <c r="E162" s="84" t="n">
        <v>16</v>
      </c>
      <c r="F162" s="146" t="n">
        <v>5000</v>
      </c>
      <c r="G162" s="146" t="n">
        <v>80000</v>
      </c>
      <c r="H162" t="inlineStr">
        <is>
          <t>Экспертная оценка</t>
        </is>
      </c>
    </row>
    <row r="163" ht="14.4" customFormat="1" customHeight="1" s="10">
      <c r="A163" s="78" t="n"/>
      <c r="B163" s="74" t="inlineStr">
        <is>
          <t>5.1.35</t>
        </is>
      </c>
      <c r="C163" s="83" t="inlineStr">
        <is>
          <t>б)   смеситель для умывальника СМ</t>
        </is>
      </c>
      <c r="D163" s="39" t="inlineStr">
        <is>
          <t>шт.</t>
        </is>
      </c>
      <c r="E163" s="84" t="n">
        <v>16</v>
      </c>
      <c r="F163" s="146" t="n">
        <v>5000</v>
      </c>
      <c r="G163" s="146" t="n">
        <v>80000</v>
      </c>
      <c r="H163" t="inlineStr">
        <is>
          <t>Экспертная оценка</t>
        </is>
      </c>
    </row>
    <row r="164" ht="14.4" customFormat="1" customHeight="1" s="10">
      <c r="A164" s="78" t="n"/>
      <c r="B164" s="74" t="inlineStr">
        <is>
          <t>5.1.36</t>
        </is>
      </c>
      <c r="C164" s="83" t="inlineStr">
        <is>
          <t>в)    кронштейны открытые чугунный малой модели Кр УОМ</t>
        </is>
      </c>
      <c r="D164" s="39" t="inlineStr">
        <is>
          <t>шт.</t>
        </is>
      </c>
      <c r="E164" s="84" t="n">
        <v>16</v>
      </c>
      <c r="F164" s="146" t="n">
        <v>5000</v>
      </c>
      <c r="G164" s="146" t="n">
        <v>80000</v>
      </c>
      <c r="H164" t="inlineStr">
        <is>
          <t>Экспертная оценка</t>
        </is>
      </c>
    </row>
    <row r="165" ht="14.4" customFormat="1" customHeight="1" s="10">
      <c r="A165" s="78" t="n"/>
      <c r="B165" s="74" t="inlineStr">
        <is>
          <t>5.1.37</t>
        </is>
      </c>
      <c r="C165" s="83" t="inlineStr">
        <is>
          <t>Унитаз керамический</t>
        </is>
      </c>
      <c r="D165" s="39" t="inlineStr">
        <is>
          <t>комплект</t>
        </is>
      </c>
      <c r="E165" s="84" t="n">
        <v>7</v>
      </c>
      <c r="F165" s="146" t="n">
        <v>750000</v>
      </c>
      <c r="G165" s="146" t="n">
        <v>5250000</v>
      </c>
      <c r="H165" t="inlineStr">
        <is>
          <t>Экспертная оценка</t>
        </is>
      </c>
    </row>
    <row r="166" ht="14.4" customFormat="1" customHeight="1" s="10">
      <c r="A166" s="78" t="n"/>
      <c r="B166" s="74" t="inlineStr">
        <is>
          <t>5.1.38</t>
        </is>
      </c>
      <c r="C166" s="83" t="inlineStr">
        <is>
          <t>а)   Бачок смывной низкораспологаемый керамический</t>
        </is>
      </c>
      <c r="D166" s="39" t="inlineStr">
        <is>
          <t>шт.</t>
        </is>
      </c>
      <c r="E166" s="84" t="n">
        <v>7</v>
      </c>
      <c r="F166" s="146" t="n">
        <v>5000</v>
      </c>
      <c r="G166" s="146" t="n">
        <v>35000</v>
      </c>
      <c r="H166" t="inlineStr">
        <is>
          <t>Экспертная оценка</t>
        </is>
      </c>
    </row>
    <row r="167" ht="14.4" customFormat="1" customHeight="1" s="5">
      <c r="A167" s="78" t="n"/>
      <c r="B167" s="74" t="inlineStr">
        <is>
          <t>5.1.39</t>
        </is>
      </c>
      <c r="C167" s="83" t="inlineStr">
        <is>
          <t>б)    Гофра А97 гибкая подводка д/выпуска унитаза</t>
        </is>
      </c>
      <c r="D167" s="39" t="inlineStr">
        <is>
          <t>шт.</t>
        </is>
      </c>
      <c r="E167" s="84" t="n">
        <v>7</v>
      </c>
      <c r="F167" s="146" t="n">
        <v>5000</v>
      </c>
      <c r="G167" s="146" t="n">
        <v>35000</v>
      </c>
      <c r="H167" t="inlineStr">
        <is>
          <t>Экспертная оценка</t>
        </is>
      </c>
    </row>
    <row r="168" ht="14.4" customFormat="1" customHeight="1" s="5">
      <c r="A168" s="78" t="n"/>
      <c r="B168" s="74" t="inlineStr">
        <is>
          <t>5.1.40</t>
        </is>
      </c>
      <c r="C168" s="83" t="inlineStr">
        <is>
          <t>в)    Инсталяция для унитаза</t>
        </is>
      </c>
      <c r="D168" s="39" t="inlineStr">
        <is>
          <t>шт.</t>
        </is>
      </c>
      <c r="E168" s="84" t="n">
        <v>7</v>
      </c>
      <c r="F168" s="146" t="n">
        <v>5000</v>
      </c>
      <c r="G168" s="146" t="n">
        <v>35000</v>
      </c>
      <c r="H168" t="inlineStr">
        <is>
          <t>Экспертная оценка</t>
        </is>
      </c>
    </row>
    <row r="169" ht="14.4" customFormat="1" customHeight="1" s="5">
      <c r="A169" s="78" t="n"/>
      <c r="B169" s="74" t="inlineStr">
        <is>
          <t>5.1.41</t>
        </is>
      </c>
      <c r="C169" s="83" t="inlineStr">
        <is>
          <t>Мойка</t>
        </is>
      </c>
      <c r="D169" s="39" t="inlineStr">
        <is>
          <t>шт.</t>
        </is>
      </c>
      <c r="E169" s="84" t="n">
        <v>2</v>
      </c>
      <c r="F169" s="146" t="n">
        <v>5000</v>
      </c>
      <c r="G169" s="146" t="n">
        <v>10000</v>
      </c>
      <c r="H169" t="inlineStr">
        <is>
          <t>Экспертная оценка</t>
        </is>
      </c>
    </row>
    <row r="170" ht="14.4" customFormat="1" customHeight="1" s="5">
      <c r="A170" s="78" t="n"/>
      <c r="B170" s="74" t="inlineStr">
        <is>
          <t>5.1.42</t>
        </is>
      </c>
      <c r="C170" s="83" t="inlineStr">
        <is>
          <t>Писсуар</t>
        </is>
      </c>
      <c r="D170" s="39" t="inlineStr">
        <is>
          <t>шт.</t>
        </is>
      </c>
      <c r="E170" s="84" t="n">
        <v>2</v>
      </c>
      <c r="F170" s="146" t="n">
        <v>5000</v>
      </c>
      <c r="G170" s="146" t="n">
        <v>10000</v>
      </c>
      <c r="H170" t="inlineStr">
        <is>
          <t>Экспертная оценка</t>
        </is>
      </c>
    </row>
    <row r="171" ht="14.4" customFormat="1" customHeight="1" s="5">
      <c r="A171" s="78" t="n"/>
      <c r="B171" s="74" t="inlineStr">
        <is>
          <t>5.1.43</t>
        </is>
      </c>
      <c r="C171" s="83" t="inlineStr">
        <is>
          <t>Душевая</t>
        </is>
      </c>
      <c r="D171" s="39" t="inlineStr">
        <is>
          <t>шт.</t>
        </is>
      </c>
      <c r="E171" s="84" t="n">
        <v>39</v>
      </c>
      <c r="F171" s="146" t="n">
        <v>5000</v>
      </c>
      <c r="G171" s="146" t="n">
        <v>195000</v>
      </c>
      <c r="H171" t="inlineStr">
        <is>
          <t>Экспертная оценка</t>
        </is>
      </c>
    </row>
    <row r="172" ht="14.4" customFormat="1" customHeight="1" s="5">
      <c r="A172" s="78" t="n"/>
      <c r="B172" s="74" t="inlineStr">
        <is>
          <t>5.1.44</t>
        </is>
      </c>
      <c r="C172" s="83" t="inlineStr">
        <is>
          <t>Кран Маевского</t>
        </is>
      </c>
      <c r="D172" s="39" t="inlineStr">
        <is>
          <t>шт.</t>
        </is>
      </c>
      <c r="E172" s="84" t="n">
        <v>7</v>
      </c>
      <c r="F172" s="146" t="n">
        <v>5000</v>
      </c>
      <c r="G172" s="146" t="n">
        <v>35000</v>
      </c>
      <c r="H172" t="inlineStr">
        <is>
          <t>Экспертная оценка</t>
        </is>
      </c>
    </row>
    <row r="173" ht="14.4" customFormat="1" customHeight="1" s="5">
      <c r="A173" s="78" t="n"/>
      <c r="B173" s="74" t="inlineStr">
        <is>
          <t>5.1.45</t>
        </is>
      </c>
      <c r="C173" s="83" t="inlineStr">
        <is>
          <t>Ревизия ∅100</t>
        </is>
      </c>
      <c r="D173" s="39" t="inlineStr">
        <is>
          <t>шт.</t>
        </is>
      </c>
      <c r="E173" s="84" t="n">
        <v>4</v>
      </c>
      <c r="F173" s="146" t="n">
        <v>5000</v>
      </c>
      <c r="G173" s="146" t="n">
        <v>20000</v>
      </c>
      <c r="H173" t="inlineStr">
        <is>
          <t>Экспертная оценка</t>
        </is>
      </c>
    </row>
    <row r="174" ht="14.4" customFormat="1" customHeight="1" s="5">
      <c r="A174" s="78" t="n"/>
      <c r="B174" s="74" t="inlineStr">
        <is>
          <t>5.1.46</t>
        </is>
      </c>
      <c r="C174" s="83" t="inlineStr">
        <is>
          <t>Труба стальная водогазопроводная    ∅ 57)3</t>
        </is>
      </c>
      <c r="D174" s="39" t="inlineStr">
        <is>
          <t>м</t>
        </is>
      </c>
      <c r="E174" s="84" t="n">
        <v>10</v>
      </c>
      <c r="F174" s="146" t="n">
        <v>1500</v>
      </c>
      <c r="G174" s="146" t="n">
        <v>15000</v>
      </c>
      <c r="H174" t="inlineStr">
        <is>
          <t>Экспертная оценка</t>
        </is>
      </c>
    </row>
    <row r="175" ht="14.4" customFormat="1" customHeight="1" s="5">
      <c r="A175" s="78" t="n"/>
      <c r="B175" s="74" t="inlineStr">
        <is>
          <t>5.1.47</t>
        </is>
      </c>
      <c r="C175" s="83" t="inlineStr">
        <is>
          <t>Дренажный насос ГНОМ 10-10Т</t>
        </is>
      </c>
      <c r="D175" s="39" t="inlineStr">
        <is>
          <t>шт.</t>
        </is>
      </c>
      <c r="E175" s="84" t="n">
        <v>2</v>
      </c>
      <c r="F175" s="146" t="n">
        <v>5000</v>
      </c>
      <c r="G175" s="146" t="n">
        <v>10000</v>
      </c>
      <c r="H175" t="inlineStr">
        <is>
          <t>Экспертная оценка</t>
        </is>
      </c>
    </row>
    <row r="176" ht="28.8" customFormat="1" customHeight="1" s="5">
      <c r="A176" s="26" t="inlineStr">
        <is>
          <t>5 этап</t>
        </is>
      </c>
      <c r="B176" s="27" t="inlineStr">
        <is>
          <t>5.2</t>
        </is>
      </c>
      <c r="C176" s="60" t="inlineStr">
        <is>
          <t>Холодный и горячий водопровод, 
Противопожарный водопровод Общежитие</t>
        </is>
      </c>
      <c r="D176" s="54" t="inlineStr">
        <is>
          <t>компл.</t>
        </is>
      </c>
      <c r="E176" s="154" t="n">
        <v>1</v>
      </c>
      <c r="F176" s="146" t="n">
        <v>2400</v>
      </c>
      <c r="G176" s="146" t="n">
        <v>2400</v>
      </c>
      <c r="H176" t="inlineStr">
        <is>
          <t>ФЕР-2020 × 0.75</t>
        </is>
      </c>
    </row>
    <row r="177" ht="14.4" customFormat="1" customHeight="1" s="5">
      <c r="A177" s="85" t="inlineStr">
        <is>
          <t>5 этап</t>
        </is>
      </c>
      <c r="B177" s="74" t="inlineStr">
        <is>
          <t>5.2.1</t>
        </is>
      </c>
      <c r="C177" s="86" t="inlineStr">
        <is>
          <t>Задвижка стальная фланцевая Ду-50 Ру-16</t>
        </is>
      </c>
      <c r="D177" s="39" t="inlineStr">
        <is>
          <t>шт</t>
        </is>
      </c>
      <c r="E177" s="84" t="n">
        <v>1</v>
      </c>
      <c r="F177" s="146" t="n">
        <v>5000</v>
      </c>
      <c r="G177" s="146" t="n">
        <v>5000</v>
      </c>
      <c r="H177" t="inlineStr">
        <is>
          <t>Экспертная оценка</t>
        </is>
      </c>
    </row>
    <row r="178" ht="14.4" customFormat="1" customHeight="1" s="5">
      <c r="A178" s="85" t="inlineStr">
        <is>
          <t>5 этап</t>
        </is>
      </c>
      <c r="B178" s="74" t="inlineStr">
        <is>
          <t>5.2.2</t>
        </is>
      </c>
      <c r="C178" s="86" t="inlineStr">
        <is>
          <t>Кран шаровой латунный, муфтовый, рукоятка-бабочка д.15</t>
        </is>
      </c>
      <c r="D178" s="39" t="inlineStr">
        <is>
          <t>шт</t>
        </is>
      </c>
      <c r="E178" s="84" t="n">
        <v>223</v>
      </c>
      <c r="F178" s="146" t="n">
        <v>5000</v>
      </c>
      <c r="G178" s="146" t="n">
        <v>1115000</v>
      </c>
      <c r="H178" t="inlineStr">
        <is>
          <t>Экспертная оценка</t>
        </is>
      </c>
    </row>
    <row r="179" ht="14.4" customFormat="1" customHeight="1" s="5">
      <c r="A179" s="85" t="inlineStr">
        <is>
          <t>5 этап</t>
        </is>
      </c>
      <c r="B179" s="74" t="inlineStr">
        <is>
          <t>5.2.3</t>
        </is>
      </c>
      <c r="C179" s="86" t="inlineStr">
        <is>
          <t>Гибкая подводка</t>
        </is>
      </c>
      <c r="D179" s="39" t="inlineStr">
        <is>
          <t>шт</t>
        </is>
      </c>
      <c r="E179" s="84" t="n">
        <v>213</v>
      </c>
      <c r="F179" s="146" t="n">
        <v>5000</v>
      </c>
      <c r="G179" s="146" t="n">
        <v>1065000</v>
      </c>
      <c r="H179" t="inlineStr">
        <is>
          <t>Экспертная оценка</t>
        </is>
      </c>
    </row>
    <row r="180" ht="14.4" customFormat="1" customHeight="1" s="5">
      <c r="A180" s="85" t="inlineStr">
        <is>
          <t>5 этап</t>
        </is>
      </c>
      <c r="B180" s="74" t="inlineStr">
        <is>
          <t>5.2.4</t>
        </is>
      </c>
      <c r="C180" s="87" t="inlineStr">
        <is>
          <t>Труба стальная электросварная 057х3.5</t>
        </is>
      </c>
      <c r="D180" s="39" t="inlineStr">
        <is>
          <t>м. пог</t>
        </is>
      </c>
      <c r="E180" s="84" t="n">
        <v>31</v>
      </c>
      <c r="F180" s="146" t="n">
        <v>1600</v>
      </c>
      <c r="G180" s="146" t="n">
        <v>49600</v>
      </c>
      <c r="H180" t="inlineStr">
        <is>
          <t>ФЕР-2020 × 0.75</t>
        </is>
      </c>
    </row>
    <row r="181" ht="14.4" customFormat="1" customHeight="1" s="5">
      <c r="A181" s="85" t="inlineStr">
        <is>
          <t>5 этап</t>
        </is>
      </c>
      <c r="B181" s="74" t="inlineStr">
        <is>
          <t>5.2.5</t>
        </is>
      </c>
      <c r="C181" s="86" t="inlineStr">
        <is>
          <t>Труба PP-RCT серая армированная  алюминием Дн48</t>
        </is>
      </c>
      <c r="D181" s="39" t="inlineStr">
        <is>
          <t>м. пог</t>
        </is>
      </c>
      <c r="E181" s="84" t="n">
        <v>23</v>
      </c>
      <c r="F181" s="146" t="n">
        <v>75000</v>
      </c>
      <c r="G181" s="146" t="n">
        <v>1725000</v>
      </c>
      <c r="H181" t="inlineStr">
        <is>
          <t>ФЕР-2020 × 0.75</t>
        </is>
      </c>
    </row>
    <row r="182" ht="14.4" customFormat="1" customHeight="1" s="5">
      <c r="A182" s="85" t="inlineStr">
        <is>
          <t>5 этап</t>
        </is>
      </c>
      <c r="B182" s="74" t="inlineStr">
        <is>
          <t>5.2.6</t>
        </is>
      </c>
      <c r="C182" s="86" t="inlineStr">
        <is>
          <t>Труба PP-RCT серая армированная  алюминием Дн 42,3</t>
        </is>
      </c>
      <c r="D182" s="39" t="inlineStr">
        <is>
          <t>м. пог</t>
        </is>
      </c>
      <c r="E182" s="84" t="n">
        <v>14</v>
      </c>
      <c r="F182" s="146" t="n">
        <v>75000</v>
      </c>
      <c r="G182" s="146" t="n">
        <v>1050000</v>
      </c>
      <c r="H182" t="inlineStr">
        <is>
          <t>ФЕР-2020 × 0.75</t>
        </is>
      </c>
    </row>
    <row r="183" ht="14.4" customFormat="1" customHeight="1" s="5">
      <c r="A183" s="85" t="inlineStr">
        <is>
          <t>5 этап</t>
        </is>
      </c>
      <c r="B183" s="74" t="inlineStr">
        <is>
          <t>5.2.7</t>
        </is>
      </c>
      <c r="C183" s="86" t="inlineStr">
        <is>
          <t>Труба PP-RCT серая армированная  алюминием Дн 32</t>
        </is>
      </c>
      <c r="D183" s="39" t="inlineStr">
        <is>
          <t>м. пог</t>
        </is>
      </c>
      <c r="E183" s="84" t="n">
        <v>25</v>
      </c>
      <c r="F183" s="146" t="n">
        <v>75000</v>
      </c>
      <c r="G183" s="146" t="n">
        <v>1875000</v>
      </c>
      <c r="H183" t="inlineStr">
        <is>
          <t>ФЕР-2020 × 0.75</t>
        </is>
      </c>
    </row>
    <row r="184" ht="14.4" customFormat="1" customHeight="1" s="5">
      <c r="A184" s="85" t="inlineStr">
        <is>
          <t>5 этап</t>
        </is>
      </c>
      <c r="B184" s="74" t="inlineStr">
        <is>
          <t>5.2.8</t>
        </is>
      </c>
      <c r="C184" s="86" t="inlineStr">
        <is>
          <t>Труба PP-RCT серая армированная  алюминием Дн26,8</t>
        </is>
      </c>
      <c r="D184" s="39" t="inlineStr">
        <is>
          <t>м. пог</t>
        </is>
      </c>
      <c r="E184" s="84" t="n">
        <v>56</v>
      </c>
      <c r="F184" s="146" t="n">
        <v>75000</v>
      </c>
      <c r="G184" s="146" t="n">
        <v>4200000</v>
      </c>
      <c r="H184" t="inlineStr">
        <is>
          <t>ФЕР-2020 × 0.75</t>
        </is>
      </c>
    </row>
    <row r="185" ht="14.4" customFormat="1" customHeight="1" s="5">
      <c r="A185" s="85" t="inlineStr">
        <is>
          <t>5 этап</t>
        </is>
      </c>
      <c r="B185" s="74" t="inlineStr">
        <is>
          <t>5.2.9</t>
        </is>
      </c>
      <c r="C185" s="86" t="inlineStr">
        <is>
          <t>Труба PP-RCT серая армированная  алюминием Дн 21</t>
        </is>
      </c>
      <c r="D185" s="39" t="inlineStr">
        <is>
          <t>м. пог</t>
        </is>
      </c>
      <c r="E185" s="84" t="n">
        <v>45</v>
      </c>
      <c r="F185" s="146" t="n">
        <v>75000</v>
      </c>
      <c r="G185" s="146" t="n">
        <v>3375000</v>
      </c>
      <c r="H185" t="inlineStr">
        <is>
          <t>ФЕР-2020 × 0.75</t>
        </is>
      </c>
    </row>
    <row r="186" ht="14.4" customFormat="1" customHeight="1" s="5">
      <c r="A186" s="85" t="inlineStr">
        <is>
          <t>5 этап</t>
        </is>
      </c>
      <c r="B186" s="74" t="inlineStr">
        <is>
          <t>5.2.10</t>
        </is>
      </c>
      <c r="C186" s="86" t="inlineStr">
        <is>
          <t>Труба PP-RCT серая армированная  алюминием Дн16х2,2</t>
        </is>
      </c>
      <c r="D186" s="39" t="inlineStr">
        <is>
          <t>м. пог</t>
        </is>
      </c>
      <c r="E186" s="84" t="n">
        <v>200</v>
      </c>
      <c r="F186" s="146" t="n">
        <v>75000</v>
      </c>
      <c r="G186" s="146" t="n">
        <v>15000000</v>
      </c>
      <c r="H186" t="inlineStr">
        <is>
          <t>ФЕР-2020 × 0.75</t>
        </is>
      </c>
    </row>
    <row r="187" ht="14.4" customFormat="1" customHeight="1" s="5">
      <c r="A187" s="85" t="inlineStr">
        <is>
          <t>5 этап</t>
        </is>
      </c>
      <c r="B187" s="74" t="inlineStr">
        <is>
          <t>5.2.11</t>
        </is>
      </c>
      <c r="C187" s="88" t="inlineStr">
        <is>
          <t>Изоляция трубопроводов t=30мм</t>
        </is>
      </c>
      <c r="D187" s="39" t="inlineStr">
        <is>
          <t>м. пог</t>
        </is>
      </c>
      <c r="E187" s="84" t="n">
        <v>400</v>
      </c>
      <c r="F187" s="146" t="n">
        <v>2400</v>
      </c>
      <c r="G187" s="146" t="n">
        <v>960000</v>
      </c>
      <c r="H187" t="inlineStr">
        <is>
          <t>ФЕР-2020 × 0.75</t>
        </is>
      </c>
    </row>
    <row r="188" ht="14.4" customFormat="1" customHeight="1" s="5">
      <c r="A188" s="85" t="inlineStr">
        <is>
          <t>5 этап</t>
        </is>
      </c>
      <c r="B188" s="74" t="inlineStr">
        <is>
          <t>5.2.12</t>
        </is>
      </c>
      <c r="C188" s="89" t="inlineStr">
        <is>
          <t>Задвижка  Ду-100 с электроприводом ГЗ фланцевая, Ру=10 кгс/см2</t>
        </is>
      </c>
      <c r="D188" s="39" t="inlineStr">
        <is>
          <t>шт</t>
        </is>
      </c>
      <c r="E188" s="84" t="n">
        <v>1</v>
      </c>
      <c r="F188" s="146" t="n">
        <v>1600</v>
      </c>
      <c r="G188" s="146" t="n">
        <v>1600</v>
      </c>
      <c r="H188" t="inlineStr">
        <is>
          <t>ФЕР-2020 × 0.75</t>
        </is>
      </c>
    </row>
    <row r="189" ht="14.4" customFormat="1" customHeight="1" s="5">
      <c r="A189" s="85" t="inlineStr">
        <is>
          <t>5 этап</t>
        </is>
      </c>
      <c r="B189" s="74" t="inlineStr">
        <is>
          <t>5.2.13</t>
        </is>
      </c>
      <c r="C189" s="89" t="inlineStr">
        <is>
          <t>Кран стальной под приварку Ду-50 Ру-40 L=ЗООмм МАРШАЛ</t>
        </is>
      </c>
      <c r="D189" s="39" t="inlineStr">
        <is>
          <t>шт</t>
        </is>
      </c>
      <c r="E189" s="84" t="n">
        <v>15</v>
      </c>
      <c r="F189" s="146" t="n">
        <v>5000</v>
      </c>
      <c r="G189" s="146" t="n">
        <v>75000</v>
      </c>
      <c r="H189" t="inlineStr">
        <is>
          <t>Экспертная оценка</t>
        </is>
      </c>
    </row>
    <row r="190" ht="27.6" customFormat="1" customHeight="1" s="5">
      <c r="A190" s="85" t="inlineStr">
        <is>
          <t>5 этап</t>
        </is>
      </c>
      <c r="B190" s="74" t="inlineStr">
        <is>
          <t>5.2.14</t>
        </is>
      </c>
      <c r="C190" s="90" t="inlineStr">
        <is>
          <t>Вантуз автоматический однокамерный чугунный фланцевый Ду-50 Ру-10/16</t>
        </is>
      </c>
      <c r="D190" s="39" t="inlineStr">
        <is>
          <t>шт</t>
        </is>
      </c>
      <c r="E190" s="84" t="n">
        <v>5</v>
      </c>
      <c r="F190" s="146" t="n">
        <v>5000</v>
      </c>
      <c r="G190" s="146" t="n">
        <v>25000</v>
      </c>
      <c r="H190" t="inlineStr">
        <is>
          <t>Экспертная оценка</t>
        </is>
      </c>
    </row>
    <row r="191" ht="41.4" customFormat="1" customHeight="1" s="5">
      <c r="A191" s="85" t="inlineStr">
        <is>
          <t>5 этап</t>
        </is>
      </c>
      <c r="B191" s="74" t="inlineStr">
        <is>
          <t>5.2.15</t>
        </is>
      </c>
      <c r="C191" s="90" t="inlineStr">
        <is>
          <t>Пожарный кран 0  50 мм комплектно: производительность пожарной струи 2,6 л/сек, диаметр спрыска 16 мм, длина пожарного рукава - 20,0 м</t>
        </is>
      </c>
      <c r="D191" s="39" t="inlineStr">
        <is>
          <t>шт</t>
        </is>
      </c>
      <c r="E191" s="84" t="n">
        <v>15</v>
      </c>
      <c r="F191" s="146" t="n">
        <v>5000</v>
      </c>
      <c r="G191" s="146" t="n">
        <v>75000</v>
      </c>
      <c r="H191" t="inlineStr">
        <is>
          <t>Экспертная оценка</t>
        </is>
      </c>
    </row>
    <row r="192" ht="14.4" customFormat="1" customHeight="1" s="5">
      <c r="A192" s="85" t="inlineStr">
        <is>
          <t>5 этап</t>
        </is>
      </c>
      <c r="B192" s="74" t="inlineStr">
        <is>
          <t>5.2.16</t>
        </is>
      </c>
      <c r="C192" s="89" t="inlineStr">
        <is>
          <t>Труба стальная электросварная 108х4,0</t>
        </is>
      </c>
      <c r="D192" s="39" t="inlineStr">
        <is>
          <t>м. пог</t>
        </is>
      </c>
      <c r="E192" s="84" t="n">
        <v>67</v>
      </c>
      <c r="F192" s="146" t="n">
        <v>1600</v>
      </c>
      <c r="G192" s="146" t="n">
        <v>107200</v>
      </c>
      <c r="H192" t="inlineStr">
        <is>
          <t>ФЕР-2020 × 0.75</t>
        </is>
      </c>
    </row>
    <row r="193" ht="14.4" customFormat="1" customHeight="1" s="5">
      <c r="A193" s="85" t="inlineStr">
        <is>
          <t>5 этап</t>
        </is>
      </c>
      <c r="B193" s="74" t="inlineStr">
        <is>
          <t>5.2.17</t>
        </is>
      </c>
      <c r="C193" s="89" t="inlineStr">
        <is>
          <t>Труба стальная электросварная  57х3.5</t>
        </is>
      </c>
      <c r="D193" s="39" t="inlineStr">
        <is>
          <t>м. пог</t>
        </is>
      </c>
      <c r="E193" s="84" t="n">
        <v>52</v>
      </c>
      <c r="F193" s="146" t="n">
        <v>1600</v>
      </c>
      <c r="G193" s="146" t="n">
        <v>83200</v>
      </c>
      <c r="H193" t="inlineStr">
        <is>
          <t>ФЕР-2020 × 0.75</t>
        </is>
      </c>
    </row>
    <row r="194" ht="27.6" customFormat="1" customHeight="1" s="5">
      <c r="A194" s="85" t="inlineStr">
        <is>
          <t>5 этап</t>
        </is>
      </c>
      <c r="B194" s="74" t="inlineStr">
        <is>
          <t>5.2.18</t>
        </is>
      </c>
      <c r="C194" s="91" t="inlineStr">
        <is>
          <t>Кран стальной под приварку Ду-32 Ру-40 L=260мм МАРШАЛ</t>
        </is>
      </c>
      <c r="D194" s="39" t="inlineStr">
        <is>
          <t>шт</t>
        </is>
      </c>
      <c r="E194" s="84" t="n">
        <v>1</v>
      </c>
      <c r="F194" s="146" t="n">
        <v>5000</v>
      </c>
      <c r="G194" s="146" t="n">
        <v>5000</v>
      </c>
      <c r="H194" t="inlineStr">
        <is>
          <t>Экспертная оценка</t>
        </is>
      </c>
    </row>
    <row r="195" ht="27.6" customFormat="1" customHeight="1" s="5">
      <c r="A195" s="85" t="inlineStr">
        <is>
          <t>5 этап</t>
        </is>
      </c>
      <c r="B195" s="74" t="inlineStr">
        <is>
          <t>5.2.19</t>
        </is>
      </c>
      <c r="C195" s="38" t="inlineStr">
        <is>
          <t>Кран стальной под приварку Ду-50 Ру-40 L=300мм МАРШАЛ</t>
        </is>
      </c>
      <c r="D195" s="39" t="inlineStr">
        <is>
          <t>шт</t>
        </is>
      </c>
      <c r="E195" s="84" t="n">
        <v>1</v>
      </c>
      <c r="F195" s="146" t="n">
        <v>5000</v>
      </c>
      <c r="G195" s="146" t="n">
        <v>5000</v>
      </c>
      <c r="H195" t="inlineStr">
        <is>
          <t>Экспертная оценка</t>
        </is>
      </c>
    </row>
    <row r="196" ht="27.6" customFormat="1" customHeight="1" s="5">
      <c r="A196" s="85" t="inlineStr">
        <is>
          <t>5 этап</t>
        </is>
      </c>
      <c r="B196" s="74" t="inlineStr">
        <is>
          <t>5.2.20</t>
        </is>
      </c>
      <c r="C196" s="91" t="inlineStr">
        <is>
          <t>Кран латунный Ду-15 (1/2") Ру-40 ВР (ВН)  полнопроходной рычаг</t>
        </is>
      </c>
      <c r="D196" s="39" t="inlineStr">
        <is>
          <t>шт</t>
        </is>
      </c>
      <c r="E196" s="84" t="n">
        <v>155</v>
      </c>
      <c r="F196" s="146" t="n">
        <v>5000</v>
      </c>
      <c r="G196" s="146" t="n">
        <v>775000</v>
      </c>
      <c r="H196" t="inlineStr">
        <is>
          <t>Экспертная оценка</t>
        </is>
      </c>
    </row>
    <row r="197" ht="14.4" customFormat="1" customHeight="1" s="5">
      <c r="A197" s="85" t="inlineStr">
        <is>
          <t>5 этап</t>
        </is>
      </c>
      <c r="B197" s="74" t="inlineStr">
        <is>
          <t>5.2.21</t>
        </is>
      </c>
      <c r="C197" s="91" t="inlineStr">
        <is>
          <t>Кран для спуска воздуха</t>
        </is>
      </c>
      <c r="D197" s="39" t="inlineStr">
        <is>
          <t>шт</t>
        </is>
      </c>
      <c r="E197" s="84" t="n">
        <v>18</v>
      </c>
      <c r="F197" s="146" t="n">
        <v>5000</v>
      </c>
      <c r="G197" s="146" t="n">
        <v>90000</v>
      </c>
      <c r="H197" t="inlineStr">
        <is>
          <t>Экспертная оценка</t>
        </is>
      </c>
    </row>
    <row r="198" ht="14.4" customFormat="1" customHeight="1" s="5">
      <c r="A198" s="85" t="inlineStr">
        <is>
          <t>5 этап</t>
        </is>
      </c>
      <c r="B198" s="74" t="inlineStr">
        <is>
          <t>5.2.22</t>
        </is>
      </c>
      <c r="C198" s="91" t="inlineStr">
        <is>
          <t>Смеситель с душевой сеткой на гибком шланге</t>
        </is>
      </c>
      <c r="D198" s="39" t="inlineStr">
        <is>
          <t>шт</t>
        </is>
      </c>
      <c r="E198" s="84" t="n">
        <v>32</v>
      </c>
      <c r="F198" s="146" t="n">
        <v>5000</v>
      </c>
      <c r="G198" s="146" t="n">
        <v>160000</v>
      </c>
      <c r="H198" t="inlineStr">
        <is>
          <t>Экспертная оценка</t>
        </is>
      </c>
    </row>
    <row r="199" ht="14.4" customFormat="1" customHeight="1" s="5">
      <c r="A199" s="85" t="inlineStr">
        <is>
          <t>5 этап</t>
        </is>
      </c>
      <c r="B199" s="74" t="inlineStr">
        <is>
          <t>5.2.23</t>
        </is>
      </c>
      <c r="C199" s="91" t="inlineStr">
        <is>
          <t>Смеситель для умывальников и раковин</t>
        </is>
      </c>
      <c r="D199" s="39" t="inlineStr">
        <is>
          <t>шт</t>
        </is>
      </c>
      <c r="E199" s="84" t="n">
        <v>92</v>
      </c>
      <c r="F199" s="146" t="n">
        <v>5000</v>
      </c>
      <c r="G199" s="146" t="n">
        <v>460000</v>
      </c>
      <c r="H199" t="inlineStr">
        <is>
          <t>Экспертная оценка</t>
        </is>
      </c>
    </row>
    <row r="200" ht="14.4" customFormat="1" customHeight="1" s="5">
      <c r="A200" s="85" t="inlineStr">
        <is>
          <t>5 этап</t>
        </is>
      </c>
      <c r="B200" s="74" t="inlineStr">
        <is>
          <t>5.2.24</t>
        </is>
      </c>
      <c r="C200" s="38" t="inlineStr">
        <is>
          <t>Гибкая подводка</t>
        </is>
      </c>
      <c r="D200" s="39" t="inlineStr">
        <is>
          <t>шт</t>
        </is>
      </c>
      <c r="E200" s="84" t="n">
        <v>124</v>
      </c>
      <c r="F200" s="146" t="n">
        <v>5000</v>
      </c>
      <c r="G200" s="146" t="n">
        <v>620000</v>
      </c>
      <c r="H200" t="inlineStr">
        <is>
          <t>Экспертная оценка</t>
        </is>
      </c>
    </row>
    <row r="201" ht="14.4" customFormat="1" customHeight="1" s="5">
      <c r="A201" s="85" t="inlineStr">
        <is>
          <t>5 этап</t>
        </is>
      </c>
      <c r="B201" s="74" t="inlineStr">
        <is>
          <t>5.2.25</t>
        </is>
      </c>
      <c r="C201" s="91" t="inlineStr">
        <is>
          <t>Труба стальная водогазопроводная 57х3.5</t>
        </is>
      </c>
      <c r="D201" s="39" t="inlineStr">
        <is>
          <t>м. пог</t>
        </is>
      </c>
      <c r="E201" s="84" t="n">
        <v>30</v>
      </c>
      <c r="F201" s="146" t="n">
        <v>3500</v>
      </c>
      <c r="G201" s="146" t="n">
        <v>105000</v>
      </c>
      <c r="H201" t="inlineStr">
        <is>
          <t>Экспертная оценка</t>
        </is>
      </c>
    </row>
    <row r="202" ht="14.4" customFormat="1" customHeight="1" s="5">
      <c r="A202" s="85" t="inlineStr">
        <is>
          <t>5 этап</t>
        </is>
      </c>
      <c r="B202" s="74" t="inlineStr">
        <is>
          <t>5.2.26</t>
        </is>
      </c>
      <c r="C202" s="91" t="inlineStr">
        <is>
          <t>Труба PP-RCT серая армированная алюминием Дн  48</t>
        </is>
      </c>
      <c r="D202" s="39" t="inlineStr">
        <is>
          <t>м. пог</t>
        </is>
      </c>
      <c r="E202" s="84" t="n">
        <v>23</v>
      </c>
      <c r="F202" s="146" t="n">
        <v>75000</v>
      </c>
      <c r="G202" s="146" t="n">
        <v>1725000</v>
      </c>
      <c r="H202" t="inlineStr">
        <is>
          <t>ФЕР-2020 × 0.75</t>
        </is>
      </c>
    </row>
    <row r="203" ht="14.4" customFormat="1" customHeight="1" s="5">
      <c r="A203" s="85" t="inlineStr">
        <is>
          <t>5 этап</t>
        </is>
      </c>
      <c r="B203" s="74" t="inlineStr">
        <is>
          <t>5.2.27</t>
        </is>
      </c>
      <c r="C203" s="91" t="inlineStr">
        <is>
          <t>Труба PP-RCT серая армированная алюминием 42.3</t>
        </is>
      </c>
      <c r="D203" s="39" t="inlineStr">
        <is>
          <t>м. пог</t>
        </is>
      </c>
      <c r="E203" s="84" t="n">
        <v>30</v>
      </c>
      <c r="F203" s="146" t="n">
        <v>75000</v>
      </c>
      <c r="G203" s="146" t="n">
        <v>2250000</v>
      </c>
      <c r="H203" t="inlineStr">
        <is>
          <t>ФЕР-2020 × 0.75</t>
        </is>
      </c>
    </row>
    <row r="204" ht="14.4" customFormat="1" customHeight="1" s="5">
      <c r="A204" s="85" t="inlineStr">
        <is>
          <t>5 этап</t>
        </is>
      </c>
      <c r="B204" s="74" t="inlineStr">
        <is>
          <t>5.2.28</t>
        </is>
      </c>
      <c r="C204" s="91" t="inlineStr">
        <is>
          <t>Труба PP-RCT серая армированная алюминием Дн  32</t>
        </is>
      </c>
      <c r="D204" s="39" t="inlineStr">
        <is>
          <t>м. пог</t>
        </is>
      </c>
      <c r="E204" s="84" t="n">
        <v>47</v>
      </c>
      <c r="F204" s="146" t="n">
        <v>75000</v>
      </c>
      <c r="G204" s="146" t="n">
        <v>3525000</v>
      </c>
      <c r="H204" t="inlineStr">
        <is>
          <t>ФЕР-2020 × 0.75</t>
        </is>
      </c>
    </row>
    <row r="205" ht="14.4" customFormat="1" customHeight="1" s="5">
      <c r="A205" s="85" t="inlineStr">
        <is>
          <t>5 этап</t>
        </is>
      </c>
      <c r="B205" s="74" t="inlineStr">
        <is>
          <t>5.2.29</t>
        </is>
      </c>
      <c r="C205" s="91" t="inlineStr">
        <is>
          <t>Труба PP-RCT серая армированная алюминием Дн 26.8</t>
        </is>
      </c>
      <c r="D205" s="39" t="inlineStr">
        <is>
          <t>м. пог</t>
        </is>
      </c>
      <c r="E205" s="84" t="n">
        <v>56</v>
      </c>
      <c r="F205" s="146" t="n">
        <v>75000</v>
      </c>
      <c r="G205" s="146" t="n">
        <v>4200000</v>
      </c>
      <c r="H205" t="inlineStr">
        <is>
          <t>ФЕР-2020 × 0.75</t>
        </is>
      </c>
    </row>
    <row r="206" ht="14.4" customFormat="1" customHeight="1" s="5">
      <c r="A206" s="85" t="inlineStr">
        <is>
          <t>5 этап</t>
        </is>
      </c>
      <c r="B206" s="74" t="inlineStr">
        <is>
          <t>5.2.30</t>
        </is>
      </c>
      <c r="C206" s="91" t="inlineStr">
        <is>
          <t>Труба PP-RCT серая армированная алюминием Дн 21</t>
        </is>
      </c>
      <c r="D206" s="39" t="inlineStr">
        <is>
          <t>м. пог</t>
        </is>
      </c>
      <c r="E206" s="84" t="n">
        <v>87</v>
      </c>
      <c r="F206" s="146" t="n">
        <v>75000</v>
      </c>
      <c r="G206" s="146" t="n">
        <v>6525000</v>
      </c>
      <c r="H206" t="inlineStr">
        <is>
          <t>ФЕР-2020 × 0.75</t>
        </is>
      </c>
    </row>
    <row r="207" ht="14.4" customFormat="1" customHeight="1" s="5">
      <c r="A207" s="85" t="inlineStr">
        <is>
          <t>5 этап</t>
        </is>
      </c>
      <c r="B207" s="74" t="inlineStr">
        <is>
          <t>5.2.31</t>
        </is>
      </c>
      <c r="C207" s="38" t="inlineStr">
        <is>
          <t>Труба PP-RCT серая армированная алюминием Дн 16х2.2</t>
        </is>
      </c>
      <c r="D207" s="39" t="inlineStr">
        <is>
          <t>м. пог</t>
        </is>
      </c>
      <c r="E207" s="84" t="n">
        <v>200</v>
      </c>
      <c r="F207" s="146" t="n">
        <v>75000</v>
      </c>
      <c r="G207" s="146" t="n">
        <v>15000000</v>
      </c>
      <c r="H207" t="inlineStr">
        <is>
          <t>ФЕР-2020 × 0.75</t>
        </is>
      </c>
    </row>
    <row r="208" ht="14.4" customFormat="1" customHeight="1" s="5">
      <c r="A208" s="85" t="inlineStr">
        <is>
          <t>5 этап</t>
        </is>
      </c>
      <c r="B208" s="74" t="inlineStr">
        <is>
          <t>5.2.32</t>
        </is>
      </c>
      <c r="C208" s="38" t="inlineStr">
        <is>
          <t>Изоляция трубопроводов t=50мм</t>
        </is>
      </c>
      <c r="D208" s="39" t="inlineStr">
        <is>
          <t>м. пог</t>
        </is>
      </c>
      <c r="E208" s="84" t="n">
        <v>480</v>
      </c>
      <c r="F208" s="146" t="n">
        <v>2400</v>
      </c>
      <c r="G208" s="146" t="n">
        <v>1152000</v>
      </c>
      <c r="H208" t="inlineStr">
        <is>
          <t>ФЕР-2020 × 0.75</t>
        </is>
      </c>
    </row>
    <row r="209" ht="14.4" customFormat="1" customHeight="1" s="5">
      <c r="A209" s="85" t="inlineStr">
        <is>
          <t>5 этап</t>
        </is>
      </c>
      <c r="B209" s="74" t="inlineStr">
        <is>
          <t>5.2.33</t>
        </is>
      </c>
      <c r="C209" s="35" t="inlineStr">
        <is>
          <t>Унитаз с  выпуском в комплекте с бачком</t>
        </is>
      </c>
      <c r="D209" s="39" t="inlineStr">
        <is>
          <t>шт</t>
        </is>
      </c>
      <c r="E209" s="84" t="n">
        <v>88</v>
      </c>
      <c r="F209" s="146" t="n">
        <v>5000</v>
      </c>
      <c r="G209" s="146" t="n">
        <v>440000</v>
      </c>
      <c r="H209" t="inlineStr">
        <is>
          <t>Экспертная оценка</t>
        </is>
      </c>
    </row>
    <row r="210" ht="14.4" customFormat="1" customHeight="1" s="5">
      <c r="A210" s="85" t="inlineStr">
        <is>
          <t>5 этап</t>
        </is>
      </c>
      <c r="B210" s="74" t="inlineStr">
        <is>
          <t>5.2.34</t>
        </is>
      </c>
      <c r="C210" s="35" t="inlineStr">
        <is>
          <t>Умывальник керамический</t>
        </is>
      </c>
      <c r="D210" s="39" t="inlineStr">
        <is>
          <t>шт</t>
        </is>
      </c>
      <c r="E210" s="84" t="n">
        <v>92</v>
      </c>
      <c r="F210" s="146" t="n">
        <v>5000</v>
      </c>
      <c r="G210" s="146" t="n">
        <v>460000</v>
      </c>
      <c r="H210" t="inlineStr">
        <is>
          <t>Экспертная оценка</t>
        </is>
      </c>
    </row>
    <row r="211" ht="14.4" customFormat="1" customHeight="1" s="5">
      <c r="A211" s="85" t="inlineStr">
        <is>
          <t>5 этап</t>
        </is>
      </c>
      <c r="B211" s="74" t="inlineStr">
        <is>
          <t>5.2.35</t>
        </is>
      </c>
      <c r="C211" s="35" t="inlineStr">
        <is>
          <t>Поддон душевой в комплекте</t>
        </is>
      </c>
      <c r="D211" s="39" t="inlineStr">
        <is>
          <t>шт</t>
        </is>
      </c>
      <c r="E211" s="84" t="n">
        <v>32</v>
      </c>
      <c r="F211" s="146" t="n">
        <v>5000</v>
      </c>
      <c r="G211" s="146" t="n">
        <v>160000</v>
      </c>
      <c r="H211" t="inlineStr">
        <is>
          <t>Экспертная оценка</t>
        </is>
      </c>
    </row>
    <row r="212" ht="14.4" customFormat="1" customHeight="1" s="5">
      <c r="A212" s="26" t="inlineStr">
        <is>
          <t>5 этап</t>
        </is>
      </c>
      <c r="B212" s="50" t="inlineStr">
        <is>
          <t>5.3</t>
        </is>
      </c>
      <c r="C212" s="60" t="inlineStr">
        <is>
          <t>Канализация АБК</t>
        </is>
      </c>
      <c r="D212" s="54" t="inlineStr">
        <is>
          <t>компл.</t>
        </is>
      </c>
      <c r="E212" s="154" t="n">
        <v>1</v>
      </c>
      <c r="F212" s="146" t="n">
        <v>2400</v>
      </c>
      <c r="G212" s="146" t="n">
        <v>2400</v>
      </c>
      <c r="H212" t="inlineStr">
        <is>
          <t>ФЕР-2020 × 0.75</t>
        </is>
      </c>
    </row>
    <row r="213" ht="14.4" customFormat="1" customHeight="1" s="5">
      <c r="A213" s="49" t="inlineStr">
        <is>
          <t>5 этап</t>
        </is>
      </c>
      <c r="B213" s="50" t="inlineStr">
        <is>
          <t>5.3</t>
        </is>
      </c>
      <c r="C213" s="38" t="inlineStr">
        <is>
          <t>Канализация АБК</t>
        </is>
      </c>
      <c r="D213" s="36" t="inlineStr">
        <is>
          <t>компл.</t>
        </is>
      </c>
      <c r="E213" s="155" t="n">
        <v>1</v>
      </c>
      <c r="F213" s="146" t="n">
        <v>2400</v>
      </c>
      <c r="G213" s="146" t="n">
        <v>2400</v>
      </c>
      <c r="H213" t="inlineStr">
        <is>
          <t>ФЕР-2020 × 0.75</t>
        </is>
      </c>
    </row>
    <row r="214" ht="14.4" customFormat="1" customHeight="1" s="5">
      <c r="A214" s="85" t="inlineStr">
        <is>
          <t>5 этап</t>
        </is>
      </c>
      <c r="B214" s="74" t="inlineStr">
        <is>
          <t>5.3.1</t>
        </is>
      </c>
      <c r="C214" s="83" t="inlineStr">
        <is>
          <t>Трубы пластиковая ПВХ канализационные ∅50</t>
        </is>
      </c>
      <c r="D214" s="39" t="inlineStr">
        <is>
          <t>м</t>
        </is>
      </c>
      <c r="E214" s="84" t="n">
        <v>70</v>
      </c>
      <c r="F214" s="146" t="n">
        <v>2400</v>
      </c>
      <c r="G214" s="146" t="n">
        <v>168000</v>
      </c>
      <c r="H214" t="inlineStr">
        <is>
          <t>ФЕР-2020 × 0.75</t>
        </is>
      </c>
    </row>
    <row r="215" ht="14.4" customFormat="1" customHeight="1" s="5">
      <c r="A215" s="85" t="inlineStr">
        <is>
          <t>5 этап</t>
        </is>
      </c>
      <c r="B215" s="74" t="inlineStr">
        <is>
          <t>5.3.2</t>
        </is>
      </c>
      <c r="C215" s="83" t="inlineStr">
        <is>
          <t>Трубы пластиковая ПВХ канализационные ∅100</t>
        </is>
      </c>
      <c r="D215" s="39" t="inlineStr">
        <is>
          <t>м</t>
        </is>
      </c>
      <c r="E215" s="84" t="n">
        <v>140</v>
      </c>
      <c r="F215" s="146" t="n">
        <v>2400</v>
      </c>
      <c r="G215" s="146" t="n">
        <v>336000</v>
      </c>
      <c r="H215" t="inlineStr">
        <is>
          <t>ФЕР-2020 × 0.75</t>
        </is>
      </c>
    </row>
    <row r="216" ht="14.4" customFormat="1" customHeight="1" s="5">
      <c r="A216" s="85" t="inlineStr">
        <is>
          <t>5 этап</t>
        </is>
      </c>
      <c r="B216" s="74" t="inlineStr">
        <is>
          <t>5.3.3</t>
        </is>
      </c>
      <c r="C216" s="83" t="inlineStr">
        <is>
          <t>Трубы пластиковая ПВХ канализационные ∅150</t>
        </is>
      </c>
      <c r="D216" s="39" t="inlineStr">
        <is>
          <t>шт.</t>
        </is>
      </c>
      <c r="E216" s="84" t="n">
        <v>20</v>
      </c>
      <c r="F216" s="146" t="n">
        <v>2400</v>
      </c>
      <c r="G216" s="146" t="n">
        <v>48000</v>
      </c>
      <c r="H216" t="inlineStr">
        <is>
          <t>ФЕР-2020 × 0.75</t>
        </is>
      </c>
    </row>
    <row r="217" ht="14.4" customFormat="1" customHeight="1" s="5">
      <c r="A217" s="85" t="inlineStr">
        <is>
          <t>5 этап</t>
        </is>
      </c>
      <c r="B217" s="74" t="inlineStr">
        <is>
          <t>5.3.4</t>
        </is>
      </c>
      <c r="C217" s="83" t="inlineStr">
        <is>
          <t>Прочистка ПНД в лючке Ⱦ100мм</t>
        </is>
      </c>
      <c r="D217" s="39" t="inlineStr">
        <is>
          <t>шт.</t>
        </is>
      </c>
      <c r="E217" s="84" t="n">
        <v>15</v>
      </c>
      <c r="F217" s="146" t="n">
        <v>5000</v>
      </c>
      <c r="G217" s="146" t="n">
        <v>75000</v>
      </c>
      <c r="H217" t="inlineStr">
        <is>
          <t>Экспертная оценка</t>
        </is>
      </c>
    </row>
    <row r="218" ht="14.4" customFormat="1" customHeight="1" s="5">
      <c r="A218" s="85" t="inlineStr">
        <is>
          <t>5 этап</t>
        </is>
      </c>
      <c r="B218" s="74" t="inlineStr">
        <is>
          <t>5.3.5</t>
        </is>
      </c>
      <c r="C218" s="83" t="inlineStr">
        <is>
          <t>Воздушный клапан ∅50мм</t>
        </is>
      </c>
      <c r="D218" s="39" t="inlineStr">
        <is>
          <t>шт.</t>
        </is>
      </c>
      <c r="E218" s="84" t="n">
        <v>4</v>
      </c>
      <c r="F218" s="146" t="n">
        <v>5000</v>
      </c>
      <c r="G218" s="146" t="n">
        <v>20000</v>
      </c>
      <c r="H218" t="inlineStr">
        <is>
          <t>Экспертная оценка</t>
        </is>
      </c>
    </row>
    <row r="219" ht="14.4" customFormat="1" customHeight="1" s="5">
      <c r="A219" s="85" t="inlineStr">
        <is>
          <t>5 этап</t>
        </is>
      </c>
      <c r="B219" s="74" t="inlineStr">
        <is>
          <t>5.3.6</t>
        </is>
      </c>
      <c r="C219" s="83" t="inlineStr">
        <is>
          <t>Трубы пластиковая ПВХ канализационные ∅100</t>
        </is>
      </c>
      <c r="D219" s="39" t="inlineStr">
        <is>
          <t>м</t>
        </is>
      </c>
      <c r="E219" s="84" t="n">
        <v>2</v>
      </c>
      <c r="F219" s="146" t="n">
        <v>2400</v>
      </c>
      <c r="G219" s="146" t="n">
        <v>4800</v>
      </c>
      <c r="H219" t="inlineStr">
        <is>
          <t>ФЕР-2020 × 0.75</t>
        </is>
      </c>
    </row>
    <row r="220" ht="14.4" customFormat="1" customHeight="1" s="5">
      <c r="A220" s="85" t="inlineStr">
        <is>
          <t>5 этап</t>
        </is>
      </c>
      <c r="B220" s="74" t="inlineStr">
        <is>
          <t>5.3.7</t>
        </is>
      </c>
      <c r="C220" s="83" t="inlineStr">
        <is>
          <t>Трап Ⱦ100</t>
        </is>
      </c>
      <c r="D220" s="39" t="inlineStr">
        <is>
          <t>шт.</t>
        </is>
      </c>
      <c r="E220" s="84" t="n">
        <v>2</v>
      </c>
      <c r="F220" s="146" t="n">
        <v>5000</v>
      </c>
      <c r="G220" s="146" t="n">
        <v>10000</v>
      </c>
      <c r="H220" t="inlineStr">
        <is>
          <t>Экспертная оценка</t>
        </is>
      </c>
    </row>
    <row r="221" ht="14.4" customFormat="1" customHeight="1" s="5">
      <c r="A221" s="49" t="inlineStr">
        <is>
          <t>5 этап</t>
        </is>
      </c>
      <c r="B221" s="50" t="inlineStr">
        <is>
          <t>5.4</t>
        </is>
      </c>
      <c r="C221" s="60" t="inlineStr">
        <is>
          <t>Канализация Общежитие</t>
        </is>
      </c>
      <c r="D221" s="54" t="inlineStr">
        <is>
          <t>компл.</t>
        </is>
      </c>
      <c r="E221" s="154" t="n">
        <v>1</v>
      </c>
      <c r="F221" s="146" t="n">
        <v>2400</v>
      </c>
      <c r="G221" s="146" t="n">
        <v>2400</v>
      </c>
      <c r="H221" t="inlineStr">
        <is>
          <t>ФЕР-2020 × 0.75</t>
        </is>
      </c>
    </row>
    <row r="222" ht="27.6" customFormat="1" customHeight="1" s="5">
      <c r="A222" s="85" t="inlineStr">
        <is>
          <t>5 этап</t>
        </is>
      </c>
      <c r="B222" s="74" t="inlineStr">
        <is>
          <t>5.4.1</t>
        </is>
      </c>
      <c r="C222" s="35" t="inlineStr">
        <is>
          <t>Труба НПВХ (ПВХ) канализационная серая Дн 110х3,2 безнапорная</t>
        </is>
      </c>
      <c r="D222" s="39" t="inlineStr">
        <is>
          <t>м. пог</t>
        </is>
      </c>
      <c r="E222" s="84" t="n">
        <v>290</v>
      </c>
      <c r="F222" s="146" t="n">
        <v>2400</v>
      </c>
      <c r="G222" s="146" t="n">
        <v>696000</v>
      </c>
      <c r="H222" t="inlineStr">
        <is>
          <t>ФЕР-2020 × 0.75</t>
        </is>
      </c>
    </row>
    <row r="223" ht="27.6" customFormat="1" customHeight="1" s="5">
      <c r="A223" s="85" t="inlineStr">
        <is>
          <t>5 этап</t>
        </is>
      </c>
      <c r="B223" s="74" t="inlineStr">
        <is>
          <t>5.4.2</t>
        </is>
      </c>
      <c r="C223" s="35" t="inlineStr">
        <is>
          <t>Труба НПВХ (ПВХ) канализационная серая Дн 50х3,2 безнапорная</t>
        </is>
      </c>
      <c r="D223" s="39" t="inlineStr">
        <is>
          <t>м. пог</t>
        </is>
      </c>
      <c r="E223" s="84" t="n">
        <v>160</v>
      </c>
      <c r="F223" s="146" t="n">
        <v>2400</v>
      </c>
      <c r="G223" s="146" t="n">
        <v>384000</v>
      </c>
      <c r="H223" t="inlineStr">
        <is>
          <t>ФЕР-2020 × 0.75</t>
        </is>
      </c>
    </row>
    <row r="224" ht="14.4" customFormat="1" customHeight="1" s="5">
      <c r="A224" s="49" t="inlineStr">
        <is>
          <t>5 этап</t>
        </is>
      </c>
      <c r="B224" s="50" t="inlineStr">
        <is>
          <t>5.5</t>
        </is>
      </c>
      <c r="C224" s="28" t="inlineStr">
        <is>
          <t>Отопление Общежитие</t>
        </is>
      </c>
      <c r="D224" s="54" t="inlineStr">
        <is>
          <t>компл.</t>
        </is>
      </c>
      <c r="E224" s="154" t="n">
        <v>1</v>
      </c>
      <c r="F224" s="146" t="n">
        <v>2800</v>
      </c>
      <c r="G224" s="146" t="n">
        <v>2800</v>
      </c>
      <c r="H224" t="inlineStr">
        <is>
          <t>ФЕР-2020 × 0.75</t>
        </is>
      </c>
    </row>
    <row r="225" ht="14.4" customFormat="1" customHeight="1" s="5">
      <c r="A225" s="85" t="inlineStr">
        <is>
          <t>5 этап</t>
        </is>
      </c>
      <c r="B225" s="74" t="inlineStr">
        <is>
          <t>5.5.1</t>
        </is>
      </c>
      <c r="C225" s="38" t="inlineStr">
        <is>
          <t>Сбросник воздуха</t>
        </is>
      </c>
      <c r="D225" s="39" t="inlineStr">
        <is>
          <t>шт</t>
        </is>
      </c>
      <c r="E225" s="84" t="n">
        <v>14</v>
      </c>
      <c r="F225" s="146" t="n">
        <v>5000</v>
      </c>
      <c r="G225" s="146" t="n">
        <v>70000</v>
      </c>
      <c r="H225" t="inlineStr">
        <is>
          <t>Экспертная оценка</t>
        </is>
      </c>
    </row>
    <row r="226" ht="14.4" customFormat="1" customHeight="1" s="5">
      <c r="A226" s="85" t="inlineStr">
        <is>
          <t>5 этап</t>
        </is>
      </c>
      <c r="B226" s="74" t="inlineStr">
        <is>
          <t>5.5.2</t>
        </is>
      </c>
      <c r="C226" s="38" t="inlineStr">
        <is>
          <t>Кран шаровый д. 32</t>
        </is>
      </c>
      <c r="D226" s="39" t="inlineStr">
        <is>
          <t>шт</t>
        </is>
      </c>
      <c r="E226" s="84" t="n">
        <v>8</v>
      </c>
      <c r="F226" s="146" t="n">
        <v>5000</v>
      </c>
      <c r="G226" s="146" t="n">
        <v>40000</v>
      </c>
      <c r="H226" t="inlineStr">
        <is>
          <t>Экспертная оценка</t>
        </is>
      </c>
    </row>
    <row r="227" ht="14.4" customFormat="1" customHeight="1" s="5">
      <c r="A227" s="85" t="inlineStr">
        <is>
          <t>5 этап</t>
        </is>
      </c>
      <c r="B227" s="74" t="inlineStr">
        <is>
          <t>5.5.3</t>
        </is>
      </c>
      <c r="C227" s="38" t="inlineStr">
        <is>
          <t>Кран шаровый д. 25</t>
        </is>
      </c>
      <c r="D227" s="39" t="inlineStr">
        <is>
          <t>шт</t>
        </is>
      </c>
      <c r="E227" s="84" t="n">
        <v>7</v>
      </c>
      <c r="F227" s="146" t="n">
        <v>5000</v>
      </c>
      <c r="G227" s="146" t="n">
        <v>35000</v>
      </c>
      <c r="H227" t="inlineStr">
        <is>
          <t>Экспертная оценка</t>
        </is>
      </c>
    </row>
    <row r="228" ht="14.4" customFormat="1" customHeight="1" s="5">
      <c r="A228" s="85" t="inlineStr">
        <is>
          <t>5 этап</t>
        </is>
      </c>
      <c r="B228" s="74" t="inlineStr">
        <is>
          <t>5.5.4</t>
        </is>
      </c>
      <c r="C228" s="38" t="inlineStr">
        <is>
          <t>Кран шаровый д. 20</t>
        </is>
      </c>
      <c r="D228" s="39" t="inlineStr">
        <is>
          <t>шт</t>
        </is>
      </c>
      <c r="E228" s="84" t="n">
        <v>1</v>
      </c>
      <c r="F228" s="146" t="n">
        <v>5000</v>
      </c>
      <c r="G228" s="146" t="n">
        <v>5000</v>
      </c>
      <c r="H228" t="inlineStr">
        <is>
          <t>Экспертная оценка</t>
        </is>
      </c>
    </row>
    <row r="229" ht="14.4" customFormat="1" customHeight="1" s="5">
      <c r="A229" s="85" t="inlineStr">
        <is>
          <t>5 этап</t>
        </is>
      </c>
      <c r="B229" s="74" t="inlineStr">
        <is>
          <t>5.5.5</t>
        </is>
      </c>
      <c r="C229" s="38" t="inlineStr">
        <is>
          <t>Клапан выпуска воздуха радиаторный   д. 15</t>
        </is>
      </c>
      <c r="D229" s="39" t="inlineStr">
        <is>
          <t>шт</t>
        </is>
      </c>
      <c r="E229" s="84" t="n">
        <v>106</v>
      </c>
      <c r="F229" s="146" t="n">
        <v>2800</v>
      </c>
      <c r="G229" s="146" t="n">
        <v>296800</v>
      </c>
      <c r="H229" t="inlineStr">
        <is>
          <t>ФЕР-2020 × 0.75</t>
        </is>
      </c>
    </row>
    <row r="230" ht="14.4" customFormat="1" customHeight="1" s="5">
      <c r="A230" s="85" t="inlineStr">
        <is>
          <t>5 этап</t>
        </is>
      </c>
      <c r="B230" s="74" t="inlineStr">
        <is>
          <t>5.5.6</t>
        </is>
      </c>
      <c r="C230" s="38" t="inlineStr">
        <is>
          <t>Клапан термостатическии прямой        д. 15</t>
        </is>
      </c>
      <c r="D230" s="39" t="inlineStr">
        <is>
          <t>шт</t>
        </is>
      </c>
      <c r="E230" s="84" t="n">
        <v>106</v>
      </c>
      <c r="F230" s="146" t="n">
        <v>5000</v>
      </c>
      <c r="G230" s="146" t="n">
        <v>530000</v>
      </c>
      <c r="H230" t="inlineStr">
        <is>
          <t>Экспертная оценка</t>
        </is>
      </c>
    </row>
    <row r="231" ht="14.4" customFormat="1" customHeight="1" s="5">
      <c r="A231" s="85" t="inlineStr">
        <is>
          <t>5 этап</t>
        </is>
      </c>
      <c r="B231" s="74" t="inlineStr">
        <is>
          <t>5.5.7</t>
        </is>
      </c>
      <c r="C231" s="38" t="inlineStr">
        <is>
          <t>Клапан термостатическии запорный       д. 15</t>
        </is>
      </c>
      <c r="D231" s="39" t="inlineStr">
        <is>
          <t>шт</t>
        </is>
      </c>
      <c r="E231" s="84" t="n">
        <v>106</v>
      </c>
      <c r="F231" s="146" t="n">
        <v>5000</v>
      </c>
      <c r="G231" s="146" t="n">
        <v>530000</v>
      </c>
      <c r="H231" t="inlineStr">
        <is>
          <t>Экспертная оценка</t>
        </is>
      </c>
    </row>
    <row r="232" ht="14.4" customFormat="1" customHeight="1" s="5">
      <c r="A232" s="85" t="inlineStr">
        <is>
          <t>5 этап</t>
        </is>
      </c>
      <c r="B232" s="74" t="inlineStr">
        <is>
          <t>5.5.8</t>
        </is>
      </c>
      <c r="C232" s="38" t="inlineStr">
        <is>
          <t>Головка термостатическая</t>
        </is>
      </c>
      <c r="D232" s="39" t="inlineStr">
        <is>
          <t>шт</t>
        </is>
      </c>
      <c r="E232" s="84" t="n">
        <v>106</v>
      </c>
      <c r="F232" s="146" t="n">
        <v>5000</v>
      </c>
      <c r="G232" s="146" t="n">
        <v>530000</v>
      </c>
      <c r="H232" t="inlineStr">
        <is>
          <t>Экспертная оценка</t>
        </is>
      </c>
    </row>
    <row r="233" ht="14.4" customFormat="1" customHeight="1" s="5">
      <c r="A233" s="85" t="inlineStr">
        <is>
          <t>5 этап</t>
        </is>
      </c>
      <c r="B233" s="74" t="inlineStr">
        <is>
          <t>5.5.9</t>
        </is>
      </c>
      <c r="C233" s="38" t="inlineStr">
        <is>
          <t>Pадиаторы чугунные - 14 секций</t>
        </is>
      </c>
      <c r="D233" s="39" t="inlineStr">
        <is>
          <t>шт</t>
        </is>
      </c>
      <c r="E233" s="84" t="n">
        <v>4</v>
      </c>
      <c r="F233" s="146" t="n">
        <v>5000</v>
      </c>
      <c r="G233" s="146" t="n">
        <v>20000</v>
      </c>
      <c r="H233" t="inlineStr">
        <is>
          <t>Экспертная оценка</t>
        </is>
      </c>
    </row>
    <row r="234" ht="14.4" customFormat="1" customHeight="1" s="5">
      <c r="A234" s="85" t="inlineStr">
        <is>
          <t>5 этап</t>
        </is>
      </c>
      <c r="B234" s="74" t="inlineStr">
        <is>
          <t>5.5.10</t>
        </is>
      </c>
      <c r="C234" s="38" t="inlineStr">
        <is>
          <t>Pадиаторы чугунные - 12  секций</t>
        </is>
      </c>
      <c r="D234" s="39" t="inlineStr">
        <is>
          <t>шт</t>
        </is>
      </c>
      <c r="E234" s="84" t="n">
        <v>71</v>
      </c>
      <c r="F234" s="146" t="n">
        <v>5000</v>
      </c>
      <c r="G234" s="146" t="n">
        <v>355000</v>
      </c>
      <c r="H234" t="inlineStr">
        <is>
          <t>Экспертная оценка</t>
        </is>
      </c>
    </row>
    <row r="235" ht="14.4" customFormat="1" customHeight="1" s="5">
      <c r="A235" s="85" t="inlineStr">
        <is>
          <t>5 этап</t>
        </is>
      </c>
      <c r="B235" s="74" t="inlineStr">
        <is>
          <t>5.5.11</t>
        </is>
      </c>
      <c r="C235" s="38" t="inlineStr">
        <is>
          <t>Pадиаторы чугунные - 10  секций</t>
        </is>
      </c>
      <c r="D235" s="39" t="inlineStr">
        <is>
          <t>шт</t>
        </is>
      </c>
      <c r="E235" s="84" t="n">
        <v>8</v>
      </c>
      <c r="F235" s="146" t="n">
        <v>5000</v>
      </c>
      <c r="G235" s="146" t="n">
        <v>40000</v>
      </c>
      <c r="H235" t="inlineStr">
        <is>
          <t>Экспертная оценка</t>
        </is>
      </c>
    </row>
    <row r="236" ht="14.4" customFormat="1" customHeight="1" s="5">
      <c r="A236" s="85" t="inlineStr">
        <is>
          <t>5 этап</t>
        </is>
      </c>
      <c r="B236" s="74" t="inlineStr">
        <is>
          <t>5.5.12</t>
        </is>
      </c>
      <c r="C236" s="38" t="inlineStr">
        <is>
          <t>Pадиаторы чугунные - 8  секций</t>
        </is>
      </c>
      <c r="D236" s="39" t="inlineStr">
        <is>
          <t>шт</t>
        </is>
      </c>
      <c r="E236" s="84" t="n">
        <v>13</v>
      </c>
      <c r="F236" s="146" t="n">
        <v>5000</v>
      </c>
      <c r="G236" s="146" t="n">
        <v>65000</v>
      </c>
      <c r="H236" t="inlineStr">
        <is>
          <t>Экспертная оценка</t>
        </is>
      </c>
    </row>
    <row r="237" ht="14.4" customFormat="1" customHeight="1" s="5">
      <c r="A237" s="85" t="inlineStr">
        <is>
          <t>5 этап</t>
        </is>
      </c>
      <c r="B237" s="74" t="inlineStr">
        <is>
          <t>5.5.13</t>
        </is>
      </c>
      <c r="C237" s="38" t="inlineStr">
        <is>
          <t>Pадиаторы чугунные - 6  секций</t>
        </is>
      </c>
      <c r="D237" s="39" t="inlineStr">
        <is>
          <t>шт</t>
        </is>
      </c>
      <c r="E237" s="84" t="n">
        <v>2</v>
      </c>
      <c r="F237" s="146" t="n">
        <v>5000</v>
      </c>
      <c r="G237" s="146" t="n">
        <v>10000</v>
      </c>
      <c r="H237" t="inlineStr">
        <is>
          <t>Экспертная оценка</t>
        </is>
      </c>
    </row>
    <row r="238" ht="14.4" customFormat="1" customHeight="1" s="5">
      <c r="A238" s="85" t="inlineStr">
        <is>
          <t>5 этап</t>
        </is>
      </c>
      <c r="B238" s="74" t="inlineStr">
        <is>
          <t>5.5.14</t>
        </is>
      </c>
      <c r="C238" s="38" t="inlineStr">
        <is>
          <t xml:space="preserve">Труба стальная водогазопроводная   76х3.5  </t>
        </is>
      </c>
      <c r="D238" s="39" t="inlineStr">
        <is>
          <t>м. пог</t>
        </is>
      </c>
      <c r="E238" s="84" t="n">
        <v>37</v>
      </c>
      <c r="F238" s="146" t="n">
        <v>3500</v>
      </c>
      <c r="G238" s="146" t="n">
        <v>129500</v>
      </c>
      <c r="H238" t="inlineStr">
        <is>
          <t>Экспертная оценка</t>
        </is>
      </c>
    </row>
    <row r="239" ht="14.4" customFormat="1" customHeight="1" s="5">
      <c r="A239" s="85" t="inlineStr">
        <is>
          <t>5 этап</t>
        </is>
      </c>
      <c r="B239" s="74" t="inlineStr">
        <is>
          <t>5.5.15</t>
        </is>
      </c>
      <c r="C239" s="38" t="inlineStr">
        <is>
          <t>Труба стальная водогазопроводная   57х3.5</t>
        </is>
      </c>
      <c r="D239" s="39" t="inlineStr">
        <is>
          <t>м. пог</t>
        </is>
      </c>
      <c r="E239" s="84" t="n">
        <v>50</v>
      </c>
      <c r="F239" s="146" t="n">
        <v>3500</v>
      </c>
      <c r="G239" s="146" t="n">
        <v>175000</v>
      </c>
      <c r="H239" t="inlineStr">
        <is>
          <t>Экспертная оценка</t>
        </is>
      </c>
    </row>
    <row r="240" ht="14.4" customFormat="1" customHeight="1" s="5">
      <c r="A240" s="85" t="inlineStr">
        <is>
          <t>5 этап</t>
        </is>
      </c>
      <c r="B240" s="74" t="inlineStr">
        <is>
          <t>5.5.16</t>
        </is>
      </c>
      <c r="C240" s="38" t="inlineStr">
        <is>
          <t>Труба стальная водогазопроводная   40х3</t>
        </is>
      </c>
      <c r="D240" s="39" t="inlineStr">
        <is>
          <t>м. пог</t>
        </is>
      </c>
      <c r="E240" s="84" t="n">
        <v>40</v>
      </c>
      <c r="F240" s="146" t="n">
        <v>3500</v>
      </c>
      <c r="G240" s="146" t="n">
        <v>140000</v>
      </c>
      <c r="H240" t="inlineStr">
        <is>
          <t>Экспертная оценка</t>
        </is>
      </c>
    </row>
    <row r="241" ht="14.4" customFormat="1" customHeight="1" s="5">
      <c r="A241" s="85" t="inlineStr">
        <is>
          <t>5 этап</t>
        </is>
      </c>
      <c r="B241" s="74" t="inlineStr">
        <is>
          <t>5.5.17</t>
        </is>
      </c>
      <c r="C241" s="38" t="inlineStr">
        <is>
          <t>Труба полипропиленовая   32х2.8</t>
        </is>
      </c>
      <c r="D241" s="39" t="inlineStr">
        <is>
          <t>м. пог</t>
        </is>
      </c>
      <c r="E241" s="84" t="n">
        <v>80</v>
      </c>
      <c r="F241" s="146" t="n">
        <v>3500</v>
      </c>
      <c r="G241" s="146" t="n">
        <v>280000</v>
      </c>
      <c r="H241" t="inlineStr">
        <is>
          <t>Экспертная оценка</t>
        </is>
      </c>
    </row>
    <row r="242" ht="14.4" customFormat="1" customHeight="1" s="5">
      <c r="A242" s="85" t="inlineStr">
        <is>
          <t>5 этап</t>
        </is>
      </c>
      <c r="B242" s="74" t="inlineStr">
        <is>
          <t>5.5.18</t>
        </is>
      </c>
      <c r="C242" s="38" t="inlineStr">
        <is>
          <t>Труба полипропиленовая   25х2.8</t>
        </is>
      </c>
      <c r="D242" s="39" t="inlineStr">
        <is>
          <t>м. пог</t>
        </is>
      </c>
      <c r="E242" s="84" t="n">
        <v>150</v>
      </c>
      <c r="F242" s="146" t="n">
        <v>3500</v>
      </c>
      <c r="G242" s="146" t="n">
        <v>525000</v>
      </c>
      <c r="H242" t="inlineStr">
        <is>
          <t>Экспертная оценка</t>
        </is>
      </c>
    </row>
    <row r="243" ht="14.4" customFormat="1" customHeight="1" s="5">
      <c r="A243" s="85" t="inlineStr">
        <is>
          <t>5 этап</t>
        </is>
      </c>
      <c r="B243" s="74" t="inlineStr">
        <is>
          <t>5.5.19</t>
        </is>
      </c>
      <c r="C243" s="38" t="inlineStr">
        <is>
          <t>Труба полипропиленовая   20х2</t>
        </is>
      </c>
      <c r="D243" s="39" t="inlineStr">
        <is>
          <t>м. пог</t>
        </is>
      </c>
      <c r="E243" s="84" t="n">
        <v>150</v>
      </c>
      <c r="F243" s="146" t="n">
        <v>3500</v>
      </c>
      <c r="G243" s="146" t="n">
        <v>525000</v>
      </c>
      <c r="H243" t="inlineStr">
        <is>
          <t>Экспертная оценка</t>
        </is>
      </c>
    </row>
    <row r="244" ht="14.4" customFormat="1" customHeight="1" s="5">
      <c r="A244" s="85" t="inlineStr">
        <is>
          <t>5 этап</t>
        </is>
      </c>
      <c r="B244" s="74" t="inlineStr">
        <is>
          <t>5.5.20</t>
        </is>
      </c>
      <c r="C244" s="38" t="inlineStr">
        <is>
          <t>Трубчатая изоляция  Ду 25</t>
        </is>
      </c>
      <c r="D244" s="39" t="inlineStr">
        <is>
          <t>м. пог</t>
        </is>
      </c>
      <c r="E244" s="84" t="n">
        <v>150</v>
      </c>
      <c r="F244" s="146" t="n">
        <v>3500</v>
      </c>
      <c r="G244" s="146" t="n">
        <v>525000</v>
      </c>
      <c r="H244" t="inlineStr">
        <is>
          <t>Экспертная оценка</t>
        </is>
      </c>
    </row>
    <row r="245" ht="14.4" customFormat="1" customHeight="1" s="5">
      <c r="A245" s="85" t="inlineStr">
        <is>
          <t>5 этап</t>
        </is>
      </c>
      <c r="B245" s="74" t="inlineStr">
        <is>
          <t>5.5.21</t>
        </is>
      </c>
      <c r="C245" s="38" t="inlineStr">
        <is>
          <t>Трубчатая изоляция  Ду 32</t>
        </is>
      </c>
      <c r="D245" s="39" t="inlineStr">
        <is>
          <t>м. пог</t>
        </is>
      </c>
      <c r="E245" s="84" t="n">
        <v>80</v>
      </c>
      <c r="F245" s="146" t="n">
        <v>3500</v>
      </c>
      <c r="G245" s="146" t="n">
        <v>280000</v>
      </c>
      <c r="H245" t="inlineStr">
        <is>
          <t>Экспертная оценка</t>
        </is>
      </c>
    </row>
    <row r="246" ht="14.4" customFormat="1" customHeight="1" s="5">
      <c r="A246" s="85" t="inlineStr">
        <is>
          <t>5 этап</t>
        </is>
      </c>
      <c r="B246" s="74" t="inlineStr">
        <is>
          <t>5.5.22</t>
        </is>
      </c>
      <c r="C246" s="38" t="inlineStr">
        <is>
          <t>Трубчатая изоляция  Ду 40</t>
        </is>
      </c>
      <c r="D246" s="39" t="inlineStr">
        <is>
          <t>м. пог</t>
        </is>
      </c>
      <c r="E246" s="84" t="n">
        <v>40</v>
      </c>
      <c r="F246" s="146" t="n">
        <v>3500</v>
      </c>
      <c r="G246" s="146" t="n">
        <v>140000</v>
      </c>
      <c r="H246" t="inlineStr">
        <is>
          <t>Экспертная оценка</t>
        </is>
      </c>
    </row>
    <row r="247" ht="14.4" customFormat="1" customHeight="1" s="5">
      <c r="A247" s="85" t="inlineStr">
        <is>
          <t>5 этап</t>
        </is>
      </c>
      <c r="B247" s="74" t="inlineStr">
        <is>
          <t>5.5.23</t>
        </is>
      </c>
      <c r="C247" s="38" t="inlineStr">
        <is>
          <t>Трубчатая изоляция  Ду 50</t>
        </is>
      </c>
      <c r="D247" s="39" t="inlineStr">
        <is>
          <t>м. пог</t>
        </is>
      </c>
      <c r="E247" s="84" t="n">
        <v>50</v>
      </c>
      <c r="F247" s="146" t="n">
        <v>3500</v>
      </c>
      <c r="G247" s="146" t="n">
        <v>175000</v>
      </c>
      <c r="H247" t="inlineStr">
        <is>
          <t>Экспертная оценка</t>
        </is>
      </c>
    </row>
    <row r="248" ht="14.4" customFormat="1" customHeight="1" s="5">
      <c r="A248" s="85" t="inlineStr">
        <is>
          <t>5 этап</t>
        </is>
      </c>
      <c r="B248" s="74" t="inlineStr">
        <is>
          <t>5.5.24</t>
        </is>
      </c>
      <c r="C248" s="38" t="inlineStr">
        <is>
          <t>Трубчатая изоляция  Ду 76</t>
        </is>
      </c>
      <c r="D248" s="39" t="inlineStr">
        <is>
          <t>м. пог</t>
        </is>
      </c>
      <c r="E248" s="84" t="n">
        <v>37</v>
      </c>
      <c r="F248" s="146" t="n">
        <v>3500</v>
      </c>
      <c r="G248" s="146" t="n">
        <v>129500</v>
      </c>
      <c r="H248" t="inlineStr">
        <is>
          <t>Экспертная оценка</t>
        </is>
      </c>
    </row>
    <row r="249" ht="14.4" customFormat="1" customHeight="1" s="5">
      <c r="A249" s="85" t="inlineStr">
        <is>
          <t>5 этап</t>
        </is>
      </c>
      <c r="B249" s="74" t="inlineStr">
        <is>
          <t>5.5.25</t>
        </is>
      </c>
      <c r="C249" s="38" t="inlineStr">
        <is>
          <t>Терморегулятор</t>
        </is>
      </c>
      <c r="D249" s="39" t="inlineStr">
        <is>
          <t>шт</t>
        </is>
      </c>
      <c r="E249" s="84" t="n">
        <v>88</v>
      </c>
      <c r="F249" s="146" t="n">
        <v>5000</v>
      </c>
      <c r="G249" s="146" t="n">
        <v>440000</v>
      </c>
      <c r="H249" t="inlineStr">
        <is>
          <t>Экспертная оценка</t>
        </is>
      </c>
    </row>
    <row r="250" ht="14.4" customFormat="1" customHeight="1" s="5">
      <c r="A250" s="85" t="inlineStr">
        <is>
          <t>5 этап</t>
        </is>
      </c>
      <c r="B250" s="74" t="inlineStr">
        <is>
          <t>5.5.26</t>
        </is>
      </c>
      <c r="C250" s="38" t="inlineStr">
        <is>
          <t>Термодатчик</t>
        </is>
      </c>
      <c r="D250" s="39" t="inlineStr">
        <is>
          <t>шт</t>
        </is>
      </c>
      <c r="E250" s="84" t="n">
        <v>88</v>
      </c>
      <c r="F250" s="146" t="n">
        <v>5000</v>
      </c>
      <c r="G250" s="146" t="n">
        <v>440000</v>
      </c>
      <c r="H250" t="inlineStr">
        <is>
          <t>Экспертная оценка</t>
        </is>
      </c>
    </row>
    <row r="251" ht="14.4" customFormat="1" customHeight="1" s="5">
      <c r="A251" s="49" t="inlineStr">
        <is>
          <t>5 этап</t>
        </is>
      </c>
      <c r="B251" s="50" t="inlineStr">
        <is>
          <t>5.6</t>
        </is>
      </c>
      <c r="C251" s="28" t="inlineStr">
        <is>
          <t>Отопление АБК</t>
        </is>
      </c>
      <c r="D251" s="54" t="inlineStr">
        <is>
          <t>компл.</t>
        </is>
      </c>
      <c r="E251" s="154" t="n">
        <v>1</v>
      </c>
      <c r="F251" s="146" t="n">
        <v>2800</v>
      </c>
      <c r="G251" s="146" t="n">
        <v>2800</v>
      </c>
      <c r="H251" t="inlineStr">
        <is>
          <t>ФЕР-2020 × 0.75</t>
        </is>
      </c>
    </row>
    <row r="252" ht="14.4" customFormat="1" customHeight="1" s="5">
      <c r="A252" s="85" t="inlineStr">
        <is>
          <t>5 этап</t>
        </is>
      </c>
      <c r="B252" s="74" t="inlineStr">
        <is>
          <t>5.6.1</t>
        </is>
      </c>
      <c r="C252" s="38" t="inlineStr">
        <is>
          <t>Кран шаровый д. 32</t>
        </is>
      </c>
      <c r="D252" s="80" t="inlineStr">
        <is>
          <t>шт</t>
        </is>
      </c>
      <c r="E252" s="81" t="n">
        <v>6</v>
      </c>
      <c r="F252" s="146" t="n">
        <v>5000</v>
      </c>
      <c r="G252" s="146" t="n">
        <v>30000</v>
      </c>
      <c r="H252" t="inlineStr">
        <is>
          <t>Экспертная оценка</t>
        </is>
      </c>
    </row>
    <row r="253" ht="14.4" customFormat="1" customHeight="1" s="5">
      <c r="A253" s="85" t="inlineStr">
        <is>
          <t>5 этап</t>
        </is>
      </c>
      <c r="B253" s="74" t="inlineStr">
        <is>
          <t>5.6.2</t>
        </is>
      </c>
      <c r="C253" s="38" t="inlineStr">
        <is>
          <t>Кран шаровый д. 21</t>
        </is>
      </c>
      <c r="D253" s="80" t="inlineStr">
        <is>
          <t>шт</t>
        </is>
      </c>
      <c r="E253" s="81" t="n">
        <v>8</v>
      </c>
      <c r="F253" s="146" t="n">
        <v>5000</v>
      </c>
      <c r="G253" s="146" t="n">
        <v>40000</v>
      </c>
      <c r="H253" t="inlineStr">
        <is>
          <t>Экспертная оценка</t>
        </is>
      </c>
    </row>
    <row r="254" ht="14.4" customFormat="1" customHeight="1" s="5">
      <c r="A254" s="85" t="inlineStr">
        <is>
          <t>5 этап</t>
        </is>
      </c>
      <c r="B254" s="74" t="inlineStr">
        <is>
          <t>5.6.3</t>
        </is>
      </c>
      <c r="C254" s="38" t="inlineStr">
        <is>
          <t>Сбросник воздуха</t>
        </is>
      </c>
      <c r="D254" s="80" t="inlineStr">
        <is>
          <t>шт</t>
        </is>
      </c>
      <c r="E254" s="81" t="n">
        <v>10</v>
      </c>
      <c r="F254" s="146" t="n">
        <v>5000</v>
      </c>
      <c r="G254" s="146" t="n">
        <v>50000</v>
      </c>
      <c r="H254" t="inlineStr">
        <is>
          <t>Экспертная оценка</t>
        </is>
      </c>
    </row>
    <row r="255" ht="14.4" customFormat="1" customHeight="1" s="5">
      <c r="A255" s="85" t="inlineStr">
        <is>
          <t>5 этап</t>
        </is>
      </c>
      <c r="B255" s="74" t="inlineStr">
        <is>
          <t>5.6.4</t>
        </is>
      </c>
      <c r="C255" s="38" t="inlineStr">
        <is>
          <t>Клапан термостатический прямой д. 15</t>
        </is>
      </c>
      <c r="D255" s="80" t="inlineStr">
        <is>
          <t>шт</t>
        </is>
      </c>
      <c r="E255" s="81" t="n">
        <v>124</v>
      </c>
      <c r="F255" s="146" t="n">
        <v>5000</v>
      </c>
      <c r="G255" s="146" t="n">
        <v>620000</v>
      </c>
      <c r="H255" t="inlineStr">
        <is>
          <t>Экспертная оценка</t>
        </is>
      </c>
    </row>
    <row r="256" ht="14.4" customFormat="1" customHeight="1" s="5">
      <c r="A256" s="85" t="inlineStr">
        <is>
          <t>5 этап</t>
        </is>
      </c>
      <c r="B256" s="74" t="inlineStr">
        <is>
          <t>5.6.5</t>
        </is>
      </c>
      <c r="C256" s="38" t="inlineStr">
        <is>
          <t>Клапан выпуска воздуха радиаторный д. 15</t>
        </is>
      </c>
      <c r="D256" s="80" t="inlineStr">
        <is>
          <t>шт</t>
        </is>
      </c>
      <c r="E256" s="81" t="n">
        <v>62</v>
      </c>
      <c r="F256" s="146" t="n">
        <v>2800</v>
      </c>
      <c r="G256" s="146" t="n">
        <v>173600</v>
      </c>
      <c r="H256" t="inlineStr">
        <is>
          <t>ФЕР-2020 × 0.75</t>
        </is>
      </c>
    </row>
    <row r="257" ht="14.4" customFormat="1" customHeight="1" s="5">
      <c r="A257" s="85" t="inlineStr">
        <is>
          <t>5 этап</t>
        </is>
      </c>
      <c r="B257" s="74" t="inlineStr">
        <is>
          <t>5.6.6</t>
        </is>
      </c>
      <c r="C257" s="38" t="inlineStr">
        <is>
          <t>Разъемная муфта с внешней резьбой</t>
        </is>
      </c>
      <c r="D257" s="80" t="inlineStr">
        <is>
          <t>шт</t>
        </is>
      </c>
      <c r="E257" s="81" t="n">
        <v>124</v>
      </c>
      <c r="F257" s="146" t="n">
        <v>5000</v>
      </c>
      <c r="G257" s="146" t="n">
        <v>620000</v>
      </c>
      <c r="H257" t="inlineStr">
        <is>
          <t>Экспертная оценка</t>
        </is>
      </c>
    </row>
    <row r="258" ht="14.4" customFormat="1" customHeight="1" s="5">
      <c r="A258" s="85" t="inlineStr">
        <is>
          <t>5 этап</t>
        </is>
      </c>
      <c r="B258" s="74" t="inlineStr">
        <is>
          <t>5.6.7</t>
        </is>
      </c>
      <c r="C258" s="38" t="inlineStr">
        <is>
          <t>Отвод  90°</t>
        </is>
      </c>
      <c r="D258" s="80" t="inlineStr">
        <is>
          <t>шт</t>
        </is>
      </c>
      <c r="E258" s="81" t="n">
        <v>138</v>
      </c>
      <c r="F258" s="146" t="n">
        <v>5000</v>
      </c>
      <c r="G258" s="146" t="n">
        <v>690000</v>
      </c>
      <c r="H258" t="inlineStr">
        <is>
          <t>Экспертная оценка</t>
        </is>
      </c>
    </row>
    <row r="259" ht="14.4" customFormat="1" customHeight="1" s="5">
      <c r="A259" s="85" t="inlineStr">
        <is>
          <t>5 этап</t>
        </is>
      </c>
      <c r="B259" s="74" t="inlineStr">
        <is>
          <t>5.6.8</t>
        </is>
      </c>
      <c r="C259" s="38" t="inlineStr">
        <is>
          <t>Т-образный тройник</t>
        </is>
      </c>
      <c r="D259" s="80" t="inlineStr">
        <is>
          <t>шт</t>
        </is>
      </c>
      <c r="E259" s="81" t="n">
        <v>110</v>
      </c>
      <c r="F259" s="146" t="n">
        <v>5000</v>
      </c>
      <c r="G259" s="146" t="n">
        <v>550000</v>
      </c>
      <c r="H259" t="inlineStr">
        <is>
          <t>Экспертная оценка</t>
        </is>
      </c>
    </row>
    <row r="260" ht="14.4" customFormat="1" customHeight="1" s="5">
      <c r="A260" s="85" t="inlineStr">
        <is>
          <t>5 этап</t>
        </is>
      </c>
      <c r="B260" s="74" t="inlineStr">
        <is>
          <t>5.6.9</t>
        </is>
      </c>
      <c r="C260" s="38" t="inlineStr">
        <is>
          <t>Термостатический элемент</t>
        </is>
      </c>
      <c r="D260" s="80" t="inlineStr">
        <is>
          <t>шт</t>
        </is>
      </c>
      <c r="E260" s="81" t="n">
        <v>62</v>
      </c>
      <c r="F260" s="146" t="n">
        <v>5000</v>
      </c>
      <c r="G260" s="146" t="n">
        <v>310000</v>
      </c>
      <c r="H260" t="inlineStr">
        <is>
          <t>Экспертная оценка</t>
        </is>
      </c>
    </row>
    <row r="261" ht="14.4" customFormat="1" customHeight="1" s="5">
      <c r="A261" s="85" t="inlineStr">
        <is>
          <t>5 этап</t>
        </is>
      </c>
      <c r="B261" s="74" t="inlineStr">
        <is>
          <t>5.6.10</t>
        </is>
      </c>
      <c r="C261" s="38" t="inlineStr">
        <is>
          <t>Радиаторы чугунные - 14  секций</t>
        </is>
      </c>
      <c r="D261" s="39" t="inlineStr">
        <is>
          <t>секц</t>
        </is>
      </c>
      <c r="E261" s="84" t="n">
        <v>7</v>
      </c>
      <c r="F261" s="146" t="n">
        <v>2800</v>
      </c>
      <c r="G261" s="146" t="n">
        <v>19600</v>
      </c>
      <c r="H261" t="inlineStr">
        <is>
          <t>ФЕР-2020 × 0.75</t>
        </is>
      </c>
    </row>
    <row r="262" ht="14.4" customFormat="1" customHeight="1" s="5">
      <c r="A262" s="85" t="inlineStr">
        <is>
          <t>5 этап</t>
        </is>
      </c>
      <c r="B262" s="74" t="inlineStr">
        <is>
          <t>5.6.11</t>
        </is>
      </c>
      <c r="C262" s="38" t="inlineStr">
        <is>
          <t>Радиаторы чугунные - 12  секций</t>
        </is>
      </c>
      <c r="D262" s="39" t="inlineStr">
        <is>
          <t>секц</t>
        </is>
      </c>
      <c r="E262" s="84" t="n">
        <v>12</v>
      </c>
      <c r="F262" s="146" t="n">
        <v>2800</v>
      </c>
      <c r="G262" s="146" t="n">
        <v>33600</v>
      </c>
      <c r="H262" t="inlineStr">
        <is>
          <t>ФЕР-2020 × 0.75</t>
        </is>
      </c>
    </row>
    <row r="263" ht="14.4" customFormat="1" customHeight="1" s="5">
      <c r="A263" s="85" t="inlineStr">
        <is>
          <t>5 этап</t>
        </is>
      </c>
      <c r="B263" s="74" t="inlineStr">
        <is>
          <t>5.6.12</t>
        </is>
      </c>
      <c r="C263" s="38" t="inlineStr">
        <is>
          <t>Радиаторы чугунные - 10 секций</t>
        </is>
      </c>
      <c r="D263" s="39" t="inlineStr">
        <is>
          <t>секц</t>
        </is>
      </c>
      <c r="E263" s="92" t="n">
        <v>20</v>
      </c>
      <c r="F263" s="146" t="n">
        <v>2800</v>
      </c>
      <c r="G263" s="146" t="n">
        <v>56000</v>
      </c>
      <c r="H263" t="inlineStr">
        <is>
          <t>ФЕР-2020 × 0.75</t>
        </is>
      </c>
    </row>
    <row r="264" ht="14.4" customFormat="1" customHeight="1" s="5">
      <c r="A264" s="85" t="inlineStr">
        <is>
          <t>5 этап</t>
        </is>
      </c>
      <c r="B264" s="74" t="inlineStr">
        <is>
          <t>5.6.13</t>
        </is>
      </c>
      <c r="C264" s="38" t="inlineStr">
        <is>
          <t>Радиаторы чугунные - 9  секций</t>
        </is>
      </c>
      <c r="D264" s="39" t="inlineStr">
        <is>
          <t>секц</t>
        </is>
      </c>
      <c r="E264" s="84" t="n">
        <v>9</v>
      </c>
      <c r="F264" s="146" t="n">
        <v>2800</v>
      </c>
      <c r="G264" s="146" t="n">
        <v>25200</v>
      </c>
      <c r="H264" t="inlineStr">
        <is>
          <t>ФЕР-2020 × 0.75</t>
        </is>
      </c>
    </row>
    <row r="265" ht="14.4" customFormat="1" customHeight="1" s="5">
      <c r="A265" s="85" t="inlineStr">
        <is>
          <t>5 этап</t>
        </is>
      </c>
      <c r="B265" s="74" t="inlineStr">
        <is>
          <t>5.6.14</t>
        </is>
      </c>
      <c r="C265" s="38" t="inlineStr">
        <is>
          <t>Радиаторы чугунные - 8  секций</t>
        </is>
      </c>
      <c r="D265" s="39" t="inlineStr">
        <is>
          <t>секц</t>
        </is>
      </c>
      <c r="E265" s="84" t="n">
        <v>12</v>
      </c>
      <c r="F265" s="146" t="n">
        <v>2800</v>
      </c>
      <c r="G265" s="146" t="n">
        <v>33600</v>
      </c>
      <c r="H265" t="inlineStr">
        <is>
          <t>ФЕР-2020 × 0.75</t>
        </is>
      </c>
    </row>
    <row r="266" ht="14.4" customFormat="1" customHeight="1" s="5">
      <c r="A266" s="85" t="inlineStr">
        <is>
          <t>5 этап</t>
        </is>
      </c>
      <c r="B266" s="74" t="inlineStr">
        <is>
          <t>5.6.15</t>
        </is>
      </c>
      <c r="C266" s="38" t="inlineStr">
        <is>
          <t>Радиаторы чугунные -   6 секций</t>
        </is>
      </c>
      <c r="D266" s="39" t="inlineStr">
        <is>
          <t>секц</t>
        </is>
      </c>
      <c r="E266" s="84" t="n">
        <v>4</v>
      </c>
      <c r="F266" s="146" t="n">
        <v>2800</v>
      </c>
      <c r="G266" s="146" t="n">
        <v>11200</v>
      </c>
      <c r="H266" t="inlineStr">
        <is>
          <t>ФЕР-2020 × 0.75</t>
        </is>
      </c>
    </row>
    <row r="267" ht="14.4" customFormat="1" customHeight="1" s="5">
      <c r="A267" s="85" t="inlineStr">
        <is>
          <t>5 этап</t>
        </is>
      </c>
      <c r="B267" s="74" t="inlineStr">
        <is>
          <t>5.6.16</t>
        </is>
      </c>
      <c r="C267" s="38" t="inlineStr">
        <is>
          <t>Труба полипропиленовая 20х2.8</t>
        </is>
      </c>
      <c r="D267" s="39" t="inlineStr">
        <is>
          <t>м. пог</t>
        </is>
      </c>
      <c r="E267" s="84" t="n">
        <v>190</v>
      </c>
      <c r="F267" s="146" t="n">
        <v>3500</v>
      </c>
      <c r="G267" s="146" t="n">
        <v>665000</v>
      </c>
      <c r="H267" t="inlineStr">
        <is>
          <t>Экспертная оценка</t>
        </is>
      </c>
    </row>
    <row r="268" ht="14.4" customFormat="1" customHeight="1" s="5">
      <c r="A268" s="85" t="inlineStr">
        <is>
          <t>5 этап</t>
        </is>
      </c>
      <c r="B268" s="74" t="inlineStr">
        <is>
          <t>5.6.17</t>
        </is>
      </c>
      <c r="C268" s="38" t="inlineStr">
        <is>
          <t>Труба полипропиленовая 25х3.2</t>
        </is>
      </c>
      <c r="D268" s="39" t="inlineStr">
        <is>
          <t>м. пог</t>
        </is>
      </c>
      <c r="E268" s="84" t="n">
        <v>120</v>
      </c>
      <c r="F268" s="146" t="n">
        <v>3500</v>
      </c>
      <c r="G268" s="146" t="n">
        <v>420000</v>
      </c>
      <c r="H268" t="inlineStr">
        <is>
          <t>Экспертная оценка</t>
        </is>
      </c>
    </row>
    <row r="269" ht="14.4" customFormat="1" customHeight="1" s="5">
      <c r="A269" s="85" t="inlineStr">
        <is>
          <t>5 этап</t>
        </is>
      </c>
      <c r="B269" s="74" t="inlineStr">
        <is>
          <t>5.6.18</t>
        </is>
      </c>
      <c r="C269" s="38" t="inlineStr">
        <is>
          <t xml:space="preserve">Труба полипропиленовая 32х3.2 </t>
        </is>
      </c>
      <c r="D269" s="39" t="inlineStr">
        <is>
          <t>м. пог</t>
        </is>
      </c>
      <c r="E269" s="84" t="n">
        <v>150</v>
      </c>
      <c r="F269" s="146" t="n">
        <v>3500</v>
      </c>
      <c r="G269" s="146" t="n">
        <v>525000</v>
      </c>
      <c r="H269" t="inlineStr">
        <is>
          <t>Экспертная оценка</t>
        </is>
      </c>
    </row>
    <row r="270" ht="14.4" customFormat="1" customHeight="1" s="5">
      <c r="A270" s="85" t="inlineStr">
        <is>
          <t>5 этап</t>
        </is>
      </c>
      <c r="B270" s="74" t="inlineStr">
        <is>
          <t>5.6.19</t>
        </is>
      </c>
      <c r="C270" s="38" t="inlineStr">
        <is>
          <t>Труба стальная водогазопроводоная   40х3.5</t>
        </is>
      </c>
      <c r="D270" s="39" t="inlineStr">
        <is>
          <t>м. пог</t>
        </is>
      </c>
      <c r="E270" s="84" t="n">
        <v>30</v>
      </c>
      <c r="F270" s="146" t="n">
        <v>3500</v>
      </c>
      <c r="G270" s="146" t="n">
        <v>105000</v>
      </c>
      <c r="H270" t="inlineStr">
        <is>
          <t>Экспертная оценка</t>
        </is>
      </c>
    </row>
    <row r="271" ht="14.4" customFormat="1" customHeight="1" s="5">
      <c r="A271" s="85" t="inlineStr">
        <is>
          <t>5 этап</t>
        </is>
      </c>
      <c r="B271" s="74" t="inlineStr">
        <is>
          <t>5.6.20</t>
        </is>
      </c>
      <c r="C271" s="38" t="inlineStr">
        <is>
          <t>Трубы электросварные  76х3.0</t>
        </is>
      </c>
      <c r="D271" s="39" t="inlineStr">
        <is>
          <t>м. пог</t>
        </is>
      </c>
      <c r="E271" s="84" t="n">
        <v>63</v>
      </c>
      <c r="F271" s="146" t="n">
        <v>1600</v>
      </c>
      <c r="G271" s="146" t="n">
        <v>100800</v>
      </c>
      <c r="H271" t="inlineStr">
        <is>
          <t>ФЕР-2020 × 0.75</t>
        </is>
      </c>
    </row>
    <row r="272" ht="14.4" customFormat="1" customHeight="1" s="5">
      <c r="A272" s="49" t="inlineStr">
        <is>
          <t>5 этап</t>
        </is>
      </c>
      <c r="B272" s="50" t="inlineStr">
        <is>
          <t>5.7</t>
        </is>
      </c>
      <c r="C272" s="28" t="inlineStr">
        <is>
          <t>Вентиляция Общежитие</t>
        </is>
      </c>
      <c r="D272" s="54" t="inlineStr">
        <is>
          <t>компл.</t>
        </is>
      </c>
      <c r="E272" s="154" t="n">
        <v>1</v>
      </c>
      <c r="F272" s="146" t="n">
        <v>5000</v>
      </c>
      <c r="G272" s="146" t="n">
        <v>5000</v>
      </c>
      <c r="H272" t="inlineStr">
        <is>
          <t>ФЕР-2020 × 0.75</t>
        </is>
      </c>
    </row>
    <row r="273" ht="14.4" customFormat="1" customHeight="1" s="5">
      <c r="A273" s="85" t="inlineStr">
        <is>
          <t>5 этап</t>
        </is>
      </c>
      <c r="B273" s="74" t="inlineStr">
        <is>
          <t>5.7.1</t>
        </is>
      </c>
      <c r="C273" s="38" t="inlineStr">
        <is>
          <t>Осевой вентилятор,   0,018 к8т</t>
        </is>
      </c>
      <c r="D273" s="39" t="inlineStr">
        <is>
          <t>шт</t>
        </is>
      </c>
      <c r="E273" s="81" t="n">
        <v>92</v>
      </c>
      <c r="F273" s="146" t="n">
        <v>5000</v>
      </c>
      <c r="G273" s="146" t="n">
        <v>460000</v>
      </c>
      <c r="H273" t="inlineStr">
        <is>
          <t>Экспертная оценка</t>
        </is>
      </c>
    </row>
    <row r="274" ht="14.4" customFormat="1" customHeight="1" s="5">
      <c r="A274" s="85" t="inlineStr">
        <is>
          <t>5 этап</t>
        </is>
      </c>
      <c r="B274" s="74" t="inlineStr">
        <is>
          <t>5.7.2</t>
        </is>
      </c>
      <c r="C274" s="38" t="inlineStr">
        <is>
          <t>Воздуховод из оцинк.  стали т. 0,5 мм 200х100</t>
        </is>
      </c>
      <c r="D274" s="39" t="inlineStr">
        <is>
          <t>м. пог</t>
        </is>
      </c>
      <c r="E274" s="81" t="n">
        <v>230</v>
      </c>
      <c r="F274" s="146" t="n">
        <v>5000</v>
      </c>
      <c r="G274" s="146" t="n">
        <v>1150000</v>
      </c>
      <c r="H274" t="inlineStr">
        <is>
          <t>ФЕР-2020 × 0.75</t>
        </is>
      </c>
    </row>
    <row r="275" ht="14.4" customFormat="1" customHeight="1" s="5">
      <c r="A275" s="85" t="inlineStr">
        <is>
          <t>5 этап</t>
        </is>
      </c>
      <c r="B275" s="74" t="inlineStr">
        <is>
          <t>5.7.3</t>
        </is>
      </c>
      <c r="C275" s="38" t="inlineStr">
        <is>
          <t xml:space="preserve">Изовер т. 0.04    </t>
        </is>
      </c>
      <c r="D275" s="39" t="inlineStr">
        <is>
          <t>м2</t>
        </is>
      </c>
      <c r="E275" s="93" t="n">
        <v>90.40000000000001</v>
      </c>
      <c r="F275" s="146" t="n">
        <v>2000</v>
      </c>
      <c r="G275" s="146" t="n">
        <v>180800</v>
      </c>
      <c r="H275" t="inlineStr">
        <is>
          <t>Экспертная оценка</t>
        </is>
      </c>
    </row>
    <row r="276" ht="14.4" customFormat="1" customHeight="1" s="5">
      <c r="A276" s="85" t="inlineStr">
        <is>
          <t>5 этап</t>
        </is>
      </c>
      <c r="B276" s="74" t="inlineStr">
        <is>
          <t>5.7.4</t>
        </is>
      </c>
      <c r="C276" s="89" t="inlineStr">
        <is>
          <t>Осевой вентилятор,   0,018 к8т</t>
        </is>
      </c>
      <c r="D276" s="39" t="inlineStr">
        <is>
          <t>шт</t>
        </is>
      </c>
      <c r="E276" s="81" t="n">
        <v>8</v>
      </c>
      <c r="F276" s="146" t="n">
        <v>5000</v>
      </c>
      <c r="G276" s="146" t="n">
        <v>40000</v>
      </c>
      <c r="H276" t="inlineStr">
        <is>
          <t>Экспертная оценка</t>
        </is>
      </c>
    </row>
    <row r="277" ht="14.4" customFormat="1" customHeight="1" s="5">
      <c r="A277" s="85" t="inlineStr">
        <is>
          <t>5 этап</t>
        </is>
      </c>
      <c r="B277" s="74" t="inlineStr">
        <is>
          <t>5.7.5</t>
        </is>
      </c>
      <c r="C277" s="89" t="inlineStr">
        <is>
          <t>Вент  зонт</t>
        </is>
      </c>
      <c r="D277" s="39" t="inlineStr">
        <is>
          <t>шт</t>
        </is>
      </c>
      <c r="E277" s="81" t="n">
        <v>8</v>
      </c>
      <c r="F277" s="146" t="n">
        <v>5000</v>
      </c>
      <c r="G277" s="146" t="n">
        <v>40000</v>
      </c>
      <c r="H277" t="inlineStr">
        <is>
          <t>Экспертная оценка</t>
        </is>
      </c>
    </row>
    <row r="278" ht="14.4" customFormat="1" customHeight="1" s="5">
      <c r="A278" s="85" t="inlineStr">
        <is>
          <t>5 этап</t>
        </is>
      </c>
      <c r="B278" s="74" t="inlineStr">
        <is>
          <t>5.7.6</t>
        </is>
      </c>
      <c r="C278" s="89" t="inlineStr">
        <is>
          <t>Воздуховод из оцинк.  стали т. 0,5 мм 200х100</t>
        </is>
      </c>
      <c r="D278" s="39" t="inlineStr">
        <is>
          <t>м. пог</t>
        </is>
      </c>
      <c r="E278" s="81" t="n">
        <v>90</v>
      </c>
      <c r="F278" s="146" t="n">
        <v>5000</v>
      </c>
      <c r="G278" s="146" t="n">
        <v>450000</v>
      </c>
      <c r="H278" t="inlineStr">
        <is>
          <t>ФЕР-2020 × 0.75</t>
        </is>
      </c>
    </row>
    <row r="279" ht="14.4" customFormat="1" customHeight="1" s="5">
      <c r="A279" s="85" t="inlineStr">
        <is>
          <t>5 этап</t>
        </is>
      </c>
      <c r="B279" s="74" t="inlineStr">
        <is>
          <t>5.7.7</t>
        </is>
      </c>
      <c r="C279" s="89" t="inlineStr">
        <is>
          <t xml:space="preserve">Изовер т. 0.04    </t>
        </is>
      </c>
      <c r="D279" s="39" t="inlineStr">
        <is>
          <t>м2</t>
        </is>
      </c>
      <c r="E279" s="93" t="n">
        <v>35.4</v>
      </c>
      <c r="F279" s="146" t="n">
        <v>2000</v>
      </c>
      <c r="G279" s="146" t="n">
        <v>70800</v>
      </c>
      <c r="H279" t="inlineStr">
        <is>
          <t>Экспертная оценка</t>
        </is>
      </c>
    </row>
    <row r="280" ht="14.4" customFormat="1" customHeight="1" s="5">
      <c r="A280" s="85" t="inlineStr">
        <is>
          <t>5 этап</t>
        </is>
      </c>
      <c r="B280" s="74" t="inlineStr">
        <is>
          <t>5.7.8</t>
        </is>
      </c>
      <c r="C280" s="87" t="inlineStr">
        <is>
          <t>Переточная решетка</t>
        </is>
      </c>
      <c r="D280" s="39" t="inlineStr">
        <is>
          <t>шт</t>
        </is>
      </c>
      <c r="E280" s="84" t="n">
        <v>90</v>
      </c>
      <c r="F280" s="146" t="n">
        <v>5000</v>
      </c>
      <c r="G280" s="146" t="n">
        <v>450000</v>
      </c>
      <c r="H280" t="inlineStr">
        <is>
          <t>Экспертная оценка</t>
        </is>
      </c>
    </row>
    <row r="281" ht="14.4" customFormat="1" customHeight="1" s="5">
      <c r="A281" s="49" t="inlineStr">
        <is>
          <t>5 этап</t>
        </is>
      </c>
      <c r="B281" s="50" t="inlineStr">
        <is>
          <t>5.8</t>
        </is>
      </c>
      <c r="C281" s="28" t="inlineStr">
        <is>
          <t>Вентиляция АБК</t>
        </is>
      </c>
      <c r="D281" s="54" t="inlineStr">
        <is>
          <t>компл.</t>
        </is>
      </c>
      <c r="E281" s="154" t="n">
        <v>1</v>
      </c>
      <c r="F281" s="146" t="n">
        <v>5000</v>
      </c>
      <c r="G281" s="146" t="n">
        <v>5000</v>
      </c>
      <c r="H281" t="inlineStr">
        <is>
          <t>ФЕР-2020 × 0.75</t>
        </is>
      </c>
    </row>
    <row r="282" ht="14.4" customFormat="1" customHeight="1" s="5">
      <c r="A282" s="85" t="inlineStr">
        <is>
          <t>5 этап</t>
        </is>
      </c>
      <c r="B282" s="74" t="inlineStr">
        <is>
          <t>5.8.1</t>
        </is>
      </c>
      <c r="C282" s="89" t="inlineStr">
        <is>
          <t>Канальный вентилятор,  0.28 кВт</t>
        </is>
      </c>
      <c r="D282" s="39" t="inlineStr">
        <is>
          <t>шт</t>
        </is>
      </c>
      <c r="E282" s="84" t="n">
        <v>1</v>
      </c>
      <c r="F282" s="146" t="n">
        <v>5000</v>
      </c>
      <c r="G282" s="146" t="n">
        <v>5000</v>
      </c>
      <c r="H282" t="inlineStr">
        <is>
          <t>Экспертная оценка</t>
        </is>
      </c>
    </row>
    <row r="283" ht="14.4" customFormat="1" customHeight="1" s="5">
      <c r="A283" s="85" t="inlineStr">
        <is>
          <t>5 этап</t>
        </is>
      </c>
      <c r="B283" s="74" t="inlineStr">
        <is>
          <t>5.8.2</t>
        </is>
      </c>
      <c r="C283" s="89" t="inlineStr">
        <is>
          <t>Шумоглушитель L=600</t>
        </is>
      </c>
      <c r="D283" s="39" t="inlineStr">
        <is>
          <t>шт</t>
        </is>
      </c>
      <c r="E283" s="84" t="n">
        <v>1</v>
      </c>
      <c r="F283" s="146" t="n">
        <v>5000</v>
      </c>
      <c r="G283" s="146" t="n">
        <v>5000</v>
      </c>
      <c r="H283" t="inlineStr">
        <is>
          <t>Экспертная оценка</t>
        </is>
      </c>
    </row>
    <row r="284" ht="14.4" customFormat="1" customHeight="1" s="5">
      <c r="A284" s="85" t="inlineStr">
        <is>
          <t>5 этап</t>
        </is>
      </c>
      <c r="B284" s="74" t="inlineStr">
        <is>
          <t>5.8.3</t>
        </is>
      </c>
      <c r="C284" s="89" t="inlineStr">
        <is>
          <t>Вод калорифер 12кВт</t>
        </is>
      </c>
      <c r="D284" s="39" t="inlineStr">
        <is>
          <t>шт</t>
        </is>
      </c>
      <c r="E284" s="84" t="n">
        <v>1</v>
      </c>
      <c r="F284" s="146" t="n">
        <v>5000</v>
      </c>
      <c r="G284" s="146" t="n">
        <v>5000</v>
      </c>
      <c r="H284" t="inlineStr">
        <is>
          <t>Экспертная оценка</t>
        </is>
      </c>
    </row>
    <row r="285" ht="14.4" customFormat="1" customHeight="1" s="5">
      <c r="A285" s="85" t="inlineStr">
        <is>
          <t>5 этап</t>
        </is>
      </c>
      <c r="B285" s="74" t="inlineStr">
        <is>
          <t>5.8.4</t>
        </is>
      </c>
      <c r="C285" s="89" t="inlineStr">
        <is>
          <t>Фильтр-бокс</t>
        </is>
      </c>
      <c r="D285" s="39" t="inlineStr">
        <is>
          <t>шт</t>
        </is>
      </c>
      <c r="E285" s="84" t="n">
        <v>1</v>
      </c>
      <c r="F285" s="146" t="n">
        <v>5000</v>
      </c>
      <c r="G285" s="146" t="n">
        <v>5000</v>
      </c>
      <c r="H285" t="inlineStr">
        <is>
          <t>Экспертная оценка</t>
        </is>
      </c>
    </row>
    <row r="286" ht="14.4" customFormat="1" customHeight="1" s="5">
      <c r="A286" s="85" t="inlineStr">
        <is>
          <t>5 этап</t>
        </is>
      </c>
      <c r="B286" s="74" t="inlineStr">
        <is>
          <t>5.8.5</t>
        </is>
      </c>
      <c r="C286" s="89" t="inlineStr">
        <is>
          <t>Сменная кассета для фильтр-бокса</t>
        </is>
      </c>
      <c r="D286" s="39" t="inlineStr">
        <is>
          <t>шт</t>
        </is>
      </c>
      <c r="E286" s="84" t="n">
        <v>1</v>
      </c>
      <c r="F286" s="146" t="n">
        <v>5000</v>
      </c>
      <c r="G286" s="146" t="n">
        <v>5000</v>
      </c>
      <c r="H286" t="inlineStr">
        <is>
          <t>Экспертная оценка</t>
        </is>
      </c>
    </row>
    <row r="287" ht="14.4" customFormat="1" customHeight="1" s="5">
      <c r="A287" s="85" t="inlineStr">
        <is>
          <t>5 этап</t>
        </is>
      </c>
      <c r="B287" s="74" t="inlineStr">
        <is>
          <t>5.8.6</t>
        </is>
      </c>
      <c r="C287" s="89" t="inlineStr">
        <is>
          <t>Клапан обратный</t>
        </is>
      </c>
      <c r="D287" s="39" t="inlineStr">
        <is>
          <t>шт</t>
        </is>
      </c>
      <c r="E287" s="84" t="n">
        <v>1</v>
      </c>
      <c r="F287" s="146" t="n">
        <v>5000</v>
      </c>
      <c r="G287" s="146" t="n">
        <v>5000</v>
      </c>
      <c r="H287" t="inlineStr">
        <is>
          <t>Экспертная оценка</t>
        </is>
      </c>
    </row>
    <row r="288" ht="14.4" customFormat="1" customHeight="1" s="5">
      <c r="A288" s="85" t="inlineStr">
        <is>
          <t>5 этап</t>
        </is>
      </c>
      <c r="B288" s="74" t="inlineStr">
        <is>
          <t>5.8.7</t>
        </is>
      </c>
      <c r="C288" s="89" t="inlineStr">
        <is>
          <t>Решетка вентиляционная</t>
        </is>
      </c>
      <c r="D288" s="39" t="inlineStr">
        <is>
          <t>шт</t>
        </is>
      </c>
      <c r="E288" s="84" t="n">
        <v>2</v>
      </c>
      <c r="F288" s="146" t="n">
        <v>5000</v>
      </c>
      <c r="G288" s="146" t="n">
        <v>10000</v>
      </c>
      <c r="H288" t="inlineStr">
        <is>
          <t>ФЕР-2020 × 0.75</t>
        </is>
      </c>
    </row>
    <row r="289" ht="14.4" customFormat="1" customHeight="1" s="5">
      <c r="A289" s="85" t="inlineStr">
        <is>
          <t>5 этап</t>
        </is>
      </c>
      <c r="B289" s="74" t="inlineStr">
        <is>
          <t>5.8.8</t>
        </is>
      </c>
      <c r="C289" s="89" t="inlineStr">
        <is>
          <t xml:space="preserve">Решетка наружная </t>
        </is>
      </c>
      <c r="D289" s="39" t="inlineStr">
        <is>
          <t>шт</t>
        </is>
      </c>
      <c r="E289" s="84" t="n">
        <v>1</v>
      </c>
      <c r="F289" s="146" t="n">
        <v>5000</v>
      </c>
      <c r="G289" s="146" t="n">
        <v>5000</v>
      </c>
      <c r="H289" t="inlineStr">
        <is>
          <t>Экспертная оценка</t>
        </is>
      </c>
    </row>
    <row r="290" ht="14.4" customFormat="1" customHeight="1" s="5">
      <c r="A290" s="85" t="inlineStr">
        <is>
          <t>5 этап</t>
        </is>
      </c>
      <c r="B290" s="74" t="inlineStr">
        <is>
          <t>5.8.9</t>
        </is>
      </c>
      <c r="C290" s="89" t="inlineStr">
        <is>
          <t xml:space="preserve">Воздуховод из тонколистовой оцинкованной стали б=0.5 мм, 250х200  </t>
        </is>
      </c>
      <c r="D290" s="39" t="inlineStr">
        <is>
          <t>мп</t>
        </is>
      </c>
      <c r="E290" s="84" t="n">
        <v>5</v>
      </c>
      <c r="F290" s="146" t="n">
        <v>5000</v>
      </c>
      <c r="G290" s="146" t="n">
        <v>25000</v>
      </c>
      <c r="H290" t="inlineStr">
        <is>
          <t>ФЕР-2020 × 0.75</t>
        </is>
      </c>
    </row>
    <row r="291" ht="14.4" customFormat="1" customHeight="1" s="5">
      <c r="A291" s="85" t="inlineStr">
        <is>
          <t>5 этап</t>
        </is>
      </c>
      <c r="B291" s="74" t="inlineStr">
        <is>
          <t>5.8.10</t>
        </is>
      </c>
      <c r="C291" s="89" t="inlineStr">
        <is>
          <t>Теплоизоляция фольгированныя, б=0.05    м</t>
        </is>
      </c>
      <c r="D291" s="39" t="inlineStr">
        <is>
          <t>м 2</t>
        </is>
      </c>
      <c r="E291" s="84" t="n">
        <v>4.5</v>
      </c>
      <c r="F291" s="146" t="n">
        <v>2900</v>
      </c>
      <c r="G291" s="146" t="n">
        <v>13050</v>
      </c>
      <c r="H291" t="inlineStr">
        <is>
          <t>ФЕР-2020 × 0.75</t>
        </is>
      </c>
    </row>
    <row r="292" ht="14.4" customFormat="1" customHeight="1" s="5">
      <c r="A292" s="85" t="inlineStr">
        <is>
          <t>5 этап</t>
        </is>
      </c>
      <c r="B292" s="74" t="inlineStr">
        <is>
          <t>5.8.11</t>
        </is>
      </c>
      <c r="C292" s="89" t="inlineStr">
        <is>
          <t>Канальный вентилятор,  0.28 кВт</t>
        </is>
      </c>
      <c r="D292" s="39" t="inlineStr">
        <is>
          <t>шт</t>
        </is>
      </c>
      <c r="E292" s="84" t="n">
        <v>1</v>
      </c>
      <c r="F292" s="146" t="n">
        <v>5000</v>
      </c>
      <c r="G292" s="146" t="n">
        <v>5000</v>
      </c>
      <c r="H292" t="inlineStr">
        <is>
          <t>Экспертная оценка</t>
        </is>
      </c>
    </row>
    <row r="293" ht="14.4" customFormat="1" customHeight="1" s="5">
      <c r="A293" s="85" t="inlineStr">
        <is>
          <t>5 этап</t>
        </is>
      </c>
      <c r="B293" s="74" t="inlineStr">
        <is>
          <t>5.8.12</t>
        </is>
      </c>
      <c r="C293" s="89" t="inlineStr">
        <is>
          <t>Шумоглушитель L=600</t>
        </is>
      </c>
      <c r="D293" s="39" t="inlineStr">
        <is>
          <t>шт</t>
        </is>
      </c>
      <c r="E293" s="84" t="n">
        <v>1</v>
      </c>
      <c r="F293" s="146" t="n">
        <v>5000</v>
      </c>
      <c r="G293" s="146" t="n">
        <v>5000</v>
      </c>
      <c r="H293" t="inlineStr">
        <is>
          <t>Экспертная оценка</t>
        </is>
      </c>
    </row>
    <row r="294" ht="14.4" customFormat="1" customHeight="1" s="5">
      <c r="A294" s="85" t="inlineStr">
        <is>
          <t>5 этап</t>
        </is>
      </c>
      <c r="B294" s="74" t="inlineStr">
        <is>
          <t>5.8.13</t>
        </is>
      </c>
      <c r="C294" s="89" t="inlineStr">
        <is>
          <t>Вод калорифер 12кВт</t>
        </is>
      </c>
      <c r="D294" s="39" t="inlineStr">
        <is>
          <t>шт</t>
        </is>
      </c>
      <c r="E294" s="84" t="n">
        <v>1</v>
      </c>
      <c r="F294" s="146" t="n">
        <v>5000</v>
      </c>
      <c r="G294" s="146" t="n">
        <v>5000</v>
      </c>
      <c r="H294" t="inlineStr">
        <is>
          <t>Экспертная оценка</t>
        </is>
      </c>
    </row>
    <row r="295" ht="14.4" customFormat="1" customHeight="1" s="5">
      <c r="A295" s="85" t="inlineStr">
        <is>
          <t>5 этап</t>
        </is>
      </c>
      <c r="B295" s="74" t="inlineStr">
        <is>
          <t>5.8.14</t>
        </is>
      </c>
      <c r="C295" s="89" t="inlineStr">
        <is>
          <t>Фильтр-бокс</t>
        </is>
      </c>
      <c r="D295" s="39" t="inlineStr">
        <is>
          <t>шт</t>
        </is>
      </c>
      <c r="E295" s="84" t="n">
        <v>1</v>
      </c>
      <c r="F295" s="146" t="n">
        <v>5000</v>
      </c>
      <c r="G295" s="146" t="n">
        <v>5000</v>
      </c>
      <c r="H295" t="inlineStr">
        <is>
          <t>Экспертная оценка</t>
        </is>
      </c>
    </row>
    <row r="296" ht="14.4" customFormat="1" customHeight="1" s="5">
      <c r="A296" s="85" t="inlineStr">
        <is>
          <t>5 этап</t>
        </is>
      </c>
      <c r="B296" s="74" t="inlineStr">
        <is>
          <t>5.8.15</t>
        </is>
      </c>
      <c r="C296" s="89" t="inlineStr">
        <is>
          <t>Сменная кассета для фильтр-бокса</t>
        </is>
      </c>
      <c r="D296" s="39" t="inlineStr">
        <is>
          <t>шт</t>
        </is>
      </c>
      <c r="E296" s="84" t="n">
        <v>1</v>
      </c>
      <c r="F296" s="146" t="n">
        <v>5000</v>
      </c>
      <c r="G296" s="146" t="n">
        <v>5000</v>
      </c>
      <c r="H296" t="inlineStr">
        <is>
          <t>Экспертная оценка</t>
        </is>
      </c>
    </row>
    <row r="297" ht="14.4" customFormat="1" customHeight="1" s="5">
      <c r="A297" s="85" t="inlineStr">
        <is>
          <t>5 этап</t>
        </is>
      </c>
      <c r="B297" s="74" t="inlineStr">
        <is>
          <t>5.8.16</t>
        </is>
      </c>
      <c r="C297" s="89" t="inlineStr">
        <is>
          <t>Клапан обратный</t>
        </is>
      </c>
      <c r="D297" s="39" t="inlineStr">
        <is>
          <t>шт</t>
        </is>
      </c>
      <c r="E297" s="84" t="n">
        <v>1</v>
      </c>
      <c r="F297" s="146" t="n">
        <v>5000</v>
      </c>
      <c r="G297" s="146" t="n">
        <v>5000</v>
      </c>
      <c r="H297" t="inlineStr">
        <is>
          <t>Экспертная оценка</t>
        </is>
      </c>
    </row>
    <row r="298" ht="14.4" customFormat="1" customHeight="1" s="5">
      <c r="A298" s="85" t="inlineStr">
        <is>
          <t>5 этап</t>
        </is>
      </c>
      <c r="B298" s="74" t="inlineStr">
        <is>
          <t>5.8.17</t>
        </is>
      </c>
      <c r="C298" s="89" t="inlineStr">
        <is>
          <t>Решетка вентиляционная</t>
        </is>
      </c>
      <c r="D298" s="39" t="inlineStr">
        <is>
          <t>шт</t>
        </is>
      </c>
      <c r="E298" s="84" t="n">
        <v>3</v>
      </c>
      <c r="F298" s="146" t="n">
        <v>5000</v>
      </c>
      <c r="G298" s="146" t="n">
        <v>15000</v>
      </c>
      <c r="H298" t="inlineStr">
        <is>
          <t>ФЕР-2020 × 0.75</t>
        </is>
      </c>
    </row>
    <row r="299" ht="14.4" customFormat="1" customHeight="1" s="5">
      <c r="A299" s="85" t="inlineStr">
        <is>
          <t>5 этап</t>
        </is>
      </c>
      <c r="B299" s="74" t="inlineStr">
        <is>
          <t>5.8.18</t>
        </is>
      </c>
      <c r="C299" s="89" t="inlineStr">
        <is>
          <t xml:space="preserve">Решетка наружная </t>
        </is>
      </c>
      <c r="D299" s="39" t="inlineStr">
        <is>
          <t>шт</t>
        </is>
      </c>
      <c r="E299" s="84" t="n">
        <v>1</v>
      </c>
      <c r="F299" s="146" t="n">
        <v>5000</v>
      </c>
      <c r="G299" s="146" t="n">
        <v>5000</v>
      </c>
      <c r="H299" t="inlineStr">
        <is>
          <t>Экспертная оценка</t>
        </is>
      </c>
    </row>
    <row r="300" ht="14.4" customFormat="1" customHeight="1" s="5">
      <c r="A300" s="85" t="inlineStr">
        <is>
          <t>5 этап</t>
        </is>
      </c>
      <c r="B300" s="74" t="inlineStr">
        <is>
          <t>5.8.19</t>
        </is>
      </c>
      <c r="C300" s="89" t="inlineStr">
        <is>
          <t xml:space="preserve">Воздуховод из тонколистовой оцинкованной стали б=0.5 мм, 250х200  </t>
        </is>
      </c>
      <c r="D300" s="39" t="inlineStr">
        <is>
          <t>мп</t>
        </is>
      </c>
      <c r="E300" s="84" t="n">
        <v>18</v>
      </c>
      <c r="F300" s="146" t="n">
        <v>5000</v>
      </c>
      <c r="G300" s="146" t="n">
        <v>90000</v>
      </c>
      <c r="H300" t="inlineStr">
        <is>
          <t>ФЕР-2020 × 0.75</t>
        </is>
      </c>
    </row>
    <row r="301" ht="14.4" customFormat="1" customHeight="1" s="5">
      <c r="A301" s="85" t="inlineStr">
        <is>
          <t>5 этап</t>
        </is>
      </c>
      <c r="B301" s="74" t="inlineStr">
        <is>
          <t>5.8.20</t>
        </is>
      </c>
      <c r="C301" s="89" t="inlineStr">
        <is>
          <t>Теплоизоляция фольгированныя, б=0.05    м</t>
        </is>
      </c>
      <c r="D301" s="39" t="inlineStr">
        <is>
          <t>м 2</t>
        </is>
      </c>
      <c r="E301" s="84" t="n">
        <v>18</v>
      </c>
      <c r="F301" s="146" t="n">
        <v>2900</v>
      </c>
      <c r="G301" s="146" t="n">
        <v>52200</v>
      </c>
      <c r="H301" t="inlineStr">
        <is>
          <t>ФЕР-2020 × 0.75</t>
        </is>
      </c>
    </row>
    <row r="302" ht="14.4" customFormat="1" customHeight="1" s="5">
      <c r="A302" s="85" t="inlineStr">
        <is>
          <t>5 этап</t>
        </is>
      </c>
      <c r="B302" s="74" t="inlineStr">
        <is>
          <t>5.8.21</t>
        </is>
      </c>
      <c r="C302" s="89" t="inlineStr">
        <is>
          <t>Канальный вентилятор,  0.28 кВт</t>
        </is>
      </c>
      <c r="D302" s="39" t="inlineStr">
        <is>
          <t>шт</t>
        </is>
      </c>
      <c r="E302" s="94" t="n">
        <v>1</v>
      </c>
      <c r="F302" s="146" t="n">
        <v>5000</v>
      </c>
      <c r="G302" s="146" t="n">
        <v>5000</v>
      </c>
      <c r="H302" t="inlineStr">
        <is>
          <t>Экспертная оценка</t>
        </is>
      </c>
    </row>
    <row r="303" ht="14.4" customFormat="1" customHeight="1" s="5">
      <c r="A303" s="85" t="inlineStr">
        <is>
          <t>5 этап</t>
        </is>
      </c>
      <c r="B303" s="74" t="inlineStr">
        <is>
          <t>5.8.22</t>
        </is>
      </c>
      <c r="C303" s="89" t="inlineStr">
        <is>
          <t>Шумоглушитель L=600</t>
        </is>
      </c>
      <c r="D303" s="39" t="inlineStr">
        <is>
          <t>шт</t>
        </is>
      </c>
      <c r="E303" s="94" t="n">
        <v>1</v>
      </c>
      <c r="F303" s="146" t="n">
        <v>5000</v>
      </c>
      <c r="G303" s="146" t="n">
        <v>5000</v>
      </c>
      <c r="H303" t="inlineStr">
        <is>
          <t>Экспертная оценка</t>
        </is>
      </c>
    </row>
    <row r="304" ht="14.4" customFormat="1" customHeight="1" s="5">
      <c r="A304" s="85" t="inlineStr">
        <is>
          <t>5 этап</t>
        </is>
      </c>
      <c r="B304" s="74" t="inlineStr">
        <is>
          <t>5.8.23</t>
        </is>
      </c>
      <c r="C304" s="89" t="inlineStr">
        <is>
          <t>Вод калорифер 12кВт</t>
        </is>
      </c>
      <c r="D304" s="39" t="inlineStr">
        <is>
          <t>шт</t>
        </is>
      </c>
      <c r="E304" s="94" t="n">
        <v>1</v>
      </c>
      <c r="F304" s="146" t="n">
        <v>5000</v>
      </c>
      <c r="G304" s="146" t="n">
        <v>5000</v>
      </c>
      <c r="H304" t="inlineStr">
        <is>
          <t>Экспертная оценка</t>
        </is>
      </c>
    </row>
    <row r="305" ht="14.4" customFormat="1" customHeight="1" s="5">
      <c r="A305" s="85" t="inlineStr">
        <is>
          <t>5 этап</t>
        </is>
      </c>
      <c r="B305" s="74" t="inlineStr">
        <is>
          <t>5.8.24</t>
        </is>
      </c>
      <c r="C305" s="89" t="inlineStr">
        <is>
          <t>Фильтр-бокс</t>
        </is>
      </c>
      <c r="D305" s="39" t="inlineStr">
        <is>
          <t>шт</t>
        </is>
      </c>
      <c r="E305" s="94" t="n">
        <v>1</v>
      </c>
      <c r="F305" s="146" t="n">
        <v>5000</v>
      </c>
      <c r="G305" s="146" t="n">
        <v>5000</v>
      </c>
      <c r="H305" t="inlineStr">
        <is>
          <t>Экспертная оценка</t>
        </is>
      </c>
    </row>
    <row r="306" ht="14.4" customFormat="1" customHeight="1" s="5">
      <c r="A306" s="85" t="inlineStr">
        <is>
          <t>5 этап</t>
        </is>
      </c>
      <c r="B306" s="74" t="inlineStr">
        <is>
          <t>5.8.25</t>
        </is>
      </c>
      <c r="C306" s="89" t="inlineStr">
        <is>
          <t>Сменная кассета для фильтр-бокса</t>
        </is>
      </c>
      <c r="D306" s="39" t="inlineStr">
        <is>
          <t>шт</t>
        </is>
      </c>
      <c r="E306" s="94" t="n">
        <v>1</v>
      </c>
      <c r="F306" s="146" t="n">
        <v>5000</v>
      </c>
      <c r="G306" s="146" t="n">
        <v>5000</v>
      </c>
      <c r="H306" t="inlineStr">
        <is>
          <t>Экспертная оценка</t>
        </is>
      </c>
    </row>
    <row r="307" ht="14.4" customFormat="1" customHeight="1" s="5">
      <c r="A307" s="85" t="inlineStr">
        <is>
          <t>5 этап</t>
        </is>
      </c>
      <c r="B307" s="74" t="inlineStr">
        <is>
          <t>5.8.26</t>
        </is>
      </c>
      <c r="C307" s="89" t="inlineStr">
        <is>
          <t>Клапан обратный</t>
        </is>
      </c>
      <c r="D307" s="39" t="inlineStr">
        <is>
          <t>шт</t>
        </is>
      </c>
      <c r="E307" s="94" t="n">
        <v>1</v>
      </c>
      <c r="F307" s="146" t="n">
        <v>5000</v>
      </c>
      <c r="G307" s="146" t="n">
        <v>5000</v>
      </c>
      <c r="H307" t="inlineStr">
        <is>
          <t>Экспертная оценка</t>
        </is>
      </c>
    </row>
    <row r="308" ht="14.4" customFormat="1" customHeight="1" s="5">
      <c r="A308" s="85" t="inlineStr">
        <is>
          <t>5 этап</t>
        </is>
      </c>
      <c r="B308" s="74" t="inlineStr">
        <is>
          <t>5.8.27</t>
        </is>
      </c>
      <c r="C308" s="89" t="inlineStr">
        <is>
          <t>Решетка вентиляционная</t>
        </is>
      </c>
      <c r="D308" s="39" t="inlineStr">
        <is>
          <t>шт</t>
        </is>
      </c>
      <c r="E308" s="94" t="n">
        <v>3</v>
      </c>
      <c r="F308" s="146" t="n">
        <v>5000</v>
      </c>
      <c r="G308" s="146" t="n">
        <v>15000</v>
      </c>
      <c r="H308" t="inlineStr">
        <is>
          <t>ФЕР-2020 × 0.75</t>
        </is>
      </c>
    </row>
    <row r="309" ht="14.4" customFormat="1" customHeight="1" s="5">
      <c r="A309" s="85" t="inlineStr">
        <is>
          <t>5 этап</t>
        </is>
      </c>
      <c r="B309" s="74" t="inlineStr">
        <is>
          <t>5.8.28</t>
        </is>
      </c>
      <c r="C309" s="89" t="inlineStr">
        <is>
          <t xml:space="preserve">Решетка наружная </t>
        </is>
      </c>
      <c r="D309" s="39" t="inlineStr">
        <is>
          <t>шт</t>
        </is>
      </c>
      <c r="E309" s="94" t="n">
        <v>1</v>
      </c>
      <c r="F309" s="146" t="n">
        <v>5000</v>
      </c>
      <c r="G309" s="146" t="n">
        <v>5000</v>
      </c>
      <c r="H309" t="inlineStr">
        <is>
          <t>Экспертная оценка</t>
        </is>
      </c>
    </row>
    <row r="310" ht="14.4" customFormat="1" customHeight="1" s="5">
      <c r="A310" s="85" t="inlineStr">
        <is>
          <t>5 этап</t>
        </is>
      </c>
      <c r="B310" s="74" t="inlineStr">
        <is>
          <t>5.8.29</t>
        </is>
      </c>
      <c r="C310" s="89" t="inlineStr">
        <is>
          <t xml:space="preserve">Воздуховод из тонколистовой оцинкованной стали б=0.5 мм, 250х200  </t>
        </is>
      </c>
      <c r="D310" s="39" t="inlineStr">
        <is>
          <t>мп</t>
        </is>
      </c>
      <c r="E310" s="94" t="n">
        <v>9</v>
      </c>
      <c r="F310" s="146" t="n">
        <v>5000</v>
      </c>
      <c r="G310" s="146" t="n">
        <v>45000</v>
      </c>
      <c r="H310" t="inlineStr">
        <is>
          <t>ФЕР-2020 × 0.75</t>
        </is>
      </c>
    </row>
    <row r="311" ht="14.4" customFormat="1" customHeight="1" s="5">
      <c r="A311" s="85" t="inlineStr">
        <is>
          <t>5 этап</t>
        </is>
      </c>
      <c r="B311" s="74" t="inlineStr">
        <is>
          <t>5.8.30</t>
        </is>
      </c>
      <c r="C311" s="89" t="inlineStr">
        <is>
          <t>Теплоизоляция фольгированныя, б=0.05    м</t>
        </is>
      </c>
      <c r="D311" s="39" t="inlineStr">
        <is>
          <t>м 2</t>
        </is>
      </c>
      <c r="E311" s="94" t="n">
        <v>10.8</v>
      </c>
      <c r="F311" s="146" t="n">
        <v>2900</v>
      </c>
      <c r="G311" s="146" t="n">
        <v>31320</v>
      </c>
      <c r="H311" t="inlineStr">
        <is>
          <t>ФЕР-2020 × 0.75</t>
        </is>
      </c>
    </row>
    <row r="312" ht="14.4" customFormat="1" customHeight="1" s="5">
      <c r="A312" s="85" t="inlineStr">
        <is>
          <t>5 этап</t>
        </is>
      </c>
      <c r="B312" s="74" t="inlineStr">
        <is>
          <t>5.8.31</t>
        </is>
      </c>
      <c r="C312" s="89" t="inlineStr">
        <is>
          <t>Канальный вентилятор,  0.28 кВт</t>
        </is>
      </c>
      <c r="D312" s="39" t="inlineStr">
        <is>
          <t>шт</t>
        </is>
      </c>
      <c r="E312" s="94" t="n">
        <v>1</v>
      </c>
      <c r="F312" s="146" t="n">
        <v>5000</v>
      </c>
      <c r="G312" s="146" t="n">
        <v>5000</v>
      </c>
      <c r="H312" t="inlineStr">
        <is>
          <t>Экспертная оценка</t>
        </is>
      </c>
    </row>
    <row r="313" ht="14.4" customFormat="1" customHeight="1" s="5">
      <c r="A313" s="85" t="inlineStr">
        <is>
          <t>5 этап</t>
        </is>
      </c>
      <c r="B313" s="74" t="inlineStr">
        <is>
          <t>5.8.32</t>
        </is>
      </c>
      <c r="C313" s="89" t="inlineStr">
        <is>
          <t>Шумоглушитель L=600</t>
        </is>
      </c>
      <c r="D313" s="39" t="inlineStr">
        <is>
          <t>шт</t>
        </is>
      </c>
      <c r="E313" s="94" t="n">
        <v>1</v>
      </c>
      <c r="F313" s="146" t="n">
        <v>5000</v>
      </c>
      <c r="G313" s="146" t="n">
        <v>5000</v>
      </c>
      <c r="H313" t="inlineStr">
        <is>
          <t>Экспертная оценка</t>
        </is>
      </c>
    </row>
    <row r="314" ht="14.4" customFormat="1" customHeight="1" s="5">
      <c r="A314" s="85" t="inlineStr">
        <is>
          <t>5 этап</t>
        </is>
      </c>
      <c r="B314" s="74" t="inlineStr">
        <is>
          <t>5.8.33</t>
        </is>
      </c>
      <c r="C314" s="89" t="inlineStr">
        <is>
          <t>Вод калорифер 12кВт</t>
        </is>
      </c>
      <c r="D314" s="39" t="inlineStr">
        <is>
          <t>шт</t>
        </is>
      </c>
      <c r="E314" s="94" t="n">
        <v>1</v>
      </c>
      <c r="F314" s="146" t="n">
        <v>5000</v>
      </c>
      <c r="G314" s="146" t="n">
        <v>5000</v>
      </c>
      <c r="H314" t="inlineStr">
        <is>
          <t>Экспертная оценка</t>
        </is>
      </c>
    </row>
    <row r="315" ht="14.4" customFormat="1" customHeight="1" s="5">
      <c r="A315" s="85" t="inlineStr">
        <is>
          <t>5 этап</t>
        </is>
      </c>
      <c r="B315" s="74" t="inlineStr">
        <is>
          <t>5.8.34</t>
        </is>
      </c>
      <c r="C315" s="89" t="inlineStr">
        <is>
          <t>Фильтр-бокс</t>
        </is>
      </c>
      <c r="D315" s="39" t="inlineStr">
        <is>
          <t>шт</t>
        </is>
      </c>
      <c r="E315" s="94" t="n">
        <v>1</v>
      </c>
      <c r="F315" s="146" t="n">
        <v>5000</v>
      </c>
      <c r="G315" s="146" t="n">
        <v>5000</v>
      </c>
      <c r="H315" t="inlineStr">
        <is>
          <t>Экспертная оценка</t>
        </is>
      </c>
    </row>
    <row r="316" ht="14.4" customFormat="1" customHeight="1" s="5">
      <c r="A316" s="85" t="inlineStr">
        <is>
          <t>5 этап</t>
        </is>
      </c>
      <c r="B316" s="74" t="inlineStr">
        <is>
          <t>5.8.35</t>
        </is>
      </c>
      <c r="C316" s="89" t="inlineStr">
        <is>
          <t>Сменная кассета для фильтр-бокса</t>
        </is>
      </c>
      <c r="D316" s="39" t="inlineStr">
        <is>
          <t>шт</t>
        </is>
      </c>
      <c r="E316" s="94" t="n">
        <v>1</v>
      </c>
      <c r="F316" s="146" t="n">
        <v>5000</v>
      </c>
      <c r="G316" s="146" t="n">
        <v>5000</v>
      </c>
      <c r="H316" t="inlineStr">
        <is>
          <t>Экспертная оценка</t>
        </is>
      </c>
    </row>
    <row r="317" ht="14.4" customFormat="1" customHeight="1" s="5">
      <c r="A317" s="85" t="inlineStr">
        <is>
          <t>5 этап</t>
        </is>
      </c>
      <c r="B317" s="74" t="inlineStr">
        <is>
          <t>5.8.36</t>
        </is>
      </c>
      <c r="C317" s="89" t="inlineStr">
        <is>
          <t>Клапан обратный</t>
        </is>
      </c>
      <c r="D317" s="39" t="inlineStr">
        <is>
          <t>шт</t>
        </is>
      </c>
      <c r="E317" s="94" t="n">
        <v>1</v>
      </c>
      <c r="F317" s="146" t="n">
        <v>5000</v>
      </c>
      <c r="G317" s="146" t="n">
        <v>5000</v>
      </c>
      <c r="H317" t="inlineStr">
        <is>
          <t>Экспертная оценка</t>
        </is>
      </c>
    </row>
    <row r="318" ht="14.4" customFormat="1" customHeight="1" s="5">
      <c r="A318" s="85" t="inlineStr">
        <is>
          <t>5 этап</t>
        </is>
      </c>
      <c r="B318" s="74" t="inlineStr">
        <is>
          <t>5.8.37</t>
        </is>
      </c>
      <c r="C318" s="89" t="inlineStr">
        <is>
          <t>Решетка вентиляционная</t>
        </is>
      </c>
      <c r="D318" s="39" t="inlineStr">
        <is>
          <t>шт</t>
        </is>
      </c>
      <c r="E318" s="94" t="n">
        <v>3</v>
      </c>
      <c r="F318" s="146" t="n">
        <v>5000</v>
      </c>
      <c r="G318" s="146" t="n">
        <v>15000</v>
      </c>
      <c r="H318" t="inlineStr">
        <is>
          <t>ФЕР-2020 × 0.75</t>
        </is>
      </c>
    </row>
    <row r="319" ht="14.4" customFormat="1" customHeight="1" s="5">
      <c r="A319" s="85" t="inlineStr">
        <is>
          <t>5 этап</t>
        </is>
      </c>
      <c r="B319" s="74" t="inlineStr">
        <is>
          <t>5.8.38</t>
        </is>
      </c>
      <c r="C319" s="89" t="inlineStr">
        <is>
          <t xml:space="preserve">Решетка наружная </t>
        </is>
      </c>
      <c r="D319" s="39" t="inlineStr">
        <is>
          <t>шт</t>
        </is>
      </c>
      <c r="E319" s="94" t="n">
        <v>1</v>
      </c>
      <c r="F319" s="146" t="n">
        <v>5000</v>
      </c>
      <c r="G319" s="146" t="n">
        <v>5000</v>
      </c>
      <c r="H319" t="inlineStr">
        <is>
          <t>Экспертная оценка</t>
        </is>
      </c>
    </row>
    <row r="320" ht="14.4" customFormat="1" customHeight="1" s="5">
      <c r="A320" s="85" t="inlineStr">
        <is>
          <t>5 этап</t>
        </is>
      </c>
      <c r="B320" s="74" t="inlineStr">
        <is>
          <t>5.8.39</t>
        </is>
      </c>
      <c r="C320" s="89" t="inlineStr">
        <is>
          <t xml:space="preserve">Воздуховод из тонколистовой оцинкованной стали б=0.5 мм, 200х400  </t>
        </is>
      </c>
      <c r="D320" s="39" t="inlineStr">
        <is>
          <t>м. пог</t>
        </is>
      </c>
      <c r="E320" s="94" t="n">
        <v>6</v>
      </c>
      <c r="F320" s="146" t="n">
        <v>5000</v>
      </c>
      <c r="G320" s="146" t="n">
        <v>30000</v>
      </c>
      <c r="H320" t="inlineStr">
        <is>
          <t>ФЕР-2020 × 0.75</t>
        </is>
      </c>
    </row>
    <row r="321" ht="14.4" customFormat="1" customHeight="1" s="5">
      <c r="A321" s="85" t="inlineStr">
        <is>
          <t>5 этап</t>
        </is>
      </c>
      <c r="B321" s="74" t="inlineStr">
        <is>
          <t>5.8.40</t>
        </is>
      </c>
      <c r="C321" s="89" t="inlineStr">
        <is>
          <t xml:space="preserve">Воздуховод из тонколистовой оцинкованной стали б=0.5 мм, 400х200 </t>
        </is>
      </c>
      <c r="D321" s="39" t="inlineStr">
        <is>
          <t>м. пог</t>
        </is>
      </c>
      <c r="E321" s="94" t="n">
        <v>9</v>
      </c>
      <c r="F321" s="146" t="n">
        <v>5000</v>
      </c>
      <c r="G321" s="146" t="n">
        <v>45000</v>
      </c>
      <c r="H321" t="inlineStr">
        <is>
          <t>ФЕР-2020 × 0.75</t>
        </is>
      </c>
    </row>
    <row r="322" ht="14.4" customFormat="1" customHeight="1" s="5">
      <c r="A322" s="85" t="inlineStr">
        <is>
          <t>5 этап</t>
        </is>
      </c>
      <c r="B322" s="74" t="inlineStr">
        <is>
          <t>5.8.41</t>
        </is>
      </c>
      <c r="C322" s="89" t="inlineStr">
        <is>
          <t>Теплоизоляция фольгированныя, б=0.05    м</t>
        </is>
      </c>
      <c r="D322" s="39" t="inlineStr">
        <is>
          <t>м 2</t>
        </is>
      </c>
      <c r="E322" s="94" t="n">
        <v>17.4</v>
      </c>
      <c r="F322" s="146" t="n">
        <v>2900</v>
      </c>
      <c r="G322" s="146" t="n">
        <v>50460</v>
      </c>
      <c r="H322" t="inlineStr">
        <is>
          <t>ФЕР-2020 × 0.75</t>
        </is>
      </c>
    </row>
    <row r="323" ht="14.4" customFormat="1" customHeight="1" s="5">
      <c r="A323" s="85" t="inlineStr">
        <is>
          <t>5 этап</t>
        </is>
      </c>
      <c r="B323" s="74" t="inlineStr">
        <is>
          <t>5.8.42</t>
        </is>
      </c>
      <c r="C323" s="89" t="inlineStr">
        <is>
          <t>Канальный вентилятор,  0.28 кВт</t>
        </is>
      </c>
      <c r="D323" s="39" t="inlineStr">
        <is>
          <t>шт</t>
        </is>
      </c>
      <c r="E323" s="94" t="n">
        <v>1</v>
      </c>
      <c r="F323" s="146" t="n">
        <v>5000</v>
      </c>
      <c r="G323" s="146" t="n">
        <v>5000</v>
      </c>
      <c r="H323" t="inlineStr">
        <is>
          <t>Экспертная оценка</t>
        </is>
      </c>
    </row>
    <row r="324" ht="14.4" customFormat="1" customHeight="1" s="5">
      <c r="A324" s="85" t="inlineStr">
        <is>
          <t>5 этап</t>
        </is>
      </c>
      <c r="B324" s="74" t="inlineStr">
        <is>
          <t>5.8.43</t>
        </is>
      </c>
      <c r="C324" s="89" t="inlineStr">
        <is>
          <t>Шумоглушитель L=600</t>
        </is>
      </c>
      <c r="D324" s="39" t="inlineStr">
        <is>
          <t>шт</t>
        </is>
      </c>
      <c r="E324" s="94" t="n">
        <v>1</v>
      </c>
      <c r="F324" s="146" t="n">
        <v>5000</v>
      </c>
      <c r="G324" s="146" t="n">
        <v>5000</v>
      </c>
      <c r="H324" t="inlineStr">
        <is>
          <t>Экспертная оценка</t>
        </is>
      </c>
    </row>
    <row r="325" ht="14.4" customFormat="1" customHeight="1" s="5">
      <c r="A325" s="85" t="inlineStr">
        <is>
          <t>5 этап</t>
        </is>
      </c>
      <c r="B325" s="74" t="inlineStr">
        <is>
          <t>5.8.44</t>
        </is>
      </c>
      <c r="C325" s="89" t="inlineStr">
        <is>
          <t>Вод калорифер 12кВт</t>
        </is>
      </c>
      <c r="D325" s="39" t="inlineStr">
        <is>
          <t>шт</t>
        </is>
      </c>
      <c r="E325" s="94" t="n">
        <v>1</v>
      </c>
      <c r="F325" s="146" t="n">
        <v>5000</v>
      </c>
      <c r="G325" s="146" t="n">
        <v>5000</v>
      </c>
      <c r="H325" t="inlineStr">
        <is>
          <t>Экспертная оценка</t>
        </is>
      </c>
    </row>
    <row r="326" ht="14.4" customFormat="1" customHeight="1" s="5">
      <c r="A326" s="85" t="inlineStr">
        <is>
          <t>5 этап</t>
        </is>
      </c>
      <c r="B326" s="74" t="inlineStr">
        <is>
          <t>5.8.45</t>
        </is>
      </c>
      <c r="C326" s="89" t="inlineStr">
        <is>
          <t>Фильтр-бокс</t>
        </is>
      </c>
      <c r="D326" s="39" t="inlineStr">
        <is>
          <t>шт</t>
        </is>
      </c>
      <c r="E326" s="94" t="n">
        <v>1</v>
      </c>
      <c r="F326" s="146" t="n">
        <v>5000</v>
      </c>
      <c r="G326" s="146" t="n">
        <v>5000</v>
      </c>
      <c r="H326" t="inlineStr">
        <is>
          <t>Экспертная оценка</t>
        </is>
      </c>
    </row>
    <row r="327" ht="14.4" customFormat="1" customHeight="1" s="5">
      <c r="A327" s="85" t="inlineStr">
        <is>
          <t>5 этап</t>
        </is>
      </c>
      <c r="B327" s="74" t="inlineStr">
        <is>
          <t>5.8.46</t>
        </is>
      </c>
      <c r="C327" s="89" t="inlineStr">
        <is>
          <t>Сменная кассета для фильтр-бокса</t>
        </is>
      </c>
      <c r="D327" s="39" t="inlineStr">
        <is>
          <t>шт</t>
        </is>
      </c>
      <c r="E327" s="94" t="n">
        <v>1</v>
      </c>
      <c r="F327" s="146" t="n">
        <v>5000</v>
      </c>
      <c r="G327" s="146" t="n">
        <v>5000</v>
      </c>
      <c r="H327" t="inlineStr">
        <is>
          <t>Экспертная оценка</t>
        </is>
      </c>
    </row>
    <row r="328" ht="14.4" customFormat="1" customHeight="1" s="5">
      <c r="A328" s="85" t="inlineStr">
        <is>
          <t>5 этап</t>
        </is>
      </c>
      <c r="B328" s="74" t="inlineStr">
        <is>
          <t>5.8.47</t>
        </is>
      </c>
      <c r="C328" s="89" t="inlineStr">
        <is>
          <t>Клапан обратный</t>
        </is>
      </c>
      <c r="D328" s="39" t="inlineStr">
        <is>
          <t>шт</t>
        </is>
      </c>
      <c r="E328" s="94" t="n">
        <v>1</v>
      </c>
      <c r="F328" s="146" t="n">
        <v>5000</v>
      </c>
      <c r="G328" s="146" t="n">
        <v>5000</v>
      </c>
      <c r="H328" t="inlineStr">
        <is>
          <t>Экспертная оценка</t>
        </is>
      </c>
    </row>
    <row r="329" ht="14.4" customFormat="1" customHeight="1" s="5">
      <c r="A329" s="85" t="inlineStr">
        <is>
          <t>5 этап</t>
        </is>
      </c>
      <c r="B329" s="74" t="inlineStr">
        <is>
          <t>5.8.48</t>
        </is>
      </c>
      <c r="C329" s="89" t="inlineStr">
        <is>
          <t>Решетка вентиляционная</t>
        </is>
      </c>
      <c r="D329" s="39" t="inlineStr">
        <is>
          <t>шт</t>
        </is>
      </c>
      <c r="E329" s="94" t="n">
        <v>4</v>
      </c>
      <c r="F329" s="146" t="n">
        <v>5000</v>
      </c>
      <c r="G329" s="146" t="n">
        <v>20000</v>
      </c>
      <c r="H329" t="inlineStr">
        <is>
          <t>ФЕР-2020 × 0.75</t>
        </is>
      </c>
    </row>
    <row r="330" ht="14.4" customFormat="1" customHeight="1" s="5">
      <c r="A330" s="85" t="inlineStr">
        <is>
          <t>5 этап</t>
        </is>
      </c>
      <c r="B330" s="74" t="inlineStr">
        <is>
          <t>5.8.49</t>
        </is>
      </c>
      <c r="C330" s="89" t="inlineStr">
        <is>
          <t xml:space="preserve">Решетка наружная </t>
        </is>
      </c>
      <c r="D330" s="39" t="inlineStr">
        <is>
          <t>шт</t>
        </is>
      </c>
      <c r="E330" s="94" t="n">
        <v>1</v>
      </c>
      <c r="F330" s="146" t="n">
        <v>5000</v>
      </c>
      <c r="G330" s="146" t="n">
        <v>5000</v>
      </c>
      <c r="H330" t="inlineStr">
        <is>
          <t>Экспертная оценка</t>
        </is>
      </c>
    </row>
    <row r="331" ht="14.4" customFormat="1" customHeight="1" s="5">
      <c r="A331" s="85" t="inlineStr">
        <is>
          <t>5 этап</t>
        </is>
      </c>
      <c r="B331" s="74" t="inlineStr">
        <is>
          <t>5.8.50</t>
        </is>
      </c>
      <c r="C331" s="89" t="inlineStr">
        <is>
          <t xml:space="preserve">Воздуховод из тонколистовой оцинкованной стали б=0.5 мм, 200х400  </t>
        </is>
      </c>
      <c r="D331" s="39" t="inlineStr">
        <is>
          <t>м. пог</t>
        </is>
      </c>
      <c r="E331" s="94" t="n">
        <v>7</v>
      </c>
      <c r="F331" s="146" t="n">
        <v>5000</v>
      </c>
      <c r="G331" s="146" t="n">
        <v>35000</v>
      </c>
      <c r="H331" t="inlineStr">
        <is>
          <t>ФЕР-2020 × 0.75</t>
        </is>
      </c>
    </row>
    <row r="332" ht="14.4" customFormat="1" customHeight="1" s="5">
      <c r="A332" s="85" t="inlineStr">
        <is>
          <t>5 этап</t>
        </is>
      </c>
      <c r="B332" s="74" t="inlineStr">
        <is>
          <t>5.8.51</t>
        </is>
      </c>
      <c r="C332" s="89" t="inlineStr">
        <is>
          <t xml:space="preserve">Воздуховод из тонколистовой оцинкованной стали б=0.5 мм, 400х200 </t>
        </is>
      </c>
      <c r="D332" s="39" t="inlineStr">
        <is>
          <t>м. пог</t>
        </is>
      </c>
      <c r="E332" s="94" t="n">
        <v>8</v>
      </c>
      <c r="F332" s="146" t="n">
        <v>5000</v>
      </c>
      <c r="G332" s="146" t="n">
        <v>40000</v>
      </c>
      <c r="H332" t="inlineStr">
        <is>
          <t>ФЕР-2020 × 0.75</t>
        </is>
      </c>
    </row>
    <row r="333" ht="14.4" customFormat="1" customHeight="1" s="5">
      <c r="A333" s="85" t="inlineStr">
        <is>
          <t>5 этап</t>
        </is>
      </c>
      <c r="B333" s="74" t="inlineStr">
        <is>
          <t>5.8.52</t>
        </is>
      </c>
      <c r="C333" s="89" t="inlineStr">
        <is>
          <t>Теплоизоляция фольгированныя, б=0.05    м</t>
        </is>
      </c>
      <c r="D333" s="39" t="inlineStr">
        <is>
          <t>м 2</t>
        </is>
      </c>
      <c r="E333" s="94" t="n">
        <v>17.4</v>
      </c>
      <c r="F333" s="146" t="n">
        <v>2900</v>
      </c>
      <c r="G333" s="146" t="n">
        <v>50460</v>
      </c>
      <c r="H333" t="inlineStr">
        <is>
          <t>ФЕР-2020 × 0.75</t>
        </is>
      </c>
    </row>
    <row r="334" ht="14.4" customFormat="1" customHeight="1" s="5">
      <c r="A334" s="85" t="inlineStr">
        <is>
          <t>5 этап</t>
        </is>
      </c>
      <c r="B334" s="74" t="inlineStr">
        <is>
          <t>5.8.53</t>
        </is>
      </c>
      <c r="C334" s="89" t="inlineStr">
        <is>
          <t>Канальный вентилятор,  0.28 кВт</t>
        </is>
      </c>
      <c r="D334" s="39" t="inlineStr">
        <is>
          <t>шт</t>
        </is>
      </c>
      <c r="E334" s="94" t="n">
        <v>1</v>
      </c>
      <c r="F334" s="146" t="n">
        <v>5000</v>
      </c>
      <c r="G334" s="146" t="n">
        <v>5000</v>
      </c>
      <c r="H334" t="inlineStr">
        <is>
          <t>Экспертная оценка</t>
        </is>
      </c>
    </row>
    <row r="335" ht="14.4" customFormat="1" customHeight="1" s="5">
      <c r="A335" s="85" t="inlineStr">
        <is>
          <t>5 этап</t>
        </is>
      </c>
      <c r="B335" s="74" t="inlineStr">
        <is>
          <t>5.8.54</t>
        </is>
      </c>
      <c r="C335" s="89" t="inlineStr">
        <is>
          <t>Шумоглушитель L=600</t>
        </is>
      </c>
      <c r="D335" s="39" t="inlineStr">
        <is>
          <t>шт</t>
        </is>
      </c>
      <c r="E335" s="94" t="n">
        <v>1</v>
      </c>
      <c r="F335" s="146" t="n">
        <v>5000</v>
      </c>
      <c r="G335" s="146" t="n">
        <v>5000</v>
      </c>
      <c r="H335" t="inlineStr">
        <is>
          <t>Экспертная оценка</t>
        </is>
      </c>
    </row>
    <row r="336" ht="14.4" customFormat="1" customHeight="1" s="5">
      <c r="A336" s="85" t="inlineStr">
        <is>
          <t>5 этап</t>
        </is>
      </c>
      <c r="B336" s="74" t="inlineStr">
        <is>
          <t>5.8.55</t>
        </is>
      </c>
      <c r="C336" s="89" t="inlineStr">
        <is>
          <t>Вод калорифер 12кВт</t>
        </is>
      </c>
      <c r="D336" s="39" t="inlineStr">
        <is>
          <t>шт</t>
        </is>
      </c>
      <c r="E336" s="94" t="n">
        <v>1</v>
      </c>
      <c r="F336" s="146" t="n">
        <v>5000</v>
      </c>
      <c r="G336" s="146" t="n">
        <v>5000</v>
      </c>
      <c r="H336" t="inlineStr">
        <is>
          <t>Экспертная оценка</t>
        </is>
      </c>
    </row>
    <row r="337" ht="14.4" customFormat="1" customHeight="1" s="5">
      <c r="A337" s="85" t="inlineStr">
        <is>
          <t>5 этап</t>
        </is>
      </c>
      <c r="B337" s="74" t="inlineStr">
        <is>
          <t>5.8.56</t>
        </is>
      </c>
      <c r="C337" s="89" t="inlineStr">
        <is>
          <t>Фильтр-бокс</t>
        </is>
      </c>
      <c r="D337" s="39" t="inlineStr">
        <is>
          <t>шт</t>
        </is>
      </c>
      <c r="E337" s="94" t="n">
        <v>1</v>
      </c>
      <c r="F337" s="146" t="n">
        <v>5000</v>
      </c>
      <c r="G337" s="146" t="n">
        <v>5000</v>
      </c>
      <c r="H337" t="inlineStr">
        <is>
          <t>Экспертная оценка</t>
        </is>
      </c>
    </row>
    <row r="338" ht="14.4" customFormat="1" customHeight="1" s="5">
      <c r="A338" s="85" t="inlineStr">
        <is>
          <t>5 этап</t>
        </is>
      </c>
      <c r="B338" s="74" t="inlineStr">
        <is>
          <t>5.8.57</t>
        </is>
      </c>
      <c r="C338" s="89" t="inlineStr">
        <is>
          <t>Сменная кассета для фильтр-бокса</t>
        </is>
      </c>
      <c r="D338" s="39" t="inlineStr">
        <is>
          <t>шт</t>
        </is>
      </c>
      <c r="E338" s="94" t="n">
        <v>1</v>
      </c>
      <c r="F338" s="146" t="n">
        <v>5000</v>
      </c>
      <c r="G338" s="146" t="n">
        <v>5000</v>
      </c>
      <c r="H338" t="inlineStr">
        <is>
          <t>Экспертная оценка</t>
        </is>
      </c>
    </row>
    <row r="339" ht="14.4" customFormat="1" customHeight="1" s="5">
      <c r="A339" s="85" t="inlineStr">
        <is>
          <t>5 этап</t>
        </is>
      </c>
      <c r="B339" s="74" t="inlineStr">
        <is>
          <t>5.8.58</t>
        </is>
      </c>
      <c r="C339" s="89" t="inlineStr">
        <is>
          <t>Клапан обратный</t>
        </is>
      </c>
      <c r="D339" s="39" t="inlineStr">
        <is>
          <t>шт</t>
        </is>
      </c>
      <c r="E339" s="94" t="n">
        <v>1</v>
      </c>
      <c r="F339" s="146" t="n">
        <v>5000</v>
      </c>
      <c r="G339" s="146" t="n">
        <v>5000</v>
      </c>
      <c r="H339" t="inlineStr">
        <is>
          <t>Экспертная оценка</t>
        </is>
      </c>
    </row>
    <row r="340" ht="14.4" customFormat="1" customHeight="1" s="5">
      <c r="A340" s="85" t="inlineStr">
        <is>
          <t>5 этап</t>
        </is>
      </c>
      <c r="B340" s="74" t="inlineStr">
        <is>
          <t>5.8.59</t>
        </is>
      </c>
      <c r="C340" s="89" t="inlineStr">
        <is>
          <t>Решетка вентиляционная</t>
        </is>
      </c>
      <c r="D340" s="39" t="inlineStr">
        <is>
          <t>шт</t>
        </is>
      </c>
      <c r="E340" s="94" t="n">
        <v>4</v>
      </c>
      <c r="F340" s="146" t="n">
        <v>5000</v>
      </c>
      <c r="G340" s="146" t="n">
        <v>20000</v>
      </c>
      <c r="H340" t="inlineStr">
        <is>
          <t>ФЕР-2020 × 0.75</t>
        </is>
      </c>
    </row>
    <row r="341" ht="14.4" customFormat="1" customHeight="1" s="5">
      <c r="A341" s="85" t="inlineStr">
        <is>
          <t>5 этап</t>
        </is>
      </c>
      <c r="B341" s="74" t="inlineStr">
        <is>
          <t>5.8.60</t>
        </is>
      </c>
      <c r="C341" s="89" t="inlineStr">
        <is>
          <t xml:space="preserve">Решетка наружная </t>
        </is>
      </c>
      <c r="D341" s="39" t="inlineStr">
        <is>
          <t>шт</t>
        </is>
      </c>
      <c r="E341" s="94" t="n">
        <v>1</v>
      </c>
      <c r="F341" s="146" t="n">
        <v>5000</v>
      </c>
      <c r="G341" s="146" t="n">
        <v>5000</v>
      </c>
      <c r="H341" t="inlineStr">
        <is>
          <t>Экспертная оценка</t>
        </is>
      </c>
    </row>
    <row r="342" ht="14.4" customFormat="1" customHeight="1" s="5">
      <c r="A342" s="85" t="inlineStr">
        <is>
          <t>5 этап</t>
        </is>
      </c>
      <c r="B342" s="74" t="inlineStr">
        <is>
          <t>5.8.61</t>
        </is>
      </c>
      <c r="C342" s="89" t="inlineStr">
        <is>
          <t xml:space="preserve">Воздуховод из тонколистовой оцинкованной стали б=0.5 мм, 250х200  </t>
        </is>
      </c>
      <c r="D342" s="39" t="inlineStr">
        <is>
          <t>мп</t>
        </is>
      </c>
      <c r="E342" s="94" t="n">
        <v>13</v>
      </c>
      <c r="F342" s="146" t="n">
        <v>5000</v>
      </c>
      <c r="G342" s="146" t="n">
        <v>65000</v>
      </c>
      <c r="H342" t="inlineStr">
        <is>
          <t>ФЕР-2020 × 0.75</t>
        </is>
      </c>
    </row>
    <row r="343" ht="14.4" customFormat="1" customHeight="1" s="5">
      <c r="A343" s="85" t="inlineStr">
        <is>
          <t>5 этап</t>
        </is>
      </c>
      <c r="B343" s="74" t="inlineStr">
        <is>
          <t>5.8.62</t>
        </is>
      </c>
      <c r="C343" s="89" t="inlineStr">
        <is>
          <t>Теплоизоляция фольгированныя, б=0.05    м</t>
        </is>
      </c>
      <c r="D343" s="39" t="inlineStr">
        <is>
          <t>м 2</t>
        </is>
      </c>
      <c r="E343" s="94" t="n">
        <v>14.3</v>
      </c>
      <c r="F343" s="146" t="n">
        <v>2900</v>
      </c>
      <c r="G343" s="146" t="n">
        <v>41470</v>
      </c>
      <c r="H343" t="inlineStr">
        <is>
          <t>ФЕР-2020 × 0.75</t>
        </is>
      </c>
    </row>
    <row r="344" ht="14.4" customFormat="1" customHeight="1" s="5">
      <c r="A344" s="85" t="inlineStr">
        <is>
          <t>5 этап</t>
        </is>
      </c>
      <c r="B344" s="74" t="inlineStr">
        <is>
          <t>5.8.63</t>
        </is>
      </c>
      <c r="C344" s="89" t="inlineStr">
        <is>
          <t>Переточная решетка</t>
        </is>
      </c>
      <c r="D344" s="39" t="inlineStr">
        <is>
          <t>шт</t>
        </is>
      </c>
      <c r="E344" s="95" t="n">
        <v>9</v>
      </c>
      <c r="F344" s="146" t="n">
        <v>5000</v>
      </c>
      <c r="G344" s="146" t="n">
        <v>45000</v>
      </c>
      <c r="H344" t="inlineStr">
        <is>
          <t>Экспертная оценка</t>
        </is>
      </c>
    </row>
    <row r="345" ht="14.4" customFormat="1" customHeight="1" s="5">
      <c r="A345" s="85" t="inlineStr">
        <is>
          <t>5 этап</t>
        </is>
      </c>
      <c r="B345" s="74" t="inlineStr">
        <is>
          <t>5.8.64</t>
        </is>
      </c>
      <c r="C345" s="38" t="inlineStr">
        <is>
          <t>Канальный вентилятор,  0.15 кВт</t>
        </is>
      </c>
      <c r="D345" s="80" t="inlineStr">
        <is>
          <t>шт</t>
        </is>
      </c>
      <c r="E345" s="84" t="n">
        <v>1</v>
      </c>
      <c r="F345" s="146" t="n">
        <v>5000</v>
      </c>
      <c r="G345" s="146" t="n">
        <v>5000</v>
      </c>
      <c r="H345" t="inlineStr">
        <is>
          <t>Экспертная оценка</t>
        </is>
      </c>
    </row>
    <row r="346" ht="14.4" customFormat="1" customHeight="1" s="5">
      <c r="A346" s="85" t="inlineStr">
        <is>
          <t>5 этап</t>
        </is>
      </c>
      <c r="B346" s="74" t="inlineStr">
        <is>
          <t>5.8.65</t>
        </is>
      </c>
      <c r="C346" s="38" t="inlineStr">
        <is>
          <t>Шумоглушитель L=600</t>
        </is>
      </c>
      <c r="D346" s="80" t="inlineStr">
        <is>
          <t>шт</t>
        </is>
      </c>
      <c r="E346" s="84" t="n">
        <v>1</v>
      </c>
      <c r="F346" s="146" t="n">
        <v>5000</v>
      </c>
      <c r="G346" s="146" t="n">
        <v>5000</v>
      </c>
      <c r="H346" t="inlineStr">
        <is>
          <t>Экспертная оценка</t>
        </is>
      </c>
    </row>
    <row r="347" ht="14.4" customFormat="1" customHeight="1" s="5">
      <c r="A347" s="85" t="inlineStr">
        <is>
          <t>5 этап</t>
        </is>
      </c>
      <c r="B347" s="74" t="inlineStr">
        <is>
          <t>5.8.66</t>
        </is>
      </c>
      <c r="C347" s="38" t="inlineStr">
        <is>
          <t>Клапан обратный</t>
        </is>
      </c>
      <c r="D347" s="80" t="inlineStr">
        <is>
          <t>шт</t>
        </is>
      </c>
      <c r="E347" s="84" t="n">
        <v>1</v>
      </c>
      <c r="F347" s="146" t="n">
        <v>5000</v>
      </c>
      <c r="G347" s="146" t="n">
        <v>5000</v>
      </c>
      <c r="H347" t="inlineStr">
        <is>
          <t>Экспертная оценка</t>
        </is>
      </c>
    </row>
    <row r="348" ht="14.4" customFormat="1" customHeight="1" s="5">
      <c r="A348" s="85" t="inlineStr">
        <is>
          <t>5 этап</t>
        </is>
      </c>
      <c r="B348" s="74" t="inlineStr">
        <is>
          <t>5.8.67</t>
        </is>
      </c>
      <c r="C348" s="38" t="inlineStr">
        <is>
          <t>Решетка вентиляционная</t>
        </is>
      </c>
      <c r="D348" s="80" t="inlineStr">
        <is>
          <t>шт</t>
        </is>
      </c>
      <c r="E348" s="84" t="n">
        <v>3</v>
      </c>
      <c r="F348" s="146" t="n">
        <v>5000</v>
      </c>
      <c r="G348" s="146" t="n">
        <v>15000</v>
      </c>
      <c r="H348" t="inlineStr">
        <is>
          <t>ФЕР-2020 × 0.75</t>
        </is>
      </c>
    </row>
    <row r="349" ht="14.4" customFormat="1" customHeight="1" s="5">
      <c r="A349" s="85" t="inlineStr">
        <is>
          <t>5 этап</t>
        </is>
      </c>
      <c r="B349" s="74" t="inlineStr">
        <is>
          <t>5.8.68</t>
        </is>
      </c>
      <c r="C349" s="38" t="inlineStr">
        <is>
          <t>Наружныи вентиляционный зонт составной</t>
        </is>
      </c>
      <c r="D349" s="80" t="inlineStr">
        <is>
          <t>шт</t>
        </is>
      </c>
      <c r="E349" s="84" t="n">
        <v>1</v>
      </c>
      <c r="F349" s="146" t="n">
        <v>5000</v>
      </c>
      <c r="G349" s="146" t="n">
        <v>5000</v>
      </c>
      <c r="H349" t="inlineStr">
        <is>
          <t>ФЕР-2020 × 0.75</t>
        </is>
      </c>
    </row>
    <row r="350" ht="27.6" customFormat="1" customHeight="1" s="5">
      <c r="A350" s="85" t="inlineStr">
        <is>
          <t>5 этап</t>
        </is>
      </c>
      <c r="B350" s="74" t="inlineStr">
        <is>
          <t>5.8.69</t>
        </is>
      </c>
      <c r="C350" s="38" t="inlineStr">
        <is>
          <t xml:space="preserve">Воздуховод из тонколистовой оцинкованной стали б=0.5 мм, 250х200  </t>
        </is>
      </c>
      <c r="D350" s="80" t="inlineStr">
        <is>
          <t>мп</t>
        </is>
      </c>
      <c r="E350" s="84" t="n">
        <v>11</v>
      </c>
      <c r="F350" s="146" t="n">
        <v>5000</v>
      </c>
      <c r="G350" s="146" t="n">
        <v>55000</v>
      </c>
      <c r="H350" t="inlineStr">
        <is>
          <t>ФЕР-2020 × 0.75</t>
        </is>
      </c>
    </row>
    <row r="351" ht="16.2" customFormat="1" customHeight="1" s="5">
      <c r="A351" s="85" t="inlineStr">
        <is>
          <t>5 этап</t>
        </is>
      </c>
      <c r="B351" s="74" t="inlineStr">
        <is>
          <t>5.8.70</t>
        </is>
      </c>
      <c r="C351" s="38" t="inlineStr">
        <is>
          <t>Теплоизоляция фольгированныи, б=0.05м</t>
        </is>
      </c>
      <c r="D351" s="82" t="inlineStr">
        <is>
          <t>м 2</t>
        </is>
      </c>
      <c r="E351" s="84" t="n">
        <v>4.8</v>
      </c>
      <c r="F351" s="146" t="n">
        <v>2900</v>
      </c>
      <c r="G351" s="146" t="n">
        <v>13920</v>
      </c>
      <c r="H351" t="inlineStr">
        <is>
          <t>ФЕР-2020 × 0.75</t>
        </is>
      </c>
    </row>
    <row r="352" ht="14.4" customFormat="1" customHeight="1" s="5">
      <c r="A352" s="85" t="inlineStr">
        <is>
          <t>5 этап</t>
        </is>
      </c>
      <c r="B352" s="74" t="inlineStr">
        <is>
          <t>5.8.71</t>
        </is>
      </c>
      <c r="C352" s="38" t="inlineStr">
        <is>
          <t>Осевой вентилятор, 0.016 кВт</t>
        </is>
      </c>
      <c r="D352" s="39" t="inlineStr">
        <is>
          <t>шт</t>
        </is>
      </c>
      <c r="E352" s="84" t="n">
        <v>21</v>
      </c>
      <c r="F352" s="146" t="n">
        <v>5000</v>
      </c>
      <c r="G352" s="146" t="n">
        <v>105000</v>
      </c>
      <c r="H352" t="inlineStr">
        <is>
          <t>Экспертная оценка</t>
        </is>
      </c>
    </row>
    <row r="353" ht="14.4" customFormat="1" customHeight="1" s="5">
      <c r="A353" s="85" t="inlineStr">
        <is>
          <t>5 этап</t>
        </is>
      </c>
      <c r="B353" s="74" t="inlineStr">
        <is>
          <t>5.8.72</t>
        </is>
      </c>
      <c r="C353" s="38" t="inlineStr">
        <is>
          <t>Наружныи вентиляционный зонт составной</t>
        </is>
      </c>
      <c r="D353" s="39" t="inlineStr">
        <is>
          <t>шт</t>
        </is>
      </c>
      <c r="E353" s="84" t="n">
        <v>21</v>
      </c>
      <c r="F353" s="146" t="n">
        <v>5000</v>
      </c>
      <c r="G353" s="146" t="n">
        <v>105000</v>
      </c>
      <c r="H353" t="inlineStr">
        <is>
          <t>ФЕР-2020 × 0.75</t>
        </is>
      </c>
    </row>
    <row r="354" ht="27.6" customFormat="1" customHeight="1" s="5">
      <c r="A354" s="85" t="inlineStr">
        <is>
          <t>5 этап</t>
        </is>
      </c>
      <c r="B354" s="74" t="inlineStr">
        <is>
          <t>5.8.73</t>
        </is>
      </c>
      <c r="C354" s="38" t="inlineStr">
        <is>
          <t>Воздуховод из оцинк. стали покрытыи огнезащит. составом 0.5 д.150</t>
        </is>
      </c>
      <c r="D354" s="39" t="inlineStr">
        <is>
          <t>мп</t>
        </is>
      </c>
      <c r="E354" s="84" t="n">
        <v>93.3</v>
      </c>
      <c r="F354" s="146" t="n">
        <v>5000</v>
      </c>
      <c r="G354" s="146" t="n">
        <v>466500</v>
      </c>
      <c r="H354" t="inlineStr">
        <is>
          <t>ФЕР-2020 × 0.75</t>
        </is>
      </c>
    </row>
    <row r="355" ht="14.4" customFormat="1" customHeight="1" s="5">
      <c r="A355" s="85" t="inlineStr">
        <is>
          <t>5 этап</t>
        </is>
      </c>
      <c r="B355" s="74" t="inlineStr">
        <is>
          <t>5.8.74</t>
        </is>
      </c>
      <c r="C355" s="38" t="inlineStr">
        <is>
          <t>Теплоизоляция фольгированныи, б=0.05м</t>
        </is>
      </c>
      <c r="D355" s="39" t="inlineStr">
        <is>
          <t>м 2</t>
        </is>
      </c>
      <c r="E355" s="84" t="n">
        <v>136.1</v>
      </c>
      <c r="F355" s="146" t="n">
        <v>2900</v>
      </c>
      <c r="G355" s="146" t="n">
        <v>394690</v>
      </c>
      <c r="H355" t="inlineStr">
        <is>
          <t>ФЕР-2020 × 0.75</t>
        </is>
      </c>
    </row>
    <row r="356" ht="14.4" customFormat="1" customHeight="1" s="5">
      <c r="A356" s="85" t="inlineStr">
        <is>
          <t>5 этап</t>
        </is>
      </c>
      <c r="B356" s="74" t="inlineStr">
        <is>
          <t>5.8.75</t>
        </is>
      </c>
      <c r="C356" s="38" t="inlineStr">
        <is>
          <t>Канальный вентилятор,  0.15 кВт</t>
        </is>
      </c>
      <c r="D356" s="80" t="inlineStr">
        <is>
          <t>шт</t>
        </is>
      </c>
      <c r="E356" s="81" t="n">
        <v>1</v>
      </c>
      <c r="F356" s="146" t="n">
        <v>5000</v>
      </c>
      <c r="G356" s="146" t="n">
        <v>5000</v>
      </c>
      <c r="H356" t="inlineStr">
        <is>
          <t>Экспертная оценка</t>
        </is>
      </c>
    </row>
    <row r="357" ht="14.4" customFormat="1" customHeight="1" s="5">
      <c r="A357" s="85" t="inlineStr">
        <is>
          <t>5 этап</t>
        </is>
      </c>
      <c r="B357" s="74" t="inlineStr">
        <is>
          <t>5.8.76</t>
        </is>
      </c>
      <c r="C357" s="38" t="inlineStr">
        <is>
          <t>Шумоглушитель L=600</t>
        </is>
      </c>
      <c r="D357" s="80" t="inlineStr">
        <is>
          <t>шт</t>
        </is>
      </c>
      <c r="E357" s="81" t="n">
        <v>1</v>
      </c>
      <c r="F357" s="146" t="n">
        <v>5000</v>
      </c>
      <c r="G357" s="146" t="n">
        <v>5000</v>
      </c>
      <c r="H357" t="inlineStr">
        <is>
          <t>Экспертная оценка</t>
        </is>
      </c>
    </row>
    <row r="358" ht="14.4" customFormat="1" customHeight="1" s="5">
      <c r="A358" s="85" t="inlineStr">
        <is>
          <t>5 этап</t>
        </is>
      </c>
      <c r="B358" s="74" t="inlineStr">
        <is>
          <t>5.8.77</t>
        </is>
      </c>
      <c r="C358" s="38" t="inlineStr">
        <is>
          <t>Клапан обратный</t>
        </is>
      </c>
      <c r="D358" s="80" t="inlineStr">
        <is>
          <t>шт</t>
        </is>
      </c>
      <c r="E358" s="81" t="n">
        <v>1</v>
      </c>
      <c r="F358" s="146" t="n">
        <v>5000</v>
      </c>
      <c r="G358" s="146" t="n">
        <v>5000</v>
      </c>
      <c r="H358" t="inlineStr">
        <is>
          <t>Экспертная оценка</t>
        </is>
      </c>
    </row>
    <row r="359" ht="14.4" customFormat="1" customHeight="1" s="5">
      <c r="A359" s="85" t="inlineStr">
        <is>
          <t>5 этап</t>
        </is>
      </c>
      <c r="B359" s="74" t="inlineStr">
        <is>
          <t>5.8.78</t>
        </is>
      </c>
      <c r="C359" s="38" t="inlineStr">
        <is>
          <t>Решетка вентиляционная 100х200</t>
        </is>
      </c>
      <c r="D359" s="80" t="inlineStr">
        <is>
          <t>шт</t>
        </is>
      </c>
      <c r="E359" s="81" t="n">
        <v>3</v>
      </c>
      <c r="F359" s="146" t="n">
        <v>5000</v>
      </c>
      <c r="G359" s="146" t="n">
        <v>15000</v>
      </c>
      <c r="H359" t="inlineStr">
        <is>
          <t>ФЕР-2020 × 0.75</t>
        </is>
      </c>
    </row>
    <row r="360" ht="14.4" customFormat="1" customHeight="1" s="5">
      <c r="A360" s="85" t="inlineStr">
        <is>
          <t>5 этап</t>
        </is>
      </c>
      <c r="B360" s="74" t="inlineStr">
        <is>
          <t>5.8.79</t>
        </is>
      </c>
      <c r="C360" s="38" t="inlineStr">
        <is>
          <t>Решетка вентиляционная 150х200</t>
        </is>
      </c>
      <c r="D360" s="80" t="inlineStr">
        <is>
          <t>шт</t>
        </is>
      </c>
      <c r="E360" s="81" t="n">
        <v>6</v>
      </c>
      <c r="F360" s="146" t="n">
        <v>5000</v>
      </c>
      <c r="G360" s="146" t="n">
        <v>30000</v>
      </c>
      <c r="H360" t="inlineStr">
        <is>
          <t>ФЕР-2020 × 0.75</t>
        </is>
      </c>
    </row>
    <row r="361" ht="14.4" customFormat="1" customHeight="1" s="5">
      <c r="A361" s="85" t="inlineStr">
        <is>
          <t>5 этап</t>
        </is>
      </c>
      <c r="B361" s="74" t="inlineStr">
        <is>
          <t>5.8.80</t>
        </is>
      </c>
      <c r="C361" s="38" t="inlineStr">
        <is>
          <t>Наружныи вентиляционный зонт составной 500х250</t>
        </is>
      </c>
      <c r="D361" s="80" t="inlineStr">
        <is>
          <t>шт</t>
        </is>
      </c>
      <c r="E361" s="81" t="n">
        <v>1</v>
      </c>
      <c r="F361" s="146" t="n">
        <v>5000</v>
      </c>
      <c r="G361" s="146" t="n">
        <v>5000</v>
      </c>
      <c r="H361" t="inlineStr">
        <is>
          <t>ФЕР-2020 × 0.75</t>
        </is>
      </c>
    </row>
    <row r="362" ht="27.6" customFormat="1" customHeight="1" s="5">
      <c r="A362" s="85" t="inlineStr">
        <is>
          <t>5 этап</t>
        </is>
      </c>
      <c r="B362" s="74" t="inlineStr">
        <is>
          <t>5.8.81</t>
        </is>
      </c>
      <c r="C362" s="38" t="inlineStr">
        <is>
          <t>Воздуховод из тонколистовои оцинкованнои стали б=0.5 мм, 200х150</t>
        </is>
      </c>
      <c r="D362" s="80" t="inlineStr">
        <is>
          <t>мп</t>
        </is>
      </c>
      <c r="E362" s="81" t="n">
        <v>8</v>
      </c>
      <c r="F362" s="146" t="n">
        <v>5000</v>
      </c>
      <c r="G362" s="146" t="n">
        <v>40000</v>
      </c>
      <c r="H362" t="inlineStr">
        <is>
          <t>ФЕР-2020 × 0.75</t>
        </is>
      </c>
    </row>
    <row r="363" ht="27.6" customFormat="1" customHeight="1" s="5">
      <c r="A363" s="85" t="inlineStr">
        <is>
          <t>5 этап</t>
        </is>
      </c>
      <c r="B363" s="74" t="inlineStr">
        <is>
          <t>5.8.82</t>
        </is>
      </c>
      <c r="C363" s="38" t="inlineStr">
        <is>
          <t>Воздуховод из тонколистовои оцинкованнои стали б=0.5 мм, 200х200</t>
        </is>
      </c>
      <c r="D363" s="80" t="inlineStr">
        <is>
          <t>мп</t>
        </is>
      </c>
      <c r="E363" s="81" t="n">
        <v>10</v>
      </c>
      <c r="F363" s="146" t="n">
        <v>5000</v>
      </c>
      <c r="G363" s="146" t="n">
        <v>50000</v>
      </c>
      <c r="H363" t="inlineStr">
        <is>
          <t>ФЕР-2020 × 0.75</t>
        </is>
      </c>
    </row>
    <row r="364" ht="27.6" customFormat="1" customHeight="1" s="5">
      <c r="A364" s="85" t="inlineStr">
        <is>
          <t>5 этап</t>
        </is>
      </c>
      <c r="B364" s="74" t="inlineStr">
        <is>
          <t>5.8.83</t>
        </is>
      </c>
      <c r="C364" s="38" t="inlineStr">
        <is>
          <t>Воздуховод из тонколистовои оцинкованнои стали б=0.5 мм,  300х200</t>
        </is>
      </c>
      <c r="D364" s="80" t="inlineStr">
        <is>
          <t>мп</t>
        </is>
      </c>
      <c r="E364" s="81" t="n">
        <v>13</v>
      </c>
      <c r="F364" s="146" t="n">
        <v>5000</v>
      </c>
      <c r="G364" s="146" t="n">
        <v>65000</v>
      </c>
      <c r="H364" t="inlineStr">
        <is>
          <t>ФЕР-2020 × 0.75</t>
        </is>
      </c>
    </row>
    <row r="365" ht="27.6" customFormat="1" customHeight="1" s="5">
      <c r="A365" s="85" t="inlineStr">
        <is>
          <t>5 этап</t>
        </is>
      </c>
      <c r="B365" s="74" t="inlineStr">
        <is>
          <t>5.8.84</t>
        </is>
      </c>
      <c r="C365" s="38" t="inlineStr">
        <is>
          <t>Воздуховод из тонколистовои оцинкованнои стали б=0.5 мм, 400х200</t>
        </is>
      </c>
      <c r="D365" s="80" t="inlineStr">
        <is>
          <t>мп</t>
        </is>
      </c>
      <c r="E365" s="81" t="n">
        <v>4</v>
      </c>
      <c r="F365" s="146" t="n">
        <v>5000</v>
      </c>
      <c r="G365" s="146" t="n">
        <v>20000</v>
      </c>
      <c r="H365" t="inlineStr">
        <is>
          <t>ФЕР-2020 × 0.75</t>
        </is>
      </c>
    </row>
    <row r="366" ht="27.6" customFormat="1" customHeight="1" s="5">
      <c r="A366" s="85" t="inlineStr">
        <is>
          <t>5 этап</t>
        </is>
      </c>
      <c r="B366" s="74" t="inlineStr">
        <is>
          <t>5.8.85</t>
        </is>
      </c>
      <c r="C366" s="38" t="inlineStr">
        <is>
          <t>Воздуховод из тонколистовои оцинкованнои стали б=0.5 мм, 400х300</t>
        </is>
      </c>
      <c r="D366" s="80" t="inlineStr">
        <is>
          <t>мп</t>
        </is>
      </c>
      <c r="E366" s="81" t="n">
        <v>6</v>
      </c>
      <c r="F366" s="146" t="n">
        <v>5000</v>
      </c>
      <c r="G366" s="146" t="n">
        <v>30000</v>
      </c>
      <c r="H366" t="inlineStr">
        <is>
          <t>ФЕР-2020 × 0.75</t>
        </is>
      </c>
    </row>
    <row r="367" ht="27.6" customFormat="1" customHeight="1" s="5">
      <c r="A367" s="85" t="inlineStr">
        <is>
          <t>5 этап</t>
        </is>
      </c>
      <c r="B367" s="74" t="inlineStr">
        <is>
          <t>5.8.86</t>
        </is>
      </c>
      <c r="C367" s="38" t="inlineStr">
        <is>
          <t>Воздуховод из тонколистовои оцинкованнои стали б=0.5 мм, 500х250</t>
        </is>
      </c>
      <c r="D367" s="80" t="inlineStr">
        <is>
          <t>мп</t>
        </is>
      </c>
      <c r="E367" s="81" t="n">
        <v>7</v>
      </c>
      <c r="F367" s="146" t="n">
        <v>5000</v>
      </c>
      <c r="G367" s="146" t="n">
        <v>35000</v>
      </c>
      <c r="H367" t="inlineStr">
        <is>
          <t>ФЕР-2020 × 0.75</t>
        </is>
      </c>
    </row>
    <row r="368" ht="14.4" customFormat="1" customHeight="1" s="5">
      <c r="A368" s="85" t="inlineStr">
        <is>
          <t>5 этап</t>
        </is>
      </c>
      <c r="B368" s="74" t="inlineStr">
        <is>
          <t>5.8.87</t>
        </is>
      </c>
      <c r="C368" s="38" t="inlineStr">
        <is>
          <t>Теплоизоляция фольгированныи, б=0.05м</t>
        </is>
      </c>
      <c r="D368" s="39" t="inlineStr">
        <is>
          <t>м2</t>
        </is>
      </c>
      <c r="E368" s="81" t="n">
        <v>10.5</v>
      </c>
      <c r="F368" s="146" t="n">
        <v>2900</v>
      </c>
      <c r="G368" s="146" t="n">
        <v>30450</v>
      </c>
      <c r="H368" t="inlineStr">
        <is>
          <t>ФЕР-2020 × 0.75</t>
        </is>
      </c>
    </row>
    <row r="369" ht="14.4" customFormat="1" customHeight="1" s="5">
      <c r="A369" s="85" t="inlineStr">
        <is>
          <t>5 этап</t>
        </is>
      </c>
      <c r="B369" s="74" t="inlineStr">
        <is>
          <t>5.8.88</t>
        </is>
      </c>
      <c r="C369" s="38" t="inlineStr">
        <is>
          <t>Канальныи вентилятор, .=0.8  к8т</t>
        </is>
      </c>
      <c r="D369" s="80" t="inlineStr">
        <is>
          <t>шт</t>
        </is>
      </c>
      <c r="E369" s="81" t="n">
        <v>1</v>
      </c>
      <c r="F369" s="146" t="n">
        <v>5000</v>
      </c>
      <c r="G369" s="146" t="n">
        <v>5000</v>
      </c>
      <c r="H369" t="inlineStr">
        <is>
          <t>Экспертная оценка</t>
        </is>
      </c>
    </row>
    <row r="370" ht="14.4" customFormat="1" customHeight="1" s="5">
      <c r="A370" s="85" t="inlineStr">
        <is>
          <t>5 этап</t>
        </is>
      </c>
      <c r="B370" s="74" t="inlineStr">
        <is>
          <t>5.8.89</t>
        </is>
      </c>
      <c r="C370" s="38" t="inlineStr">
        <is>
          <t>Шумоглушитель L=900</t>
        </is>
      </c>
      <c r="D370" s="80" t="inlineStr">
        <is>
          <t>шт</t>
        </is>
      </c>
      <c r="E370" s="81" t="n">
        <v>1</v>
      </c>
      <c r="F370" s="146" t="n">
        <v>5000</v>
      </c>
      <c r="G370" s="146" t="n">
        <v>5000</v>
      </c>
      <c r="H370" t="inlineStr">
        <is>
          <t>Экспертная оценка</t>
        </is>
      </c>
    </row>
    <row r="371" ht="14.4" customFormat="1" customHeight="1" s="5">
      <c r="A371" s="85" t="inlineStr">
        <is>
          <t>5 этап</t>
        </is>
      </c>
      <c r="B371" s="74" t="inlineStr">
        <is>
          <t>5.8.90</t>
        </is>
      </c>
      <c r="C371" s="38" t="inlineStr">
        <is>
          <t>Клапан обратный</t>
        </is>
      </c>
      <c r="D371" s="80" t="inlineStr">
        <is>
          <t>шт</t>
        </is>
      </c>
      <c r="E371" s="81" t="n">
        <v>1</v>
      </c>
      <c r="F371" s="146" t="n">
        <v>5000</v>
      </c>
      <c r="G371" s="146" t="n">
        <v>5000</v>
      </c>
      <c r="H371" t="inlineStr">
        <is>
          <t>Экспертная оценка</t>
        </is>
      </c>
    </row>
    <row r="372" ht="14.4" customFormat="1" customHeight="1" s="5">
      <c r="A372" s="85" t="inlineStr">
        <is>
          <t>5 этап</t>
        </is>
      </c>
      <c r="B372" s="74" t="inlineStr">
        <is>
          <t>5.8.91</t>
        </is>
      </c>
      <c r="C372" s="38" t="inlineStr">
        <is>
          <t>Решетка вентиляционная</t>
        </is>
      </c>
      <c r="D372" s="80" t="inlineStr">
        <is>
          <t>шт</t>
        </is>
      </c>
      <c r="E372" s="81" t="n">
        <v>6</v>
      </c>
      <c r="F372" s="146" t="n">
        <v>5000</v>
      </c>
      <c r="G372" s="146" t="n">
        <v>30000</v>
      </c>
      <c r="H372" t="inlineStr">
        <is>
          <t>ФЕР-2020 × 0.75</t>
        </is>
      </c>
    </row>
    <row r="373" ht="14.4" customFormat="1" customHeight="1" s="5">
      <c r="A373" s="85" t="inlineStr">
        <is>
          <t>5 этап</t>
        </is>
      </c>
      <c r="B373" s="74" t="inlineStr">
        <is>
          <t>5.8.92</t>
        </is>
      </c>
      <c r="C373" s="38" t="inlineStr">
        <is>
          <t>Наружныи вентиляционныи зонт составнои</t>
        </is>
      </c>
      <c r="D373" s="80" t="inlineStr">
        <is>
          <t>шт</t>
        </is>
      </c>
      <c r="E373" s="81" t="n">
        <v>1</v>
      </c>
      <c r="F373" s="146" t="n">
        <v>5000</v>
      </c>
      <c r="G373" s="146" t="n">
        <v>5000</v>
      </c>
      <c r="H373" t="inlineStr">
        <is>
          <t>ФЕР-2020 × 0.75</t>
        </is>
      </c>
    </row>
    <row r="374" ht="27.6" customFormat="1" customHeight="1" s="5">
      <c r="A374" s="85" t="inlineStr">
        <is>
          <t>5 этап</t>
        </is>
      </c>
      <c r="B374" s="74" t="inlineStr">
        <is>
          <t>5.8.93</t>
        </is>
      </c>
      <c r="C374" s="38" t="inlineStr">
        <is>
          <t>Воздуховод из тонколистовои оцинкованнои стали б=0.5 мм, 200х100</t>
        </is>
      </c>
      <c r="D374" s="80" t="inlineStr">
        <is>
          <t>мп</t>
        </is>
      </c>
      <c r="E374" s="81" t="n">
        <v>3</v>
      </c>
      <c r="F374" s="146" t="n">
        <v>5000</v>
      </c>
      <c r="G374" s="146" t="n">
        <v>15000</v>
      </c>
      <c r="H374" t="inlineStr">
        <is>
          <t>ФЕР-2020 × 0.75</t>
        </is>
      </c>
    </row>
    <row r="375" ht="27.6" customFormat="1" customHeight="1" s="5">
      <c r="A375" s="85" t="inlineStr">
        <is>
          <t>5 этап</t>
        </is>
      </c>
      <c r="B375" s="74" t="inlineStr">
        <is>
          <t>5.8.94</t>
        </is>
      </c>
      <c r="C375" s="38" t="inlineStr">
        <is>
          <t>Воздуховод из тонколистовои оцинкованнои стали б=0.5 мм, 200х150</t>
        </is>
      </c>
      <c r="D375" s="80" t="inlineStr">
        <is>
          <t>мп</t>
        </is>
      </c>
      <c r="E375" s="81" t="n">
        <v>10</v>
      </c>
      <c r="F375" s="146" t="n">
        <v>5000</v>
      </c>
      <c r="G375" s="146" t="n">
        <v>50000</v>
      </c>
      <c r="H375" t="inlineStr">
        <is>
          <t>ФЕР-2020 × 0.75</t>
        </is>
      </c>
    </row>
    <row r="376" ht="14.4" customFormat="1" customHeight="1" s="5">
      <c r="A376" s="85" t="inlineStr">
        <is>
          <t>5 этап</t>
        </is>
      </c>
      <c r="B376" s="74" t="inlineStr">
        <is>
          <t>5.8.95</t>
        </is>
      </c>
      <c r="C376" s="38" t="inlineStr">
        <is>
          <t>Теплоизоляция фольгированныи, б=0.05м</t>
        </is>
      </c>
      <c r="D376" s="39" t="inlineStr">
        <is>
          <t>м2</t>
        </is>
      </c>
      <c r="E376" s="81" t="n">
        <v>6.1</v>
      </c>
      <c r="F376" s="146" t="n">
        <v>2900</v>
      </c>
      <c r="G376" s="146" t="n">
        <v>17690</v>
      </c>
      <c r="H376" t="inlineStr">
        <is>
          <t>ФЕР-2020 × 0.75</t>
        </is>
      </c>
    </row>
    <row r="377" ht="14.4" customFormat="1" customHeight="1" s="5">
      <c r="A377" s="85" t="inlineStr">
        <is>
          <t>5 этап</t>
        </is>
      </c>
      <c r="B377" s="74" t="inlineStr">
        <is>
          <t>5.8.96</t>
        </is>
      </c>
      <c r="C377" s="38" t="inlineStr">
        <is>
          <t>Канальныи вентилятор .   87 кВт</t>
        </is>
      </c>
      <c r="D377" s="80" t="inlineStr">
        <is>
          <t>шт</t>
        </is>
      </c>
      <c r="E377" s="81" t="n">
        <v>1</v>
      </c>
      <c r="F377" s="146" t="n">
        <v>5000</v>
      </c>
      <c r="G377" s="146" t="n">
        <v>5000</v>
      </c>
      <c r="H377" t="inlineStr">
        <is>
          <t>Экспертная оценка</t>
        </is>
      </c>
    </row>
    <row r="378" ht="14.4" customFormat="1" customHeight="1" s="5">
      <c r="A378" s="85" t="inlineStr">
        <is>
          <t>5 этап</t>
        </is>
      </c>
      <c r="B378" s="74" t="inlineStr">
        <is>
          <t>5.8.97</t>
        </is>
      </c>
      <c r="C378" s="38" t="inlineStr">
        <is>
          <t>Шумоглушитель L=900</t>
        </is>
      </c>
      <c r="D378" s="80" t="inlineStr">
        <is>
          <t>шт</t>
        </is>
      </c>
      <c r="E378" s="81" t="n">
        <v>1</v>
      </c>
      <c r="F378" s="146" t="n">
        <v>5000</v>
      </c>
      <c r="G378" s="146" t="n">
        <v>5000</v>
      </c>
      <c r="H378" t="inlineStr">
        <is>
          <t>Экспертная оценка</t>
        </is>
      </c>
    </row>
    <row r="379" ht="14.4" customFormat="1" customHeight="1" s="5">
      <c r="A379" s="85" t="inlineStr">
        <is>
          <t>5 этап</t>
        </is>
      </c>
      <c r="B379" s="74" t="inlineStr">
        <is>
          <t>5.8.98</t>
        </is>
      </c>
      <c r="C379" s="38" t="inlineStr">
        <is>
          <t>Клапан обратный</t>
        </is>
      </c>
      <c r="D379" s="80" t="inlineStr">
        <is>
          <t>шт</t>
        </is>
      </c>
      <c r="E379" s="81" t="n">
        <v>1</v>
      </c>
      <c r="F379" s="146" t="n">
        <v>5000</v>
      </c>
      <c r="G379" s="146" t="n">
        <v>5000</v>
      </c>
      <c r="H379" t="inlineStr">
        <is>
          <t>Экспертная оценка</t>
        </is>
      </c>
    </row>
    <row r="380" ht="14.4" customFormat="1" customHeight="1" s="5">
      <c r="A380" s="85" t="inlineStr">
        <is>
          <t>5 этап</t>
        </is>
      </c>
      <c r="B380" s="74" t="inlineStr">
        <is>
          <t>5.8.99</t>
        </is>
      </c>
      <c r="C380" s="38" t="inlineStr">
        <is>
          <t>Решетка вентиляционная</t>
        </is>
      </c>
      <c r="D380" s="80" t="inlineStr">
        <is>
          <t>шт</t>
        </is>
      </c>
      <c r="E380" s="81" t="n">
        <v>5</v>
      </c>
      <c r="F380" s="146" t="n">
        <v>5000</v>
      </c>
      <c r="G380" s="146" t="n">
        <v>25000</v>
      </c>
      <c r="H380" t="inlineStr">
        <is>
          <t>ФЕР-2020 × 0.75</t>
        </is>
      </c>
    </row>
    <row r="381" ht="14.4" customFormat="1" customHeight="1" s="5">
      <c r="A381" s="85" t="inlineStr">
        <is>
          <t>5 этап</t>
        </is>
      </c>
      <c r="B381" s="74" t="inlineStr">
        <is>
          <t>5.8.100</t>
        </is>
      </c>
      <c r="C381" s="38" t="inlineStr">
        <is>
          <t>Наружныи вентиляционныи зонт составнои</t>
        </is>
      </c>
      <c r="D381" s="80" t="inlineStr">
        <is>
          <t>шт</t>
        </is>
      </c>
      <c r="E381" s="81" t="n">
        <v>1</v>
      </c>
      <c r="F381" s="146" t="n">
        <v>5000</v>
      </c>
      <c r="G381" s="146" t="n">
        <v>5000</v>
      </c>
      <c r="H381" t="inlineStr">
        <is>
          <t>ФЕР-2020 × 0.75</t>
        </is>
      </c>
    </row>
    <row r="382" ht="27.6" customFormat="1" customHeight="1" s="5">
      <c r="A382" s="85" t="inlineStr">
        <is>
          <t>5 этап</t>
        </is>
      </c>
      <c r="B382" s="74" t="inlineStr">
        <is>
          <t>5.8.101</t>
        </is>
      </c>
      <c r="C382" s="38" t="inlineStr">
        <is>
          <t>Воздуховод из тонколистовои оцинкованнои стали б=0.5 мм, 400х200</t>
        </is>
      </c>
      <c r="D382" s="80" t="inlineStr">
        <is>
          <t>мп</t>
        </is>
      </c>
      <c r="E382" s="81" t="n">
        <v>10</v>
      </c>
      <c r="F382" s="146" t="n">
        <v>5000</v>
      </c>
      <c r="G382" s="146" t="n">
        <v>50000</v>
      </c>
      <c r="H382" t="inlineStr">
        <is>
          <t>ФЕР-2020 × 0.75</t>
        </is>
      </c>
    </row>
    <row r="383" ht="27.6" customFormat="1" customHeight="1" s="5">
      <c r="A383" s="85" t="inlineStr">
        <is>
          <t>5 этап</t>
        </is>
      </c>
      <c r="B383" s="74" t="inlineStr">
        <is>
          <t>5.8.102</t>
        </is>
      </c>
      <c r="C383" s="38" t="inlineStr">
        <is>
          <t>Воздуховод из тонколистовои оцинкованнои стали б=0.5 мм, 400х300</t>
        </is>
      </c>
      <c r="D383" s="80" t="inlineStr">
        <is>
          <t>мп</t>
        </is>
      </c>
      <c r="E383" s="81" t="n">
        <v>11</v>
      </c>
      <c r="F383" s="146" t="n">
        <v>5000</v>
      </c>
      <c r="G383" s="146" t="n">
        <v>55000</v>
      </c>
      <c r="H383" t="inlineStr">
        <is>
          <t>ФЕР-2020 × 0.75</t>
        </is>
      </c>
    </row>
    <row r="384" ht="27.6" customFormat="1" customHeight="1" s="5">
      <c r="A384" s="85" t="inlineStr">
        <is>
          <t>5 этап</t>
        </is>
      </c>
      <c r="B384" s="74" t="inlineStr">
        <is>
          <t>5.8.103</t>
        </is>
      </c>
      <c r="C384" s="38" t="inlineStr">
        <is>
          <t>Воздуховод из тонколистовои оцинкованнои стали б=0.5 мм, 500х300</t>
        </is>
      </c>
      <c r="D384" s="80" t="inlineStr">
        <is>
          <t>мп</t>
        </is>
      </c>
      <c r="E384" s="81" t="n">
        <v>18</v>
      </c>
      <c r="F384" s="146" t="n">
        <v>5000</v>
      </c>
      <c r="G384" s="146" t="n">
        <v>90000</v>
      </c>
      <c r="H384" t="inlineStr">
        <is>
          <t>ФЕР-2020 × 0.75</t>
        </is>
      </c>
    </row>
    <row r="385" ht="14.4" customFormat="1" customHeight="1" s="5">
      <c r="A385" s="85" t="inlineStr">
        <is>
          <t>5 этап</t>
        </is>
      </c>
      <c r="B385" s="74" t="inlineStr">
        <is>
          <t>5.8.104</t>
        </is>
      </c>
      <c r="C385" s="38" t="inlineStr">
        <is>
          <t>Теплоизоляция фольгированныи, б=0.05м</t>
        </is>
      </c>
      <c r="D385" s="39" t="inlineStr">
        <is>
          <t>м2</t>
        </is>
      </c>
      <c r="E385" s="81" t="n">
        <v>4.8</v>
      </c>
      <c r="F385" s="146" t="n">
        <v>2900</v>
      </c>
      <c r="G385" s="146" t="n">
        <v>13920</v>
      </c>
      <c r="H385" t="inlineStr">
        <is>
          <t>ФЕР-2020 × 0.75</t>
        </is>
      </c>
    </row>
    <row r="386" ht="14.4" customFormat="1" customHeight="1" s="5">
      <c r="A386" s="85" t="inlineStr">
        <is>
          <t>5 этап</t>
        </is>
      </c>
      <c r="B386" s="74" t="inlineStr">
        <is>
          <t>5.8.105</t>
        </is>
      </c>
      <c r="C386" s="38" t="inlineStr">
        <is>
          <t>Канальныи вентилятор .   87 кВт</t>
        </is>
      </c>
      <c r="D386" s="39" t="inlineStr">
        <is>
          <t>шт</t>
        </is>
      </c>
      <c r="E386" s="92" t="n">
        <v>1</v>
      </c>
      <c r="F386" s="146" t="n">
        <v>5000</v>
      </c>
      <c r="G386" s="146" t="n">
        <v>5000</v>
      </c>
      <c r="H386" t="inlineStr">
        <is>
          <t>Экспертная оценка</t>
        </is>
      </c>
    </row>
    <row r="387" ht="14.4" customFormat="1" customHeight="1" s="5">
      <c r="A387" s="85" t="inlineStr">
        <is>
          <t>5 этап</t>
        </is>
      </c>
      <c r="B387" s="74" t="inlineStr">
        <is>
          <t>5.8.106</t>
        </is>
      </c>
      <c r="C387" s="38" t="inlineStr">
        <is>
          <t>Шумоглушитель L=900</t>
        </is>
      </c>
      <c r="D387" s="39" t="inlineStr">
        <is>
          <t>шт</t>
        </is>
      </c>
      <c r="E387" s="92" t="n">
        <v>1</v>
      </c>
      <c r="F387" s="146" t="n">
        <v>5000</v>
      </c>
      <c r="G387" s="146" t="n">
        <v>5000</v>
      </c>
      <c r="H387" t="inlineStr">
        <is>
          <t>Экспертная оценка</t>
        </is>
      </c>
    </row>
    <row r="388" ht="14.4" customFormat="1" customHeight="1" s="5">
      <c r="A388" s="85" t="inlineStr">
        <is>
          <t>5 этап</t>
        </is>
      </c>
      <c r="B388" s="74" t="inlineStr">
        <is>
          <t>5.8.107</t>
        </is>
      </c>
      <c r="C388" s="38" t="inlineStr">
        <is>
          <t>Клапан обратный</t>
        </is>
      </c>
      <c r="D388" s="39" t="inlineStr">
        <is>
          <t>шт</t>
        </is>
      </c>
      <c r="E388" s="92" t="n">
        <v>1</v>
      </c>
      <c r="F388" s="146" t="n">
        <v>5000</v>
      </c>
      <c r="G388" s="146" t="n">
        <v>5000</v>
      </c>
      <c r="H388" t="inlineStr">
        <is>
          <t>Экспертная оценка</t>
        </is>
      </c>
    </row>
    <row r="389" ht="14.4" customFormat="1" customHeight="1" s="5">
      <c r="A389" s="85" t="inlineStr">
        <is>
          <t>5 этап</t>
        </is>
      </c>
      <c r="B389" s="74" t="inlineStr">
        <is>
          <t>5.8.108</t>
        </is>
      </c>
      <c r="C389" s="38" t="inlineStr">
        <is>
          <t>Решетка вентиляционная</t>
        </is>
      </c>
      <c r="D389" s="39" t="inlineStr">
        <is>
          <t>шт</t>
        </is>
      </c>
      <c r="E389" s="92" t="n">
        <v>5</v>
      </c>
      <c r="F389" s="146" t="n">
        <v>5000</v>
      </c>
      <c r="G389" s="146" t="n">
        <v>25000</v>
      </c>
      <c r="H389" t="inlineStr">
        <is>
          <t>ФЕР-2020 × 0.75</t>
        </is>
      </c>
    </row>
    <row r="390" ht="14.4" customFormat="1" customHeight="1" s="5">
      <c r="A390" s="85" t="inlineStr">
        <is>
          <t>5 этап</t>
        </is>
      </c>
      <c r="B390" s="74" t="inlineStr">
        <is>
          <t>5.8.109</t>
        </is>
      </c>
      <c r="C390" s="38" t="inlineStr">
        <is>
          <t>Наружныи вентиляционныи зонт составнои</t>
        </is>
      </c>
      <c r="D390" s="39" t="inlineStr">
        <is>
          <t>шт</t>
        </is>
      </c>
      <c r="E390" s="92" t="n">
        <v>1</v>
      </c>
      <c r="F390" s="146" t="n">
        <v>5000</v>
      </c>
      <c r="G390" s="146" t="n">
        <v>5000</v>
      </c>
      <c r="H390" t="inlineStr">
        <is>
          <t>ФЕР-2020 × 0.75</t>
        </is>
      </c>
    </row>
    <row r="391" ht="27.6" customFormat="1" customHeight="1" s="5">
      <c r="A391" s="85" t="inlineStr">
        <is>
          <t>5 этап</t>
        </is>
      </c>
      <c r="B391" s="74" t="inlineStr">
        <is>
          <t>5.8.110</t>
        </is>
      </c>
      <c r="C391" s="38" t="inlineStr">
        <is>
          <t>Воздуховод из тонколистовои оцинкованнои стали б=0.5 мм, 400х200</t>
        </is>
      </c>
      <c r="D391" s="39" t="inlineStr">
        <is>
          <t>м. пог</t>
        </is>
      </c>
      <c r="E391" s="92" t="n">
        <v>6</v>
      </c>
      <c r="F391" s="146" t="n">
        <v>5000</v>
      </c>
      <c r="G391" s="146" t="n">
        <v>30000</v>
      </c>
      <c r="H391" t="inlineStr">
        <is>
          <t>ФЕР-2020 × 0.75</t>
        </is>
      </c>
    </row>
    <row r="392" ht="27.6" customFormat="1" customHeight="1" s="5">
      <c r="A392" s="85" t="inlineStr">
        <is>
          <t>5 этап</t>
        </is>
      </c>
      <c r="B392" s="74" t="inlineStr">
        <is>
          <t>5.8.111</t>
        </is>
      </c>
      <c r="C392" s="38" t="inlineStr">
        <is>
          <t>Воздуховод из тонколистовои оцинкованнои стали б=0.5 мм, 400х300</t>
        </is>
      </c>
      <c r="D392" s="39" t="inlineStr">
        <is>
          <t>м. пог</t>
        </is>
      </c>
      <c r="E392" s="92" t="n">
        <v>7</v>
      </c>
      <c r="F392" s="146" t="n">
        <v>5000</v>
      </c>
      <c r="G392" s="146" t="n">
        <v>35000</v>
      </c>
      <c r="H392" t="inlineStr">
        <is>
          <t>ФЕР-2020 × 0.75</t>
        </is>
      </c>
    </row>
    <row r="393" ht="27.6" customFormat="1" customHeight="1" s="5">
      <c r="A393" s="85" t="inlineStr">
        <is>
          <t>5 этап</t>
        </is>
      </c>
      <c r="B393" s="74" t="inlineStr">
        <is>
          <t>5.8.112</t>
        </is>
      </c>
      <c r="C393" s="38" t="inlineStr">
        <is>
          <t>Воздуховод из тонколистовои оцинкованнои стали б=0.5 мм, 500х300</t>
        </is>
      </c>
      <c r="D393" s="39" t="inlineStr">
        <is>
          <t>м. пог</t>
        </is>
      </c>
      <c r="E393" s="92" t="n">
        <v>7</v>
      </c>
      <c r="F393" s="146" t="n">
        <v>5000</v>
      </c>
      <c r="G393" s="146" t="n">
        <v>35000</v>
      </c>
      <c r="H393" t="inlineStr">
        <is>
          <t>ФЕР-2020 × 0.75</t>
        </is>
      </c>
    </row>
    <row r="394" ht="14.4" customFormat="1" customHeight="1" s="5">
      <c r="A394" s="85" t="inlineStr">
        <is>
          <t>5 этап</t>
        </is>
      </c>
      <c r="B394" s="74" t="inlineStr">
        <is>
          <t>5.8.113</t>
        </is>
      </c>
      <c r="C394" s="38" t="inlineStr">
        <is>
          <t>Теплоизоляция фольгированныи, б=0.05м</t>
        </is>
      </c>
      <c r="D394" s="39" t="inlineStr">
        <is>
          <t>м2</t>
        </is>
      </c>
      <c r="E394" s="92" t="n">
        <v>4.8</v>
      </c>
      <c r="F394" s="146" t="n">
        <v>2900</v>
      </c>
      <c r="G394" s="146" t="n">
        <v>13920</v>
      </c>
      <c r="H394" t="inlineStr">
        <is>
          <t>ФЕР-2020 × 0.75</t>
        </is>
      </c>
    </row>
    <row r="395" ht="14.4" customFormat="1" customHeight="1" s="5">
      <c r="A395" s="85" t="inlineStr">
        <is>
          <t>5 этап</t>
        </is>
      </c>
      <c r="B395" s="74" t="inlineStr">
        <is>
          <t>5.8.114</t>
        </is>
      </c>
      <c r="C395" s="38" t="inlineStr">
        <is>
          <t>Сплит-система 2.34 кВт</t>
        </is>
      </c>
      <c r="D395" s="39" t="inlineStr">
        <is>
          <t>шт</t>
        </is>
      </c>
      <c r="E395" s="84" t="n">
        <v>1</v>
      </c>
      <c r="F395" s="146" t="n">
        <v>5000</v>
      </c>
      <c r="G395" s="146" t="n">
        <v>5000</v>
      </c>
      <c r="H395" t="inlineStr">
        <is>
          <t>Экспертная оценка</t>
        </is>
      </c>
    </row>
    <row r="396" ht="13.8" customFormat="1" customHeight="1" s="5">
      <c r="A396" s="49" t="inlineStr">
        <is>
          <t>5 этап</t>
        </is>
      </c>
      <c r="B396" s="50" t="inlineStr">
        <is>
          <t>5.9</t>
        </is>
      </c>
      <c r="C396" s="28" t="inlineStr">
        <is>
          <t>Электроснабжение Общежитие</t>
        </is>
      </c>
      <c r="D396" s="54" t="inlineStr">
        <is>
          <t>компл.</t>
        </is>
      </c>
      <c r="E396" s="154" t="n">
        <v>1</v>
      </c>
      <c r="F396" s="146" t="n">
        <v>1600</v>
      </c>
      <c r="G396" s="146" t="n">
        <v>1600</v>
      </c>
      <c r="H396" t="inlineStr">
        <is>
          <t>ФЕР-2020 × 0.75</t>
        </is>
      </c>
    </row>
    <row r="397" ht="13.8" customFormat="1" customHeight="1" s="5">
      <c r="A397" s="85" t="inlineStr">
        <is>
          <t>5 этап</t>
        </is>
      </c>
      <c r="B397" s="96" t="inlineStr">
        <is>
          <t>5.9.1</t>
        </is>
      </c>
      <c r="C397" s="35" t="inlineStr">
        <is>
          <t>ВРУ 1</t>
        </is>
      </c>
      <c r="D397" s="39" t="inlineStr">
        <is>
          <t>шт</t>
        </is>
      </c>
      <c r="E397" s="84" t="n">
        <v>1</v>
      </c>
      <c r="F397" s="146" t="n">
        <v>5000</v>
      </c>
      <c r="G397" s="146" t="n">
        <v>5000</v>
      </c>
      <c r="H397" t="inlineStr">
        <is>
          <t>Экспертная оценка</t>
        </is>
      </c>
    </row>
    <row r="398" ht="13.8" customFormat="1" customHeight="1" s="5">
      <c r="A398" s="85" t="inlineStr">
        <is>
          <t>5 этап</t>
        </is>
      </c>
      <c r="B398" s="96" t="inlineStr">
        <is>
          <t>5.9.2</t>
        </is>
      </c>
      <c r="C398" s="35" t="inlineStr">
        <is>
          <t>ШР1-ЩЗ6, ЩВ1-ЩВ4</t>
        </is>
      </c>
      <c r="D398" s="39" t="inlineStr">
        <is>
          <t>шт</t>
        </is>
      </c>
      <c r="E398" s="84" t="n">
        <v>10</v>
      </c>
      <c r="F398" s="146" t="n">
        <v>5000</v>
      </c>
      <c r="G398" s="146" t="n">
        <v>50000</v>
      </c>
      <c r="H398" t="inlineStr">
        <is>
          <t>Экспертная оценка</t>
        </is>
      </c>
    </row>
    <row r="399" ht="13.8" customFormat="1" customHeight="1" s="5">
      <c r="A399" s="85" t="inlineStr">
        <is>
          <t>5 этап</t>
        </is>
      </c>
      <c r="B399" s="96" t="inlineStr">
        <is>
          <t>5.9.3</t>
        </is>
      </c>
      <c r="C399" s="35" t="inlineStr">
        <is>
          <t>ИБП</t>
        </is>
      </c>
      <c r="D399" s="39" t="inlineStr">
        <is>
          <t>шт</t>
        </is>
      </c>
      <c r="E399" s="84" t="n">
        <v>3</v>
      </c>
      <c r="F399" s="146" t="n">
        <v>5000</v>
      </c>
      <c r="G399" s="146" t="n">
        <v>15000</v>
      </c>
      <c r="H399" t="inlineStr">
        <is>
          <t>Экспертная оценка</t>
        </is>
      </c>
    </row>
    <row r="400" ht="13.8" customFormat="1" customHeight="1" s="5">
      <c r="A400" s="85" t="inlineStr">
        <is>
          <t>5 этап</t>
        </is>
      </c>
      <c r="B400" s="96" t="inlineStr">
        <is>
          <t>5.9.4</t>
        </is>
      </c>
      <c r="C400" s="35" t="inlineStr">
        <is>
          <t>ЩАО</t>
        </is>
      </c>
      <c r="D400" s="39" t="inlineStr">
        <is>
          <t>шт</t>
        </is>
      </c>
      <c r="E400" s="84" t="n">
        <v>1</v>
      </c>
      <c r="F400" s="146" t="n">
        <v>5000</v>
      </c>
      <c r="G400" s="146" t="n">
        <v>5000</v>
      </c>
      <c r="H400" t="inlineStr">
        <is>
          <t>Экспертная оценка</t>
        </is>
      </c>
    </row>
    <row r="401" ht="13.8" customFormat="1" customHeight="1" s="5">
      <c r="A401" s="85" t="inlineStr">
        <is>
          <t>5 этап</t>
        </is>
      </c>
      <c r="B401" s="96" t="inlineStr">
        <is>
          <t>5.9.5</t>
        </is>
      </c>
      <c r="C401" s="35" t="inlineStr">
        <is>
          <t>Выключатель внутриный установки, одноклавишный, ном. ток 10А, (IP20).</t>
        </is>
      </c>
      <c r="D401" s="39" t="inlineStr">
        <is>
          <t>шт</t>
        </is>
      </c>
      <c r="E401" s="84" t="n">
        <v>110</v>
      </c>
      <c r="F401" s="146" t="n">
        <v>5000</v>
      </c>
      <c r="G401" s="146" t="n">
        <v>550000</v>
      </c>
      <c r="H401" t="inlineStr">
        <is>
          <t>Экспертная оценка</t>
        </is>
      </c>
    </row>
    <row r="402" ht="13.8" customFormat="1" customHeight="1" s="5">
      <c r="A402" s="85" t="inlineStr">
        <is>
          <t>5 этап</t>
        </is>
      </c>
      <c r="B402" s="96" t="inlineStr">
        <is>
          <t>5.9.6</t>
        </is>
      </c>
      <c r="C402" s="35" t="inlineStr">
        <is>
          <t>Выключатель внутриный установки, двухклавишный, ном. ток 10А, (IP20).</t>
        </is>
      </c>
      <c r="D402" s="39" t="inlineStr">
        <is>
          <t>шт</t>
        </is>
      </c>
      <c r="E402" s="84" t="n">
        <v>95</v>
      </c>
      <c r="F402" s="146" t="n">
        <v>5000</v>
      </c>
      <c r="G402" s="146" t="n">
        <v>475000</v>
      </c>
      <c r="H402" t="inlineStr">
        <is>
          <t>Экспертная оценка</t>
        </is>
      </c>
    </row>
    <row r="403" ht="13.8" customFormat="1" customHeight="1" s="5">
      <c r="A403" s="85" t="inlineStr">
        <is>
          <t>5 этап</t>
        </is>
      </c>
      <c r="B403" s="96" t="inlineStr">
        <is>
          <t>5.9.7</t>
        </is>
      </c>
      <c r="C403" s="35" t="inlineStr">
        <is>
          <t>Розетки внутренняя двухместная с заземляющим контактом</t>
        </is>
      </c>
      <c r="D403" s="39" t="inlineStr">
        <is>
          <t>шт</t>
        </is>
      </c>
      <c r="E403" s="84" t="n">
        <v>252</v>
      </c>
      <c r="F403" s="146" t="n">
        <v>5000</v>
      </c>
      <c r="G403" s="146" t="n">
        <v>1260000</v>
      </c>
      <c r="H403" t="inlineStr">
        <is>
          <t>Экспертная оценка</t>
        </is>
      </c>
    </row>
    <row r="404" ht="13.8" customFormat="1" customHeight="1" s="5">
      <c r="A404" s="85" t="inlineStr">
        <is>
          <t>5 этап</t>
        </is>
      </c>
      <c r="B404" s="96" t="inlineStr">
        <is>
          <t>5.9.8</t>
        </is>
      </c>
      <c r="C404" s="35" t="inlineStr">
        <is>
          <t>Розетки внутренняя одноместная с заземляющим контактом</t>
        </is>
      </c>
      <c r="D404" s="39" t="inlineStr">
        <is>
          <t>шт</t>
        </is>
      </c>
      <c r="E404" s="84" t="n">
        <v>6</v>
      </c>
      <c r="F404" s="146" t="n">
        <v>5000</v>
      </c>
      <c r="G404" s="146" t="n">
        <v>30000</v>
      </c>
      <c r="H404" t="inlineStr">
        <is>
          <t>Экспертная оценка</t>
        </is>
      </c>
    </row>
    <row r="405" ht="13.8" customFormat="1" customHeight="1" s="5">
      <c r="A405" s="85" t="inlineStr">
        <is>
          <t>5 этап</t>
        </is>
      </c>
      <c r="B405" s="96" t="inlineStr">
        <is>
          <t>5.9.9</t>
        </is>
      </c>
      <c r="C405" s="35" t="inlineStr">
        <is>
          <t>Светильник потолочный, на 1 лампу с цоколем Е 27, IP4460Вт</t>
        </is>
      </c>
      <c r="D405" s="39" t="inlineStr">
        <is>
          <t>шт</t>
        </is>
      </c>
      <c r="E405" s="84" t="n">
        <v>105</v>
      </c>
      <c r="F405" s="146" t="n">
        <v>5000</v>
      </c>
      <c r="G405" s="146" t="n">
        <v>525000</v>
      </c>
      <c r="H405" t="inlineStr">
        <is>
          <t>Экспертная оценка</t>
        </is>
      </c>
    </row>
    <row r="406" ht="13.8" customFormat="1" customHeight="1" s="5">
      <c r="A406" s="85" t="inlineStr">
        <is>
          <t>5 этап</t>
        </is>
      </c>
      <c r="B406" s="96" t="inlineStr">
        <is>
          <t>5.9.10</t>
        </is>
      </c>
      <c r="C406" s="35" t="inlineStr">
        <is>
          <t>Светильник потолочный,светодиодный мощностью 33Вт</t>
        </is>
      </c>
      <c r="D406" s="39" t="inlineStr">
        <is>
          <t>шт</t>
        </is>
      </c>
      <c r="E406" s="84" t="n">
        <v>160</v>
      </c>
      <c r="F406" s="146" t="n">
        <v>5000</v>
      </c>
      <c r="G406" s="146" t="n">
        <v>800000</v>
      </c>
      <c r="H406" t="inlineStr">
        <is>
          <t>Экспертная оценка</t>
        </is>
      </c>
    </row>
    <row r="407" ht="13.8" customFormat="1" customHeight="1" s="5">
      <c r="A407" s="85" t="inlineStr">
        <is>
          <t>5 этап</t>
        </is>
      </c>
      <c r="B407" s="96" t="inlineStr">
        <is>
          <t>5.9.11</t>
        </is>
      </c>
      <c r="C407" s="35" t="inlineStr">
        <is>
          <t>Светильник потолочный,светодиодныймощностью18Вт</t>
        </is>
      </c>
      <c r="D407" s="39" t="inlineStr">
        <is>
          <t>шт</t>
        </is>
      </c>
      <c r="E407" s="84" t="n">
        <v>50</v>
      </c>
      <c r="F407" s="146" t="n">
        <v>5000</v>
      </c>
      <c r="G407" s="146" t="n">
        <v>250000</v>
      </c>
      <c r="H407" t="inlineStr">
        <is>
          <t>Экспертная оценка</t>
        </is>
      </c>
    </row>
    <row r="408" ht="13.8" customFormat="1" customHeight="1" s="5">
      <c r="A408" s="85" t="inlineStr">
        <is>
          <t>5 этап</t>
        </is>
      </c>
      <c r="B408" s="96" t="inlineStr">
        <is>
          <t>5.9.12</t>
        </is>
      </c>
      <c r="C408" s="35" t="inlineStr">
        <is>
          <t>Датчики движения</t>
        </is>
      </c>
      <c r="D408" s="39" t="inlineStr">
        <is>
          <t>шт</t>
        </is>
      </c>
      <c r="E408" s="84" t="n">
        <v>50</v>
      </c>
      <c r="F408" s="146" t="n">
        <v>5000</v>
      </c>
      <c r="G408" s="146" t="n">
        <v>250000</v>
      </c>
      <c r="H408" t="inlineStr">
        <is>
          <t>Экспертная оценка</t>
        </is>
      </c>
    </row>
    <row r="409" ht="13.8" customFormat="1" customHeight="1" s="5">
      <c r="A409" s="85" t="inlineStr">
        <is>
          <t>5 этап</t>
        </is>
      </c>
      <c r="B409" s="96" t="inlineStr">
        <is>
          <t>5.9.13</t>
        </is>
      </c>
      <c r="C409" s="35" t="inlineStr">
        <is>
          <t>Распределительные коробки</t>
        </is>
      </c>
      <c r="D409" s="39" t="inlineStr">
        <is>
          <t>шт</t>
        </is>
      </c>
      <c r="E409" s="84" t="n">
        <v>185</v>
      </c>
      <c r="F409" s="146" t="n">
        <v>5000</v>
      </c>
      <c r="G409" s="146" t="n">
        <v>925000</v>
      </c>
      <c r="H409" t="inlineStr">
        <is>
          <t>Экспертная оценка</t>
        </is>
      </c>
    </row>
    <row r="410" ht="13.8" customFormat="1" customHeight="1" s="5">
      <c r="A410" s="85" t="inlineStr">
        <is>
          <t>5 этап</t>
        </is>
      </c>
      <c r="B410" s="96" t="inlineStr">
        <is>
          <t>5.9.14</t>
        </is>
      </c>
      <c r="C410" s="35" t="inlineStr">
        <is>
          <t>Соединение проводов</t>
        </is>
      </c>
      <c r="D410" s="39" t="inlineStr">
        <is>
          <t>уп</t>
        </is>
      </c>
      <c r="E410" s="84" t="n">
        <v>20</v>
      </c>
      <c r="F410" s="146" t="n">
        <v>10000</v>
      </c>
      <c r="G410" s="146" t="n">
        <v>200000</v>
      </c>
      <c r="H410" t="inlineStr">
        <is>
          <t>Экспертная оценка</t>
        </is>
      </c>
    </row>
    <row r="411" ht="13.8" customFormat="1" customHeight="1" s="5">
      <c r="A411" s="85" t="inlineStr">
        <is>
          <t>5 этап</t>
        </is>
      </c>
      <c r="B411" s="96" t="inlineStr">
        <is>
          <t>5.9.15</t>
        </is>
      </c>
      <c r="C411" s="35" t="inlineStr">
        <is>
          <t>Провод медный изолированный, ГОСТ 6323-79, сечением: 1 х4 мм2</t>
        </is>
      </c>
      <c r="D411" s="39" t="inlineStr">
        <is>
          <t>м. пог</t>
        </is>
      </c>
      <c r="E411" s="84" t="n">
        <v>50</v>
      </c>
      <c r="F411" s="146" t="n">
        <v>3500</v>
      </c>
      <c r="G411" s="146" t="n">
        <v>175000</v>
      </c>
      <c r="H411" t="inlineStr">
        <is>
          <t>Экспертная оценка</t>
        </is>
      </c>
    </row>
    <row r="412" ht="13.8" customFormat="1" customHeight="1" s="5">
      <c r="A412" s="85" t="inlineStr">
        <is>
          <t>5 этап</t>
        </is>
      </c>
      <c r="B412" s="96" t="inlineStr">
        <is>
          <t>5.9.16</t>
        </is>
      </c>
      <c r="C412" s="35" t="inlineStr">
        <is>
          <t>Кабель медный в двойной изоляции, ГОСТ 16442-80, сечением</t>
        </is>
      </c>
      <c r="D412" s="39" t="n"/>
      <c r="E412" s="84" t="n"/>
    </row>
    <row r="413" ht="13.8" customFormat="1" customHeight="1" s="5">
      <c r="A413" s="85" t="inlineStr">
        <is>
          <t>5 этап</t>
        </is>
      </c>
      <c r="B413" s="96" t="inlineStr">
        <is>
          <t>5.9.17</t>
        </is>
      </c>
      <c r="C413" s="35" t="inlineStr">
        <is>
          <t>5х16 мм2</t>
        </is>
      </c>
      <c r="D413" s="39" t="inlineStr">
        <is>
          <t>м. пог</t>
        </is>
      </c>
      <c r="E413" s="84" t="n">
        <v>50</v>
      </c>
      <c r="F413" s="146" t="n">
        <v>3500</v>
      </c>
      <c r="G413" s="146" t="n">
        <v>175000</v>
      </c>
      <c r="H413" t="inlineStr">
        <is>
          <t>Экспертная оценка</t>
        </is>
      </c>
    </row>
    <row r="414" ht="13.8" customFormat="1" customHeight="1" s="5">
      <c r="A414" s="85" t="inlineStr">
        <is>
          <t>5 этап</t>
        </is>
      </c>
      <c r="B414" s="96" t="inlineStr">
        <is>
          <t>5.9.18</t>
        </is>
      </c>
      <c r="C414" s="35" t="inlineStr">
        <is>
          <t>3х1.5 мм2</t>
        </is>
      </c>
      <c r="D414" s="39" t="inlineStr">
        <is>
          <t>м. пог</t>
        </is>
      </c>
      <c r="E414" s="84" t="n">
        <v>3200</v>
      </c>
      <c r="F414" s="146" t="n">
        <v>3500</v>
      </c>
      <c r="G414" s="146" t="n">
        <v>11200000</v>
      </c>
      <c r="H414" t="inlineStr">
        <is>
          <t>Экспертная оценка</t>
        </is>
      </c>
    </row>
    <row r="415" ht="13.8" customFormat="1" customHeight="1" s="5">
      <c r="A415" s="85" t="inlineStr">
        <is>
          <t>5 этап</t>
        </is>
      </c>
      <c r="B415" s="96" t="inlineStr">
        <is>
          <t>5.9.19</t>
        </is>
      </c>
      <c r="C415" s="35" t="inlineStr">
        <is>
          <t>3х2.5 мм2</t>
        </is>
      </c>
      <c r="D415" s="39" t="inlineStr">
        <is>
          <t>м. пог</t>
        </is>
      </c>
      <c r="E415" s="84" t="n">
        <v>3000</v>
      </c>
      <c r="F415" s="146" t="n">
        <v>3500</v>
      </c>
      <c r="G415" s="146" t="n">
        <v>10500000</v>
      </c>
      <c r="H415" t="inlineStr">
        <is>
          <t>Экспертная оценка</t>
        </is>
      </c>
    </row>
    <row r="416" ht="13.8" customFormat="1" customHeight="1" s="5">
      <c r="A416" s="85" t="inlineStr">
        <is>
          <t>5 этап</t>
        </is>
      </c>
      <c r="B416" s="96" t="inlineStr">
        <is>
          <t>5.9.20</t>
        </is>
      </c>
      <c r="C416" s="35" t="inlineStr">
        <is>
          <t>5х10 мм2</t>
        </is>
      </c>
      <c r="D416" s="39" t="inlineStr">
        <is>
          <t>м. пог</t>
        </is>
      </c>
      <c r="E416" s="84" t="n">
        <v>260</v>
      </c>
      <c r="F416" s="146" t="n">
        <v>3500</v>
      </c>
      <c r="G416" s="146" t="n">
        <v>910000</v>
      </c>
      <c r="H416" t="inlineStr">
        <is>
          <t>Экспертная оценка</t>
        </is>
      </c>
    </row>
    <row r="417" ht="13.8" customFormat="1" customHeight="1" s="5">
      <c r="A417" s="85" t="inlineStr">
        <is>
          <t>5 этап</t>
        </is>
      </c>
      <c r="B417" s="96" t="inlineStr">
        <is>
          <t>5.9.21</t>
        </is>
      </c>
      <c r="C417" s="35" t="inlineStr">
        <is>
          <t>3х4 мм2</t>
        </is>
      </c>
      <c r="D417" s="39" t="inlineStr">
        <is>
          <t>м. пог</t>
        </is>
      </c>
      <c r="E417" s="84" t="n">
        <v>10</v>
      </c>
      <c r="F417" s="146" t="n">
        <v>3500</v>
      </c>
      <c r="G417" s="146" t="n">
        <v>35000</v>
      </c>
      <c r="H417" t="inlineStr">
        <is>
          <t>Экспертная оценка</t>
        </is>
      </c>
    </row>
    <row r="418" ht="13.8" customFormat="1" customHeight="1" s="5">
      <c r="A418" s="85" t="inlineStr">
        <is>
          <t>5 этап</t>
        </is>
      </c>
      <c r="B418" s="96" t="inlineStr">
        <is>
          <t>5.9.22</t>
        </is>
      </c>
      <c r="C418" s="35" t="inlineStr">
        <is>
          <t>5х6 мм2</t>
        </is>
      </c>
      <c r="D418" s="39" t="inlineStr">
        <is>
          <t>м. пог</t>
        </is>
      </c>
      <c r="E418" s="84" t="n">
        <v>10</v>
      </c>
      <c r="F418" s="146" t="n">
        <v>3500</v>
      </c>
      <c r="G418" s="146" t="n">
        <v>35000</v>
      </c>
      <c r="H418" t="inlineStr">
        <is>
          <t>Экспертная оценка</t>
        </is>
      </c>
    </row>
    <row r="419" ht="13.8" customFormat="1" customHeight="1" s="5">
      <c r="A419" s="85" t="inlineStr">
        <is>
          <t>5 этап</t>
        </is>
      </c>
      <c r="B419" s="96" t="inlineStr">
        <is>
          <t>5.9.23</t>
        </is>
      </c>
      <c r="C419" s="35" t="inlineStr">
        <is>
          <t>3х1.5 мм2</t>
        </is>
      </c>
      <c r="D419" s="39" t="inlineStr">
        <is>
          <t>м. пог</t>
        </is>
      </c>
      <c r="E419" s="84" t="n">
        <v>800</v>
      </c>
      <c r="F419" s="146" t="n">
        <v>3500</v>
      </c>
      <c r="G419" s="146" t="n">
        <v>2800000</v>
      </c>
      <c r="H419" t="inlineStr">
        <is>
          <t>Экспертная оценка</t>
        </is>
      </c>
    </row>
    <row r="420" ht="13.8" customFormat="1" customHeight="1" s="5">
      <c r="A420" s="85" t="inlineStr">
        <is>
          <t>5 этап</t>
        </is>
      </c>
      <c r="B420" s="96" t="inlineStr">
        <is>
          <t>5.9.24</t>
        </is>
      </c>
      <c r="C420" s="35" t="inlineStr">
        <is>
          <t>3х4 мм2</t>
        </is>
      </c>
      <c r="D420" s="39" t="inlineStr">
        <is>
          <t>м. пог</t>
        </is>
      </c>
      <c r="E420" s="84" t="n">
        <v>10</v>
      </c>
      <c r="F420" s="146" t="n">
        <v>3500</v>
      </c>
      <c r="G420" s="146" t="n">
        <v>35000</v>
      </c>
      <c r="H420" t="inlineStr">
        <is>
          <t>Экспертная оценка</t>
        </is>
      </c>
    </row>
    <row r="421" ht="14.4" customFormat="1" customHeight="1" s="5">
      <c r="A421" s="85" t="inlineStr">
        <is>
          <t>5 этап</t>
        </is>
      </c>
      <c r="B421" s="96" t="inlineStr">
        <is>
          <t>5.9.25</t>
        </is>
      </c>
      <c r="C421" s="35" t="inlineStr">
        <is>
          <t>3х6 мм2</t>
        </is>
      </c>
      <c r="D421" s="39" t="inlineStr">
        <is>
          <t>м. пог</t>
        </is>
      </c>
      <c r="E421" s="84" t="n">
        <v>15</v>
      </c>
      <c r="F421" s="146" t="n">
        <v>3500</v>
      </c>
      <c r="G421" s="146" t="n">
        <v>52500</v>
      </c>
      <c r="H421" t="inlineStr">
        <is>
          <t>Экспертная оценка</t>
        </is>
      </c>
    </row>
    <row r="422" ht="14.4" customFormat="1" customHeight="1" s="5">
      <c r="A422" s="85" t="inlineStr">
        <is>
          <t>5 этап</t>
        </is>
      </c>
      <c r="B422" s="96" t="inlineStr">
        <is>
          <t>5.9.26</t>
        </is>
      </c>
      <c r="C422" s="35" t="inlineStr">
        <is>
          <t>5х4 мм2</t>
        </is>
      </c>
      <c r="D422" s="39" t="inlineStr">
        <is>
          <t>м. пог</t>
        </is>
      </c>
      <c r="E422" s="84" t="n">
        <v>10</v>
      </c>
      <c r="F422" s="146" t="n">
        <v>3500</v>
      </c>
      <c r="G422" s="146" t="n">
        <v>35000</v>
      </c>
      <c r="H422" t="inlineStr">
        <is>
          <t>Экспертная оценка</t>
        </is>
      </c>
    </row>
    <row r="423" ht="14.4" customFormat="1" customHeight="1" s="5">
      <c r="A423" s="85" t="inlineStr">
        <is>
          <t>5 этап</t>
        </is>
      </c>
      <c r="B423" s="96" t="inlineStr">
        <is>
          <t>5.9.27</t>
        </is>
      </c>
      <c r="C423" s="35" t="inlineStr">
        <is>
          <t>1х4мм2</t>
        </is>
      </c>
      <c r="D423" s="39" t="inlineStr">
        <is>
          <t>м. пог</t>
        </is>
      </c>
      <c r="E423" s="84" t="n">
        <v>10</v>
      </c>
      <c r="F423" s="146" t="n">
        <v>3500</v>
      </c>
      <c r="G423" s="146" t="n">
        <v>35000</v>
      </c>
      <c r="H423" t="inlineStr">
        <is>
          <t>Экспертная оценка</t>
        </is>
      </c>
    </row>
    <row r="424" ht="14.4" customFormat="1" customHeight="1" s="5">
      <c r="A424" s="85" t="inlineStr">
        <is>
          <t>5 этап</t>
        </is>
      </c>
      <c r="B424" s="96" t="inlineStr">
        <is>
          <t>5.9.28</t>
        </is>
      </c>
      <c r="C424" s="35" t="inlineStr">
        <is>
          <t>Труба гофрированная ПВХ20</t>
        </is>
      </c>
      <c r="D424" s="39" t="inlineStr">
        <is>
          <t>м. пог</t>
        </is>
      </c>
      <c r="E424" s="84" t="n">
        <v>3000</v>
      </c>
      <c r="F424" s="146" t="n">
        <v>3500</v>
      </c>
      <c r="G424" s="146" t="n">
        <v>10500000</v>
      </c>
      <c r="H424" t="inlineStr">
        <is>
          <t>Экспертная оценка</t>
        </is>
      </c>
    </row>
    <row r="425" ht="14.4" customFormat="1" customHeight="1" s="5">
      <c r="A425" s="85" t="inlineStr">
        <is>
          <t>5 этап</t>
        </is>
      </c>
      <c r="B425" s="96" t="inlineStr">
        <is>
          <t>5.9.29</t>
        </is>
      </c>
      <c r="C425" s="35" t="inlineStr">
        <is>
          <t>Труба гофрированная ПВХ25</t>
        </is>
      </c>
      <c r="D425" s="39" t="inlineStr">
        <is>
          <t>м. пог</t>
        </is>
      </c>
      <c r="E425" s="84" t="n">
        <v>3000</v>
      </c>
      <c r="F425" s="146" t="n">
        <v>3500</v>
      </c>
      <c r="G425" s="146" t="n">
        <v>10500000</v>
      </c>
      <c r="H425" t="inlineStr">
        <is>
          <t>Экспертная оценка</t>
        </is>
      </c>
    </row>
    <row r="426" ht="14.4" customFormat="1" customHeight="1" s="5">
      <c r="A426" s="85" t="inlineStr">
        <is>
          <t>5 этап</t>
        </is>
      </c>
      <c r="B426" s="96" t="inlineStr">
        <is>
          <t>5.9.30</t>
        </is>
      </c>
      <c r="C426" s="35" t="inlineStr">
        <is>
          <t>Система кабеленесущих конструкций.</t>
        </is>
      </c>
      <c r="D426" s="39" t="n"/>
      <c r="E426" s="84" t="n"/>
    </row>
    <row r="427" ht="41.4" customFormat="1" customHeight="1" s="5">
      <c r="A427" s="85" t="inlineStr">
        <is>
          <t>5 этап</t>
        </is>
      </c>
      <c r="B427" s="96" t="inlineStr">
        <is>
          <t>5.9.31</t>
        </is>
      </c>
      <c r="C427" s="35" t="inlineStr">
        <is>
          <t>Угол 90гр. Горизонтальный Лестничного лотка в комплекте
с соответствующим количеством соединительных метизов</t>
        </is>
      </c>
      <c r="D427" s="39" t="inlineStr">
        <is>
          <t>шт</t>
        </is>
      </c>
      <c r="E427" s="84" t="n">
        <v>4</v>
      </c>
      <c r="F427" s="146" t="n">
        <v>5000</v>
      </c>
      <c r="G427" s="146" t="n">
        <v>20000</v>
      </c>
      <c r="H427" t="inlineStr">
        <is>
          <t>Экспертная оценка</t>
        </is>
      </c>
    </row>
    <row r="428" ht="41.4" customFormat="1" customHeight="1" s="5">
      <c r="A428" s="85" t="inlineStr">
        <is>
          <t>5 этап</t>
        </is>
      </c>
      <c r="B428" s="96" t="inlineStr">
        <is>
          <t>5.9.32</t>
        </is>
      </c>
      <c r="C428" s="35" t="inlineStr">
        <is>
          <t>Лоток неперфорированный (по 3 метра) с произвольно вводимым количеством соединительных метизов
и вариацией видов</t>
        </is>
      </c>
      <c r="D428" s="39" t="inlineStr">
        <is>
          <t>шт</t>
        </is>
      </c>
      <c r="E428" s="84" t="n">
        <v>60</v>
      </c>
      <c r="F428" s="146" t="n">
        <v>1600</v>
      </c>
      <c r="G428" s="146" t="n">
        <v>96000</v>
      </c>
      <c r="H428" t="inlineStr">
        <is>
          <t>ФЕР-2020 × 0.75</t>
        </is>
      </c>
    </row>
    <row r="429" ht="41.4" customFormat="1" customHeight="1" s="5">
      <c r="A429" s="85" t="inlineStr">
        <is>
          <t>5 этап</t>
        </is>
      </c>
      <c r="B429" s="96" t="inlineStr">
        <is>
          <t>5.9.33</t>
        </is>
      </c>
      <c r="C429" s="35" t="inlineStr">
        <is>
          <t>Угол вертикальный изменяемый Лестничного лотка в комплекте
с соответствующим количеством соединительных метизов</t>
        </is>
      </c>
      <c r="D429" s="39" t="inlineStr">
        <is>
          <t>шт</t>
        </is>
      </c>
      <c r="E429" s="84" t="n">
        <v>65</v>
      </c>
      <c r="F429" s="146" t="n">
        <v>5000</v>
      </c>
      <c r="G429" s="146" t="n">
        <v>325000</v>
      </c>
      <c r="H429" t="inlineStr">
        <is>
          <t>Экспертная оценка</t>
        </is>
      </c>
    </row>
    <row r="430" ht="14.4" customFormat="1" customHeight="1" s="5">
      <c r="A430" s="85" t="inlineStr">
        <is>
          <t>5 этап</t>
        </is>
      </c>
      <c r="B430" s="96" t="inlineStr">
        <is>
          <t>5.9.34</t>
        </is>
      </c>
      <c r="C430" s="35" t="inlineStr">
        <is>
          <t>Главная заземляющая шина с изоляторами,</t>
        </is>
      </c>
      <c r="D430" s="39" t="inlineStr">
        <is>
          <t>шт</t>
        </is>
      </c>
      <c r="E430" s="84" t="n">
        <v>1</v>
      </c>
      <c r="F430" s="146" t="n">
        <v>5000</v>
      </c>
      <c r="G430" s="146" t="n">
        <v>5000</v>
      </c>
      <c r="H430" t="inlineStr">
        <is>
          <t>Экспертная оценка</t>
        </is>
      </c>
    </row>
    <row r="431" ht="14.4" customFormat="1" customHeight="1" s="5">
      <c r="A431" s="85" t="inlineStr">
        <is>
          <t>5 этап</t>
        </is>
      </c>
      <c r="B431" s="96" t="inlineStr">
        <is>
          <t>5.9.35</t>
        </is>
      </c>
      <c r="C431" s="35" t="inlineStr">
        <is>
          <t>Блок крепления</t>
        </is>
      </c>
      <c r="D431" s="39" t="inlineStr">
        <is>
          <t>шт</t>
        </is>
      </c>
      <c r="E431" s="84" t="n">
        <v>300</v>
      </c>
      <c r="F431" s="146" t="n">
        <v>5000</v>
      </c>
      <c r="G431" s="146" t="n">
        <v>1500000</v>
      </c>
      <c r="H431" t="inlineStr">
        <is>
          <t>Экспертная оценка</t>
        </is>
      </c>
    </row>
    <row r="432" ht="14.4" customFormat="1" customHeight="1" s="5">
      <c r="A432" s="85" t="inlineStr">
        <is>
          <t>5 этап</t>
        </is>
      </c>
      <c r="B432" s="96" t="inlineStr">
        <is>
          <t>5.9.36</t>
        </is>
      </c>
      <c r="C432" s="35" t="inlineStr">
        <is>
          <t>ст круг 10мм</t>
        </is>
      </c>
      <c r="D432" s="39" t="inlineStr">
        <is>
          <t>м. пог</t>
        </is>
      </c>
      <c r="E432" s="84" t="n">
        <v>180</v>
      </c>
      <c r="F432" s="146" t="n">
        <v>3500</v>
      </c>
      <c r="G432" s="146" t="n">
        <v>630000</v>
      </c>
      <c r="H432" t="inlineStr">
        <is>
          <t>Экспертная оценка</t>
        </is>
      </c>
    </row>
    <row r="433" ht="14.4" customFormat="1" customHeight="1" s="5">
      <c r="A433" s="85" t="inlineStr">
        <is>
          <t>5 этап</t>
        </is>
      </c>
      <c r="B433" s="96" t="inlineStr">
        <is>
          <t>5.9.37</t>
        </is>
      </c>
      <c r="C433" s="35" t="inlineStr">
        <is>
          <t>Полоса металлическая 40х4</t>
        </is>
      </c>
      <c r="D433" s="39" t="inlineStr">
        <is>
          <t>м. пог</t>
        </is>
      </c>
      <c r="E433" s="84" t="n">
        <v>130</v>
      </c>
      <c r="F433" s="146" t="n">
        <v>3500</v>
      </c>
      <c r="G433" s="146" t="n">
        <v>455000</v>
      </c>
      <c r="H433" t="inlineStr">
        <is>
          <t>Экспертная оценка</t>
        </is>
      </c>
    </row>
    <row r="434" ht="14.4" customFormat="1" customHeight="1" s="5">
      <c r="A434" s="85" t="inlineStr">
        <is>
          <t>5 этап</t>
        </is>
      </c>
      <c r="B434" s="96" t="inlineStr">
        <is>
          <t>5.9.38</t>
        </is>
      </c>
      <c r="C434" s="35" t="inlineStr">
        <is>
          <t>Ст уг 50х50х5 L=3м</t>
        </is>
      </c>
      <c r="D434" s="39" t="inlineStr">
        <is>
          <t>шт</t>
        </is>
      </c>
      <c r="E434" s="84" t="n">
        <v>4</v>
      </c>
      <c r="F434" s="146" t="n">
        <v>5000</v>
      </c>
      <c r="G434" s="146" t="n">
        <v>20000</v>
      </c>
      <c r="H434" t="inlineStr">
        <is>
          <t>Экспертная оценка</t>
        </is>
      </c>
    </row>
    <row r="435" ht="14.4" customFormat="1" customHeight="1" s="5">
      <c r="A435" s="85" t="inlineStr">
        <is>
          <t>5 этап</t>
        </is>
      </c>
      <c r="B435" s="96" t="inlineStr">
        <is>
          <t>5.9.39</t>
        </is>
      </c>
      <c r="C435" s="35" t="inlineStr">
        <is>
          <t>Трубный хомут заземления МХ</t>
        </is>
      </c>
      <c r="D435" s="39" t="inlineStr">
        <is>
          <t>шт</t>
        </is>
      </c>
      <c r="E435" s="84" t="n">
        <v>3</v>
      </c>
      <c r="F435" s="146" t="n">
        <v>1600</v>
      </c>
      <c r="G435" s="146" t="n">
        <v>4800</v>
      </c>
      <c r="H435" t="inlineStr">
        <is>
          <t>ФЕР-2020 × 0.75</t>
        </is>
      </c>
    </row>
    <row r="436" ht="14.4" customFormat="1" customHeight="1" s="5">
      <c r="A436" s="49" t="inlineStr">
        <is>
          <t>5 этап</t>
        </is>
      </c>
      <c r="B436" s="50" t="inlineStr">
        <is>
          <t>5.10</t>
        </is>
      </c>
      <c r="C436" s="28" t="inlineStr">
        <is>
          <t>Электроснабжение АБК</t>
        </is>
      </c>
      <c r="D436" s="54" t="inlineStr">
        <is>
          <t>компл.</t>
        </is>
      </c>
      <c r="E436" s="154" t="n">
        <v>1</v>
      </c>
      <c r="F436" s="146" t="n">
        <v>1600</v>
      </c>
      <c r="G436" s="146" t="n">
        <v>1600</v>
      </c>
      <c r="H436" t="inlineStr">
        <is>
          <t>ФЕР-2020 × 0.75</t>
        </is>
      </c>
    </row>
    <row r="437" ht="14.4" customFormat="1" customHeight="1" s="5">
      <c r="A437" s="85" t="inlineStr">
        <is>
          <t>5 этап</t>
        </is>
      </c>
      <c r="B437" s="96" t="inlineStr">
        <is>
          <t>5.10.1</t>
        </is>
      </c>
      <c r="C437" s="35" t="inlineStr">
        <is>
          <t>ВРУ 1</t>
        </is>
      </c>
      <c r="D437" s="39" t="inlineStr">
        <is>
          <t>шт</t>
        </is>
      </c>
      <c r="E437" s="84" t="n">
        <v>1</v>
      </c>
      <c r="F437" s="146" t="n">
        <v>5000</v>
      </c>
      <c r="G437" s="146" t="n">
        <v>5000</v>
      </c>
      <c r="H437" t="inlineStr">
        <is>
          <t>Экспертная оценка</t>
        </is>
      </c>
    </row>
    <row r="438" ht="14.4" customFormat="1" customHeight="1" s="5">
      <c r="A438" s="85" t="inlineStr">
        <is>
          <t>5 этап</t>
        </is>
      </c>
      <c r="B438" s="96" t="inlineStr">
        <is>
          <t>5.10.2</t>
        </is>
      </c>
      <c r="C438" s="35" t="inlineStr">
        <is>
          <t>ИБП</t>
        </is>
      </c>
      <c r="D438" s="39" t="inlineStr">
        <is>
          <t>компл</t>
        </is>
      </c>
      <c r="E438" s="84" t="n">
        <v>2</v>
      </c>
      <c r="F438" s="146" t="n">
        <v>750000</v>
      </c>
      <c r="G438" s="146" t="n">
        <v>1500000</v>
      </c>
      <c r="H438" t="inlineStr">
        <is>
          <t>Экспертная оценка</t>
        </is>
      </c>
    </row>
    <row r="439" ht="14.4" customFormat="1" customHeight="1" s="5">
      <c r="A439" s="85" t="inlineStr">
        <is>
          <t>5 этап</t>
        </is>
      </c>
      <c r="B439" s="96" t="inlineStr">
        <is>
          <t>5.10.3</t>
        </is>
      </c>
      <c r="C439" s="35" t="inlineStr">
        <is>
          <t>Щиты ЩР1-ШР4, ЩТ1, ЩТ2</t>
        </is>
      </c>
      <c r="D439" s="39" t="inlineStr">
        <is>
          <t>шт</t>
        </is>
      </c>
      <c r="E439" s="84" t="n">
        <v>7</v>
      </c>
      <c r="F439" s="146" t="n">
        <v>5000</v>
      </c>
      <c r="G439" s="146" t="n">
        <v>35000</v>
      </c>
      <c r="H439" t="inlineStr">
        <is>
          <t>Экспертная оценка</t>
        </is>
      </c>
    </row>
    <row r="440" ht="14.4" customFormat="1" customHeight="1" s="5">
      <c r="A440" s="85" t="inlineStr">
        <is>
          <t>5 этап</t>
        </is>
      </c>
      <c r="B440" s="96" t="inlineStr">
        <is>
          <t>5.10.4</t>
        </is>
      </c>
      <c r="C440" s="35" t="inlineStr">
        <is>
          <t>Щиты ЩА1, ЩА2, ЩАО</t>
        </is>
      </c>
      <c r="D440" s="39" t="inlineStr">
        <is>
          <t>шт</t>
        </is>
      </c>
      <c r="E440" s="84" t="n">
        <v>3</v>
      </c>
      <c r="F440" s="146" t="n">
        <v>5000</v>
      </c>
      <c r="G440" s="146" t="n">
        <v>15000</v>
      </c>
      <c r="H440" t="inlineStr">
        <is>
          <t>Экспертная оценка</t>
        </is>
      </c>
    </row>
    <row r="441" ht="27.6" customFormat="1" customHeight="1" s="5">
      <c r="A441" s="85" t="inlineStr">
        <is>
          <t>5 этап</t>
        </is>
      </c>
      <c r="B441" s="96" t="inlineStr">
        <is>
          <t>5.10.5</t>
        </is>
      </c>
      <c r="C441" s="35" t="inlineStr">
        <is>
          <t>Выключатель внутриный установки, переключатель, ном. ток 10А, (IP20).</t>
        </is>
      </c>
      <c r="D441" s="39" t="inlineStr">
        <is>
          <t>шт</t>
        </is>
      </c>
      <c r="E441" s="84" t="n">
        <v>4</v>
      </c>
      <c r="F441" s="146" t="n">
        <v>5000</v>
      </c>
      <c r="G441" s="146" t="n">
        <v>20000</v>
      </c>
      <c r="H441" t="inlineStr">
        <is>
          <t>Экспертная оценка</t>
        </is>
      </c>
    </row>
    <row r="442" ht="27.6" customFormat="1" customHeight="1" s="5">
      <c r="A442" s="85" t="inlineStr">
        <is>
          <t>5 этап</t>
        </is>
      </c>
      <c r="B442" s="96" t="inlineStr">
        <is>
          <t>5.10.6</t>
        </is>
      </c>
      <c r="C442" s="35" t="inlineStr">
        <is>
          <t>Выключатель внутриный установки, одноклавишный, ном. ток 10А, (IP20).</t>
        </is>
      </c>
      <c r="D442" s="39" t="inlineStr">
        <is>
          <t>шт</t>
        </is>
      </c>
      <c r="E442" s="84" t="n">
        <v>47</v>
      </c>
      <c r="F442" s="146" t="n">
        <v>5000</v>
      </c>
      <c r="G442" s="146" t="n">
        <v>235000</v>
      </c>
      <c r="H442" t="inlineStr">
        <is>
          <t>Экспертная оценка</t>
        </is>
      </c>
    </row>
    <row r="443" ht="27.6" customFormat="1" customHeight="1" s="5">
      <c r="A443" s="85" t="inlineStr">
        <is>
          <t>5 этап</t>
        </is>
      </c>
      <c r="B443" s="96" t="inlineStr">
        <is>
          <t>5.10.7</t>
        </is>
      </c>
      <c r="C443" s="35" t="inlineStr">
        <is>
          <t>Выключатель внутриный установки, двухклавишный, ном. ток 10А, (IP20).</t>
        </is>
      </c>
      <c r="D443" s="39" t="inlineStr">
        <is>
          <t>шт</t>
        </is>
      </c>
      <c r="E443" s="84" t="n">
        <v>5</v>
      </c>
      <c r="F443" s="146" t="n">
        <v>5000</v>
      </c>
      <c r="G443" s="146" t="n">
        <v>25000</v>
      </c>
      <c r="H443" t="inlineStr">
        <is>
          <t>Экспертная оценка</t>
        </is>
      </c>
    </row>
    <row r="444" ht="14.4" customFormat="1" customHeight="1" s="5">
      <c r="A444" s="85" t="inlineStr">
        <is>
          <t>5 этап</t>
        </is>
      </c>
      <c r="B444" s="96" t="inlineStr">
        <is>
          <t>5.10.8</t>
        </is>
      </c>
      <c r="C444" s="35" t="inlineStr">
        <is>
          <t>Розетка двухполюсная одноместная</t>
        </is>
      </c>
      <c r="D444" s="39" t="inlineStr">
        <is>
          <t>шт</t>
        </is>
      </c>
      <c r="E444" s="84" t="n">
        <v>35</v>
      </c>
      <c r="F444" s="146" t="n">
        <v>5000</v>
      </c>
      <c r="G444" s="146" t="n">
        <v>175000</v>
      </c>
      <c r="H444" t="inlineStr">
        <is>
          <t>Экспертная оценка</t>
        </is>
      </c>
    </row>
    <row r="445" ht="27.6" customFormat="1" customHeight="1" s="5">
      <c r="A445" s="85" t="inlineStr">
        <is>
          <t>5 этап</t>
        </is>
      </c>
      <c r="B445" s="96" t="inlineStr">
        <is>
          <t>5.10.9</t>
        </is>
      </c>
      <c r="C445" s="35" t="inlineStr">
        <is>
          <t>Розетки внутренняя двухместная с заземляющим контактом</t>
        </is>
      </c>
      <c r="D445" s="39" t="inlineStr">
        <is>
          <t>шт</t>
        </is>
      </c>
      <c r="E445" s="84" t="n">
        <v>75</v>
      </c>
      <c r="F445" s="146" t="n">
        <v>5000</v>
      </c>
      <c r="G445" s="146" t="n">
        <v>375000</v>
      </c>
      <c r="H445" t="inlineStr">
        <is>
          <t>Экспертная оценка</t>
        </is>
      </c>
    </row>
    <row r="446" ht="27.6" customFormat="1" customHeight="1" s="5">
      <c r="A446" s="85" t="inlineStr">
        <is>
          <t>5 этап</t>
        </is>
      </c>
      <c r="B446" s="96" t="inlineStr">
        <is>
          <t>5.10.10</t>
        </is>
      </c>
      <c r="C446" s="35" t="inlineStr">
        <is>
          <t>Розетки внутренняя одноместная с заземляющим контактом</t>
        </is>
      </c>
      <c r="D446" s="39" t="inlineStr">
        <is>
          <t>шт</t>
        </is>
      </c>
      <c r="E446" s="84" t="n">
        <v>3</v>
      </c>
      <c r="F446" s="146" t="n">
        <v>5000</v>
      </c>
      <c r="G446" s="146" t="n">
        <v>15000</v>
      </c>
      <c r="H446" t="inlineStr">
        <is>
          <t>Экспертная оценка</t>
        </is>
      </c>
    </row>
    <row r="447" ht="14.4" customFormat="1" customHeight="1" s="5">
      <c r="A447" s="85" t="inlineStr">
        <is>
          <t>5 этап</t>
        </is>
      </c>
      <c r="B447" s="96" t="inlineStr">
        <is>
          <t>5.10.11</t>
        </is>
      </c>
      <c r="C447" s="35" t="inlineStr">
        <is>
          <t>Розетка с пылевлагозащитой IP55</t>
        </is>
      </c>
      <c r="D447" s="39" t="inlineStr">
        <is>
          <t>шт</t>
        </is>
      </c>
      <c r="E447" s="84" t="n">
        <v>12</v>
      </c>
      <c r="F447" s="146" t="n">
        <v>5000</v>
      </c>
      <c r="G447" s="146" t="n">
        <v>60000</v>
      </c>
      <c r="H447" t="inlineStr">
        <is>
          <t>Экспертная оценка</t>
        </is>
      </c>
    </row>
    <row r="448" ht="27.6" customFormat="1" customHeight="1" s="5">
      <c r="A448" s="85" t="inlineStr">
        <is>
          <t>5 этап</t>
        </is>
      </c>
      <c r="B448" s="96" t="inlineStr">
        <is>
          <t>5.10.12</t>
        </is>
      </c>
      <c r="C448" s="35" t="inlineStr">
        <is>
          <t>Светильник потолочный, на 1 лампу с цоколем Е 27, IP4460Вт</t>
        </is>
      </c>
      <c r="D448" s="39" t="inlineStr">
        <is>
          <t>шт</t>
        </is>
      </c>
      <c r="E448" s="84" t="n">
        <v>59</v>
      </c>
      <c r="F448" s="146" t="n">
        <v>5000</v>
      </c>
      <c r="G448" s="146" t="n">
        <v>295000</v>
      </c>
      <c r="H448" t="inlineStr">
        <is>
          <t>Экспертная оценка</t>
        </is>
      </c>
    </row>
    <row r="449" ht="14.4" customFormat="1" customHeight="1" s="5">
      <c r="A449" s="85" t="inlineStr">
        <is>
          <t>5 этап</t>
        </is>
      </c>
      <c r="B449" s="96" t="inlineStr">
        <is>
          <t>5.10.13</t>
        </is>
      </c>
      <c r="C449" s="35" t="inlineStr">
        <is>
          <t>Светильник потолочный,светодиодный мощностью33Вт</t>
        </is>
      </c>
      <c r="D449" s="39" t="inlineStr">
        <is>
          <t>шт</t>
        </is>
      </c>
      <c r="E449" s="84" t="n">
        <v>80</v>
      </c>
      <c r="F449" s="146" t="n">
        <v>5000</v>
      </c>
      <c r="G449" s="146" t="n">
        <v>400000</v>
      </c>
      <c r="H449" t="inlineStr">
        <is>
          <t>Экспертная оценка</t>
        </is>
      </c>
    </row>
    <row r="450" ht="14.4" customFormat="1" customHeight="1" s="5">
      <c r="A450" s="85" t="inlineStr">
        <is>
          <t>5 этап</t>
        </is>
      </c>
      <c r="B450" s="96" t="inlineStr">
        <is>
          <t>5.10.14</t>
        </is>
      </c>
      <c r="C450" s="35" t="inlineStr">
        <is>
          <t>Датчики движения</t>
        </is>
      </c>
      <c r="D450" s="39" t="inlineStr">
        <is>
          <t>шт</t>
        </is>
      </c>
      <c r="E450" s="84" t="n">
        <v>25</v>
      </c>
      <c r="F450" s="146" t="n">
        <v>5000</v>
      </c>
      <c r="G450" s="146" t="n">
        <v>125000</v>
      </c>
      <c r="H450" t="inlineStr">
        <is>
          <t>Экспертная оценка</t>
        </is>
      </c>
    </row>
    <row r="451" ht="14.4" customFormat="1" customHeight="1" s="5">
      <c r="A451" s="85" t="inlineStr">
        <is>
          <t>5 этап</t>
        </is>
      </c>
      <c r="B451" s="96" t="inlineStr">
        <is>
          <t>5.10.15</t>
        </is>
      </c>
      <c r="C451" s="35" t="inlineStr">
        <is>
          <t>Светильник потолочный,светодиодный мощностью33Вт</t>
        </is>
      </c>
      <c r="D451" s="39" t="inlineStr">
        <is>
          <t>шт</t>
        </is>
      </c>
      <c r="E451" s="84" t="n">
        <v>33</v>
      </c>
      <c r="F451" s="146" t="n">
        <v>5000</v>
      </c>
      <c r="G451" s="146" t="n">
        <v>165000</v>
      </c>
      <c r="H451" t="inlineStr">
        <is>
          <t>Экспертная оценка</t>
        </is>
      </c>
    </row>
    <row r="452" ht="14.4" customFormat="1" customHeight="1" s="5">
      <c r="A452" s="85" t="inlineStr">
        <is>
          <t>5 этап</t>
        </is>
      </c>
      <c r="B452" s="96" t="inlineStr">
        <is>
          <t>5.10.16</t>
        </is>
      </c>
      <c r="C452" s="35" t="inlineStr">
        <is>
          <t>Распределительные коробки</t>
        </is>
      </c>
      <c r="D452" s="39" t="inlineStr">
        <is>
          <t>шт</t>
        </is>
      </c>
      <c r="E452" s="84" t="n">
        <v>76</v>
      </c>
      <c r="F452" s="146" t="n">
        <v>5000</v>
      </c>
      <c r="G452" s="146" t="n">
        <v>380000</v>
      </c>
      <c r="H452" t="inlineStr">
        <is>
          <t>Экспертная оценка</t>
        </is>
      </c>
    </row>
    <row r="453" ht="14.4" customFormat="1" customHeight="1" s="5">
      <c r="A453" s="85" t="inlineStr">
        <is>
          <t>5 этап</t>
        </is>
      </c>
      <c r="B453" s="96" t="inlineStr">
        <is>
          <t>5.10.17</t>
        </is>
      </c>
      <c r="C453" s="35" t="inlineStr">
        <is>
          <t>Соединение проводов</t>
        </is>
      </c>
      <c r="D453" s="39" t="inlineStr">
        <is>
          <t>упаковка</t>
        </is>
      </c>
      <c r="E453" s="84" t="n">
        <v>15</v>
      </c>
      <c r="F453" s="146" t="n">
        <v>10000</v>
      </c>
      <c r="G453" s="146" t="n">
        <v>150000</v>
      </c>
      <c r="H453" t="inlineStr">
        <is>
          <t>Экспертная оценка</t>
        </is>
      </c>
    </row>
    <row r="454" ht="14.4" customFormat="1" customHeight="1" s="5">
      <c r="A454" s="85" t="inlineStr">
        <is>
          <t>5 этап</t>
        </is>
      </c>
      <c r="B454" s="96" t="inlineStr">
        <is>
          <t>5.10.18</t>
        </is>
      </c>
      <c r="C454" s="35" t="inlineStr">
        <is>
          <t>Трубный хомут заземления МХ</t>
        </is>
      </c>
      <c r="D454" s="39" t="inlineStr">
        <is>
          <t>шт</t>
        </is>
      </c>
      <c r="E454" s="84" t="n">
        <v>3</v>
      </c>
      <c r="F454" s="146" t="n">
        <v>1600</v>
      </c>
      <c r="G454" s="146" t="n">
        <v>4800</v>
      </c>
      <c r="H454" t="inlineStr">
        <is>
          <t>ФЕР-2020 × 0.75</t>
        </is>
      </c>
    </row>
    <row r="455" ht="27.6" customFormat="1" customHeight="1" s="5">
      <c r="A455" s="85" t="inlineStr">
        <is>
          <t>5 этап</t>
        </is>
      </c>
      <c r="B455" s="96" t="inlineStr">
        <is>
          <t>5.10.19</t>
        </is>
      </c>
      <c r="C455" s="35" t="inlineStr">
        <is>
          <t>Провод медный изолированный, ГОСТ 6323-79, сечением: 1 х4 мм2</t>
        </is>
      </c>
      <c r="D455" s="39" t="inlineStr">
        <is>
          <t>м. пог</t>
        </is>
      </c>
      <c r="E455" s="84" t="n">
        <v>50</v>
      </c>
      <c r="F455" s="146" t="n">
        <v>3500</v>
      </c>
      <c r="G455" s="146" t="n">
        <v>175000</v>
      </c>
      <c r="H455" t="inlineStr">
        <is>
          <t>Экспертная оценка</t>
        </is>
      </c>
    </row>
    <row r="456" ht="28.8" customFormat="1" customHeight="1" s="5">
      <c r="A456" s="85" t="inlineStr">
        <is>
          <t>5 этап</t>
        </is>
      </c>
      <c r="B456" s="97" t="inlineStr">
        <is>
          <t>5.10.20</t>
        </is>
      </c>
      <c r="C456" s="31" t="inlineStr">
        <is>
          <t>Кабель медный в двойной изоляции, ГОСТ 16442-80, сечением</t>
        </is>
      </c>
      <c r="D456" s="54" t="inlineStr">
        <is>
          <t>компл.</t>
        </is>
      </c>
      <c r="E456" s="98" t="n">
        <v>1</v>
      </c>
      <c r="F456" s="146" t="n">
        <v>1600</v>
      </c>
      <c r="G456" s="146" t="n">
        <v>1600</v>
      </c>
      <c r="H456" t="inlineStr">
        <is>
          <t>ФЕР-2020 × 0.75</t>
        </is>
      </c>
    </row>
    <row r="457" ht="14.4" customFormat="1" customHeight="1" s="5">
      <c r="A457" s="85" t="inlineStr">
        <is>
          <t>5 этап</t>
        </is>
      </c>
      <c r="B457" s="96" t="inlineStr">
        <is>
          <t>5.10.21</t>
        </is>
      </c>
      <c r="C457" s="35" t="inlineStr">
        <is>
          <t>3х1.5 мм2</t>
        </is>
      </c>
      <c r="D457" s="39" t="inlineStr">
        <is>
          <t>м. пог</t>
        </is>
      </c>
      <c r="E457" s="84" t="n">
        <v>2700</v>
      </c>
      <c r="F457" s="146" t="n">
        <v>3500</v>
      </c>
      <c r="G457" s="146" t="n">
        <v>9450000</v>
      </c>
      <c r="H457" t="inlineStr">
        <is>
          <t>Экспертная оценка</t>
        </is>
      </c>
    </row>
    <row r="458" ht="14.4" customFormat="1" customHeight="1" s="5">
      <c r="A458" s="85" t="inlineStr">
        <is>
          <t>5 этап</t>
        </is>
      </c>
      <c r="B458" s="96" t="inlineStr">
        <is>
          <t>5.10.22</t>
        </is>
      </c>
      <c r="C458" s="35" t="inlineStr">
        <is>
          <t>3х2.5 мм2</t>
        </is>
      </c>
      <c r="D458" s="39" t="inlineStr">
        <is>
          <t>м. пог</t>
        </is>
      </c>
      <c r="E458" s="84" t="n">
        <v>2500</v>
      </c>
      <c r="F458" s="146" t="n">
        <v>3500</v>
      </c>
      <c r="G458" s="146" t="n">
        <v>8750000</v>
      </c>
      <c r="H458" t="inlineStr">
        <is>
          <t>Экспертная оценка</t>
        </is>
      </c>
    </row>
    <row r="459" ht="14.4" customFormat="1" customHeight="1" s="5">
      <c r="A459" s="85" t="inlineStr">
        <is>
          <t>5 этап</t>
        </is>
      </c>
      <c r="B459" s="96" t="inlineStr">
        <is>
          <t>5.10.23</t>
        </is>
      </c>
      <c r="C459" s="35" t="inlineStr">
        <is>
          <t>5х10 мм2</t>
        </is>
      </c>
      <c r="D459" s="39" t="inlineStr">
        <is>
          <t>м. пог</t>
        </is>
      </c>
      <c r="E459" s="84" t="n">
        <v>120</v>
      </c>
      <c r="F459" s="146" t="n">
        <v>3500</v>
      </c>
      <c r="G459" s="146" t="n">
        <v>420000</v>
      </c>
      <c r="H459" t="inlineStr">
        <is>
          <t>Экспертная оценка</t>
        </is>
      </c>
    </row>
    <row r="460" ht="14.4" customFormat="1" customHeight="1" s="5">
      <c r="A460" s="85" t="inlineStr">
        <is>
          <t>5 этап</t>
        </is>
      </c>
      <c r="B460" s="96" t="inlineStr">
        <is>
          <t>5.10.24</t>
        </is>
      </c>
      <c r="C460" s="35" t="inlineStr">
        <is>
          <t>5х4 мм2</t>
        </is>
      </c>
      <c r="D460" s="39" t="inlineStr">
        <is>
          <t>м. пог</t>
        </is>
      </c>
      <c r="E460" s="84" t="n">
        <v>125</v>
      </c>
      <c r="F460" s="146" t="n">
        <v>3500</v>
      </c>
      <c r="G460" s="146" t="n">
        <v>437500</v>
      </c>
      <c r="H460" t="inlineStr">
        <is>
          <t>Экспертная оценка</t>
        </is>
      </c>
    </row>
    <row r="461" ht="14.4" customFormat="1" customHeight="1" s="5">
      <c r="A461" s="85" t="inlineStr">
        <is>
          <t>5 этап</t>
        </is>
      </c>
      <c r="B461" s="96" t="inlineStr">
        <is>
          <t>5.10.25</t>
        </is>
      </c>
      <c r="C461" s="35" t="inlineStr">
        <is>
          <t>3х4 мм2</t>
        </is>
      </c>
      <c r="D461" s="39" t="inlineStr">
        <is>
          <t>м. пог</t>
        </is>
      </c>
      <c r="E461" s="84" t="n">
        <v>10</v>
      </c>
      <c r="F461" s="146" t="n">
        <v>3500</v>
      </c>
      <c r="G461" s="146" t="n">
        <v>35000</v>
      </c>
      <c r="H461" t="inlineStr">
        <is>
          <t>Экспертная оценка</t>
        </is>
      </c>
    </row>
    <row r="462" ht="14.4" customFormat="1" customHeight="1" s="5">
      <c r="A462" s="85" t="inlineStr">
        <is>
          <t>5 этап</t>
        </is>
      </c>
      <c r="B462" s="96" t="inlineStr">
        <is>
          <t>5.10.26</t>
        </is>
      </c>
      <c r="C462" s="35" t="inlineStr">
        <is>
          <t>3х1.5 мм2</t>
        </is>
      </c>
      <c r="D462" s="39" t="inlineStr">
        <is>
          <t>м. пог</t>
        </is>
      </c>
      <c r="E462" s="84" t="n">
        <v>800</v>
      </c>
      <c r="F462" s="146" t="n">
        <v>3500</v>
      </c>
      <c r="G462" s="146" t="n">
        <v>2800000</v>
      </c>
      <c r="H462" t="inlineStr">
        <is>
          <t>Экспертная оценка</t>
        </is>
      </c>
    </row>
    <row r="463" ht="14.4" customFormat="1" customHeight="1" s="5">
      <c r="A463" s="85" t="inlineStr">
        <is>
          <t>5 этап</t>
        </is>
      </c>
      <c r="B463" s="96" t="inlineStr">
        <is>
          <t>5.10.27</t>
        </is>
      </c>
      <c r="C463" s="35" t="inlineStr">
        <is>
          <t>5х16 мм2</t>
        </is>
      </c>
      <c r="D463" s="39" t="inlineStr">
        <is>
          <t>м. пог</t>
        </is>
      </c>
      <c r="E463" s="84" t="n">
        <v>100</v>
      </c>
      <c r="F463" s="146" t="n">
        <v>3500</v>
      </c>
      <c r="G463" s="146" t="n">
        <v>350000</v>
      </c>
      <c r="H463" t="inlineStr">
        <is>
          <t>Экспертная оценка</t>
        </is>
      </c>
    </row>
    <row r="464" ht="14.4" customFormat="1" customHeight="1" s="5">
      <c r="A464" s="85" t="inlineStr">
        <is>
          <t>5 этап</t>
        </is>
      </c>
      <c r="B464" s="96" t="inlineStr">
        <is>
          <t>5.10.28</t>
        </is>
      </c>
      <c r="C464" s="35" t="inlineStr">
        <is>
          <t>5х6мм2</t>
        </is>
      </c>
      <c r="D464" s="39" t="inlineStr">
        <is>
          <t>м. пог</t>
        </is>
      </c>
      <c r="E464" s="84" t="n">
        <v>40</v>
      </c>
      <c r="F464" s="146" t="n">
        <v>3500</v>
      </c>
      <c r="G464" s="146" t="n">
        <v>140000</v>
      </c>
      <c r="H464" t="inlineStr">
        <is>
          <t>Экспертная оценка</t>
        </is>
      </c>
    </row>
    <row r="465" ht="14.4" customFormat="1" customHeight="1" s="5">
      <c r="A465" s="85" t="inlineStr">
        <is>
          <t>5 этап</t>
        </is>
      </c>
      <c r="B465" s="96" t="inlineStr">
        <is>
          <t>5.10.29</t>
        </is>
      </c>
      <c r="C465" s="35" t="inlineStr">
        <is>
          <t>5х25мм2</t>
        </is>
      </c>
      <c r="D465" s="39" t="inlineStr">
        <is>
          <t>м. пог</t>
        </is>
      </c>
      <c r="E465" s="84" t="n">
        <v>330</v>
      </c>
      <c r="F465" s="146" t="n">
        <v>3500</v>
      </c>
      <c r="G465" s="146" t="n">
        <v>1155000</v>
      </c>
      <c r="H465" t="inlineStr">
        <is>
          <t>Экспертная оценка</t>
        </is>
      </c>
    </row>
    <row r="466" ht="14.4" customFormat="1" customHeight="1" s="5">
      <c r="A466" s="85" t="inlineStr">
        <is>
          <t>5 этап</t>
        </is>
      </c>
      <c r="B466" s="96" t="inlineStr">
        <is>
          <t>5.10.30</t>
        </is>
      </c>
      <c r="C466" s="35" t="inlineStr">
        <is>
          <t>5х6мм2</t>
        </is>
      </c>
      <c r="D466" s="39" t="inlineStr">
        <is>
          <t>м. пог</t>
        </is>
      </c>
      <c r="E466" s="84" t="n">
        <v>20</v>
      </c>
      <c r="F466" s="146" t="n">
        <v>3500</v>
      </c>
      <c r="G466" s="146" t="n">
        <v>70000</v>
      </c>
      <c r="H466" t="inlineStr">
        <is>
          <t>Экспертная оценка</t>
        </is>
      </c>
    </row>
    <row r="467" ht="14.4" customFormat="1" customHeight="1" s="5">
      <c r="A467" s="85" t="inlineStr">
        <is>
          <t>5 этап</t>
        </is>
      </c>
      <c r="B467" s="96" t="inlineStr">
        <is>
          <t>5.10.31</t>
        </is>
      </c>
      <c r="C467" s="35" t="inlineStr">
        <is>
          <t>3х4мм2</t>
        </is>
      </c>
      <c r="D467" s="39" t="inlineStr">
        <is>
          <t>м. пог</t>
        </is>
      </c>
      <c r="E467" s="84" t="n">
        <v>5</v>
      </c>
      <c r="F467" s="146" t="n">
        <v>3500</v>
      </c>
      <c r="G467" s="146" t="n">
        <v>17500</v>
      </c>
      <c r="H467" t="inlineStr">
        <is>
          <t>Экспертная оценка</t>
        </is>
      </c>
    </row>
    <row r="468" ht="14.4" customFormat="1" customHeight="1" s="5">
      <c r="A468" s="85" t="inlineStr">
        <is>
          <t>5 этап</t>
        </is>
      </c>
      <c r="B468" s="96" t="inlineStr">
        <is>
          <t>5.10.32</t>
        </is>
      </c>
      <c r="C468" s="35" t="inlineStr">
        <is>
          <t>3х1.5мм2</t>
        </is>
      </c>
      <c r="D468" s="39" t="inlineStr">
        <is>
          <t>м. пог</t>
        </is>
      </c>
      <c r="E468" s="84" t="n">
        <v>600</v>
      </c>
      <c r="F468" s="146" t="n">
        <v>3500</v>
      </c>
      <c r="G468" s="146" t="n">
        <v>2100000</v>
      </c>
      <c r="H468" t="inlineStr">
        <is>
          <t>Экспертная оценка</t>
        </is>
      </c>
    </row>
    <row r="469" ht="14.4" customFormat="1" customHeight="1" s="5">
      <c r="A469" s="85" t="inlineStr">
        <is>
          <t>5 этап</t>
        </is>
      </c>
      <c r="B469" s="96" t="inlineStr">
        <is>
          <t>5.10.33</t>
        </is>
      </c>
      <c r="C469" s="35" t="inlineStr">
        <is>
          <t>Труба гофрированная ПФХ 20</t>
        </is>
      </c>
      <c r="D469" s="39" t="inlineStr">
        <is>
          <t>м. пог</t>
        </is>
      </c>
      <c r="E469" s="84" t="n">
        <v>3000</v>
      </c>
      <c r="F469" s="146" t="n">
        <v>3500</v>
      </c>
      <c r="G469" s="146" t="n">
        <v>10500000</v>
      </c>
      <c r="H469" t="inlineStr">
        <is>
          <t>Экспертная оценка</t>
        </is>
      </c>
    </row>
    <row r="470" ht="14.4" customFormat="1" customHeight="1" s="5">
      <c r="A470" s="85" t="inlineStr">
        <is>
          <t>5 этап</t>
        </is>
      </c>
      <c r="B470" s="96" t="inlineStr">
        <is>
          <t>5.10.34</t>
        </is>
      </c>
      <c r="C470" s="35" t="inlineStr">
        <is>
          <t>Труба гофрированная ПФХ 25</t>
        </is>
      </c>
      <c r="D470" s="39" t="inlineStr">
        <is>
          <t>м. пог</t>
        </is>
      </c>
      <c r="E470" s="84" t="n">
        <v>3000</v>
      </c>
      <c r="F470" s="146" t="n">
        <v>3500</v>
      </c>
      <c r="G470" s="146" t="n">
        <v>10500000</v>
      </c>
      <c r="H470" t="inlineStr">
        <is>
          <t>Экспертная оценка</t>
        </is>
      </c>
    </row>
    <row r="471" ht="14.4" customFormat="1" customHeight="1" s="5">
      <c r="A471" s="85" t="inlineStr">
        <is>
          <t>5 этап</t>
        </is>
      </c>
      <c r="B471" s="96" t="inlineStr">
        <is>
          <t>5.10.35</t>
        </is>
      </c>
      <c r="C471" s="35" t="inlineStr">
        <is>
          <t>Главная заземляющая шина с изоляторами,</t>
        </is>
      </c>
      <c r="D471" s="39" t="inlineStr">
        <is>
          <t>шт</t>
        </is>
      </c>
      <c r="E471" s="84" t="n">
        <v>1</v>
      </c>
      <c r="F471" s="146" t="n">
        <v>5000</v>
      </c>
      <c r="G471" s="146" t="n">
        <v>5000</v>
      </c>
      <c r="H471" t="inlineStr">
        <is>
          <t>Экспертная оценка</t>
        </is>
      </c>
    </row>
    <row r="472" ht="14.4" customFormat="1" customHeight="1" s="5">
      <c r="A472" s="85" t="inlineStr">
        <is>
          <t>5 этап</t>
        </is>
      </c>
      <c r="B472" s="96" t="inlineStr">
        <is>
          <t>5.10.36</t>
        </is>
      </c>
      <c r="C472" s="35" t="inlineStr">
        <is>
          <t>Блок крепления</t>
        </is>
      </c>
      <c r="D472" s="39" t="inlineStr">
        <is>
          <t>м. пог</t>
        </is>
      </c>
      <c r="E472" s="84" t="n">
        <v>270</v>
      </c>
      <c r="F472" s="146" t="n">
        <v>3500</v>
      </c>
      <c r="G472" s="146" t="n">
        <v>945000</v>
      </c>
      <c r="H472" t="inlineStr">
        <is>
          <t>Экспертная оценка</t>
        </is>
      </c>
    </row>
    <row r="473" ht="14.4" customFormat="1" customHeight="1" s="5">
      <c r="A473" s="85" t="inlineStr">
        <is>
          <t>5 этап</t>
        </is>
      </c>
      <c r="B473" s="96" t="inlineStr">
        <is>
          <t>5.10.37</t>
        </is>
      </c>
      <c r="C473" s="35" t="inlineStr">
        <is>
          <t>ст круг 10мм</t>
        </is>
      </c>
      <c r="D473" s="39" t="inlineStr">
        <is>
          <t>м. пог</t>
        </is>
      </c>
      <c r="E473" s="84" t="n">
        <v>250</v>
      </c>
      <c r="F473" s="146" t="n">
        <v>3500</v>
      </c>
      <c r="G473" s="146" t="n">
        <v>875000</v>
      </c>
      <c r="H473" t="inlineStr">
        <is>
          <t>Экспертная оценка</t>
        </is>
      </c>
    </row>
    <row r="474" ht="14.4" customFormat="1" customHeight="1" s="5">
      <c r="A474" s="85" t="inlineStr">
        <is>
          <t>5 этап</t>
        </is>
      </c>
      <c r="B474" s="96" t="inlineStr">
        <is>
          <t>5.10.38</t>
        </is>
      </c>
      <c r="C474" s="35" t="inlineStr">
        <is>
          <t>Полоса металлическая 40х4</t>
        </is>
      </c>
      <c r="D474" s="39" t="inlineStr">
        <is>
          <t>м. пог</t>
        </is>
      </c>
      <c r="E474" s="84" t="n">
        <v>280</v>
      </c>
      <c r="F474" s="146" t="n">
        <v>3500</v>
      </c>
      <c r="G474" s="146" t="n">
        <v>980000</v>
      </c>
      <c r="H474" t="inlineStr">
        <is>
          <t>Экспертная оценка</t>
        </is>
      </c>
    </row>
    <row r="475" ht="14.4" customFormat="1" customHeight="1" s="5">
      <c r="A475" s="85" t="inlineStr">
        <is>
          <t>5 этап</t>
        </is>
      </c>
      <c r="B475" s="96" t="inlineStr">
        <is>
          <t>5.10.39</t>
        </is>
      </c>
      <c r="C475" s="35" t="inlineStr">
        <is>
          <t>Ст уг 50х50х5 L=3м</t>
        </is>
      </c>
      <c r="D475" s="39" t="inlineStr">
        <is>
          <t>м. пог</t>
        </is>
      </c>
      <c r="E475" s="84" t="n">
        <v>4</v>
      </c>
      <c r="F475" s="146" t="n">
        <v>3500</v>
      </c>
      <c r="G475" s="146" t="n">
        <v>14000</v>
      </c>
      <c r="H475" t="inlineStr">
        <is>
          <t>Экспертная оценка</t>
        </is>
      </c>
    </row>
    <row r="476" ht="14.4" customFormat="1" customHeight="1" s="5">
      <c r="A476" s="85" t="inlineStr">
        <is>
          <t>5 этап</t>
        </is>
      </c>
      <c r="B476" s="96" t="inlineStr">
        <is>
          <t>5.10.40</t>
        </is>
      </c>
      <c r="C476" s="35" t="inlineStr">
        <is>
          <t>Трубный хомут заземления МХ</t>
        </is>
      </c>
      <c r="D476" s="39" t="inlineStr">
        <is>
          <t>шт</t>
        </is>
      </c>
      <c r="E476" s="84" t="n">
        <v>3</v>
      </c>
      <c r="F476" s="146" t="n">
        <v>1600</v>
      </c>
      <c r="G476" s="146" t="n">
        <v>4800</v>
      </c>
      <c r="H476" t="inlineStr">
        <is>
          <t>ФЕР-2020 × 0.75</t>
        </is>
      </c>
    </row>
    <row r="477" ht="14.4" customFormat="1" customHeight="1" s="5">
      <c r="A477" s="85" t="inlineStr">
        <is>
          <t>5 этап</t>
        </is>
      </c>
      <c r="B477" s="96" t="inlineStr">
        <is>
          <t>5.10.41</t>
        </is>
      </c>
      <c r="C477" s="35" t="inlineStr">
        <is>
          <t>Металлорукав нг</t>
        </is>
      </c>
      <c r="D477" s="39" t="inlineStr">
        <is>
          <t>м. пог</t>
        </is>
      </c>
      <c r="E477" s="84" t="n">
        <v>3000</v>
      </c>
      <c r="F477" s="146" t="n">
        <v>3500</v>
      </c>
      <c r="G477" s="146" t="n">
        <v>10500000</v>
      </c>
      <c r="H477" t="inlineStr">
        <is>
          <t>Экспертная оценка</t>
        </is>
      </c>
    </row>
    <row r="478" ht="14.4" customFormat="1" customHeight="1" s="5">
      <c r="A478" s="85" t="inlineStr">
        <is>
          <t>5 этап</t>
        </is>
      </c>
      <c r="B478" s="96" t="inlineStr">
        <is>
          <t>5.10.42</t>
        </is>
      </c>
      <c r="C478" s="35" t="inlineStr">
        <is>
          <t>ПВХ РЗ-ЦП - 32д</t>
        </is>
      </c>
      <c r="D478" s="39" t="inlineStr">
        <is>
          <t>м. пог</t>
        </is>
      </c>
      <c r="E478" s="84" t="n">
        <v>120</v>
      </c>
      <c r="F478" s="146" t="n">
        <v>3500</v>
      </c>
      <c r="G478" s="146" t="n">
        <v>420000</v>
      </c>
      <c r="H478" t="inlineStr">
        <is>
          <t>Экспертная оценка</t>
        </is>
      </c>
    </row>
    <row r="479" ht="16.2" customFormat="1" customHeight="1" s="5">
      <c r="A479" s="99" t="n"/>
      <c r="B479" s="96" t="n"/>
      <c r="C479" s="100" t="n"/>
      <c r="D479" s="159" t="n"/>
      <c r="E479" s="159" t="n"/>
    </row>
    <row r="480" ht="22.8" customFormat="1" customHeight="1" s="5">
      <c r="A480" s="26" t="inlineStr">
        <is>
          <t>5 этап</t>
        </is>
      </c>
      <c r="B480" s="27" t="inlineStr">
        <is>
          <t>5.1</t>
        </is>
      </c>
      <c r="C480" s="31" t="inlineStr">
        <is>
          <t>Отделочные работы</t>
        </is>
      </c>
      <c r="D480" s="39" t="n"/>
      <c r="E480" s="102" t="n"/>
    </row>
    <row r="481" ht="22.8" customFormat="1" customHeight="1" s="5">
      <c r="A481" s="26" t="n"/>
      <c r="B481" s="27" t="inlineStr">
        <is>
          <t>5.10.1</t>
        </is>
      </c>
      <c r="C481" s="31" t="inlineStr">
        <is>
          <t>Устройство огезащитноых покрытий МК</t>
        </is>
      </c>
      <c r="D481" s="54" t="inlineStr">
        <is>
          <t>компл.</t>
        </is>
      </c>
      <c r="E481" s="103" t="n">
        <v>1</v>
      </c>
      <c r="F481" s="146" t="n">
        <v>750000</v>
      </c>
      <c r="G481" s="146" t="n">
        <v>750000</v>
      </c>
      <c r="H481" t="inlineStr">
        <is>
          <t>Экспертная оценка</t>
        </is>
      </c>
    </row>
    <row r="482" ht="30.6" customFormat="1" customHeight="1" s="5">
      <c r="A482" s="104" t="inlineStr">
        <is>
          <t>5 этап</t>
        </is>
      </c>
      <c r="B482" s="27" t="inlineStr">
        <is>
          <t>5.10.1</t>
        </is>
      </c>
      <c r="C482" s="31" t="inlineStr">
        <is>
          <t>Устройство огезащитноых покрытий металлических конструкций  здания Общежития</t>
        </is>
      </c>
      <c r="D482" s="54" t="n"/>
      <c r="E482" s="141" t="n"/>
    </row>
    <row r="483" ht="43.2" customFormat="1" customHeight="1" s="5">
      <c r="A483" s="61" t="inlineStr">
        <is>
          <t>5 этап</t>
        </is>
      </c>
      <c r="B483" s="34" t="inlineStr">
        <is>
          <t>5.10.1.1</t>
        </is>
      </c>
      <c r="C483" s="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90 мин. </t>
        </is>
      </c>
      <c r="D483" s="36" t="inlineStr">
        <is>
          <t>м2</t>
        </is>
      </c>
      <c r="E483" s="160" t="n">
        <v>941.76</v>
      </c>
      <c r="F483" s="146" t="n">
        <v>2000</v>
      </c>
      <c r="G483" s="146" t="n">
        <v>1883520</v>
      </c>
      <c r="H483" t="inlineStr">
        <is>
          <t>Экспертная оценка</t>
        </is>
      </c>
    </row>
    <row r="484" ht="43.2" customFormat="1" customHeight="1" s="5">
      <c r="A484" s="61" t="inlineStr">
        <is>
          <t>5 этап</t>
        </is>
      </c>
      <c r="B484" s="34" t="inlineStr">
        <is>
          <t>5.10.1.2</t>
        </is>
      </c>
      <c r="C484" s="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60 мин. </t>
        </is>
      </c>
      <c r="D484" s="36" t="inlineStr">
        <is>
          <t>м2</t>
        </is>
      </c>
      <c r="E484" s="160" t="n">
        <v>197.57</v>
      </c>
      <c r="F484" s="146" t="n">
        <v>2000</v>
      </c>
      <c r="G484" s="146" t="n">
        <v>395140</v>
      </c>
      <c r="H484" t="inlineStr">
        <is>
          <t>Экспертная оценка</t>
        </is>
      </c>
    </row>
    <row r="485" ht="43.2" customFormat="1" customHeight="1" s="5">
      <c r="A485" s="61" t="inlineStr">
        <is>
          <t>5 этап</t>
        </is>
      </c>
      <c r="B485" s="34" t="inlineStr">
        <is>
          <t>5.10.1.3</t>
        </is>
      </c>
      <c r="C485" s="38" t="inlineStr">
        <is>
          <t xml:space="preserve">Устройство огезащитного покрытий металлических конструкций Общежития  с функцией финишного покрытия до предела огнестойкости 45 мин. </t>
        </is>
      </c>
      <c r="D485" s="36" t="inlineStr">
        <is>
          <t>м2</t>
        </is>
      </c>
      <c r="E485" s="160" t="n">
        <v>3282.67</v>
      </c>
      <c r="F485" s="146" t="n">
        <v>2000</v>
      </c>
      <c r="G485" s="146" t="n">
        <v>6565340</v>
      </c>
      <c r="H485" t="inlineStr">
        <is>
          <t>Экспертная оценка</t>
        </is>
      </c>
    </row>
    <row r="486" ht="31.8" customFormat="1" customHeight="1" s="5">
      <c r="A486" s="104" t="inlineStr">
        <is>
          <t>5 этап</t>
        </is>
      </c>
      <c r="B486" s="27" t="inlineStr">
        <is>
          <t>5.10.2</t>
        </is>
      </c>
      <c r="C486" s="52" t="inlineStr">
        <is>
          <t>Устройство огезащитноых покрытий металлических конструкций  здания АБК</t>
        </is>
      </c>
      <c r="D486" s="54" t="n"/>
      <c r="E486" s="141" t="n"/>
    </row>
    <row r="487" ht="41.4" customFormat="1" customHeight="1" s="5">
      <c r="A487" s="61" t="inlineStr">
        <is>
          <t>5 этап</t>
        </is>
      </c>
      <c r="B487" s="34" t="inlineStr">
        <is>
          <t>5.10.2.1</t>
        </is>
      </c>
      <c r="C487" s="38" t="inlineStr">
        <is>
          <t xml:space="preserve">Устройство огезащитного покрытий металлических конструкций АБК  с функцией финишного покрытия до предела огнестойкости 45 мин. </t>
        </is>
      </c>
      <c r="D487" s="36" t="inlineStr">
        <is>
          <t>м2</t>
        </is>
      </c>
      <c r="E487" s="160" t="n">
        <v>2156.72</v>
      </c>
      <c r="F487" s="146" t="n">
        <v>2000</v>
      </c>
      <c r="G487" s="146" t="n">
        <v>4313440</v>
      </c>
      <c r="H487" t="inlineStr">
        <is>
          <t>Экспертная оценка</t>
        </is>
      </c>
    </row>
    <row r="488" ht="31.8" customFormat="1" customHeight="1" s="5">
      <c r="A488" s="104" t="inlineStr">
        <is>
          <t>5 этап</t>
        </is>
      </c>
      <c r="B488" s="27" t="inlineStr">
        <is>
          <t>5.10.3</t>
        </is>
      </c>
      <c r="C488" s="52" t="inlineStr">
        <is>
          <t>Устройство огезащитноых покрытий металлических конструкций  Галереи</t>
        </is>
      </c>
      <c r="D488" s="54" t="n"/>
      <c r="E488" s="141" t="n"/>
    </row>
    <row r="489" ht="42" customFormat="1" customHeight="1" s="5">
      <c r="A489" s="61" t="inlineStr">
        <is>
          <t>5 этап</t>
        </is>
      </c>
      <c r="B489" s="34" t="inlineStr">
        <is>
          <t>5.10.3.1</t>
        </is>
      </c>
      <c r="C489" s="38" t="inlineStr">
        <is>
          <t xml:space="preserve">Устройство огезащитного покрытий металлических конструкций Галереи  с функцией финишного покрытия до предела огнестойкости 45 мин. </t>
        </is>
      </c>
      <c r="D489" s="36" t="inlineStr">
        <is>
          <t>м2</t>
        </is>
      </c>
      <c r="E489" s="160" t="n">
        <v>142.66</v>
      </c>
      <c r="F489" s="146" t="n">
        <v>2000</v>
      </c>
      <c r="G489" s="146" t="n">
        <v>285320</v>
      </c>
      <c r="H489" t="inlineStr">
        <is>
          <t>Экспертная оценка</t>
        </is>
      </c>
    </row>
    <row r="490" ht="16.2" customFormat="1" customHeight="1" s="5">
      <c r="A490" s="106" t="inlineStr">
        <is>
          <t>5 этап</t>
        </is>
      </c>
      <c r="B490" s="50" t="inlineStr">
        <is>
          <t>5.1</t>
        </is>
      </c>
      <c r="C490" s="52" t="inlineStr">
        <is>
          <t>Устройство полов здания Общежития</t>
        </is>
      </c>
      <c r="D490" s="54" t="inlineStr">
        <is>
          <t>компл.</t>
        </is>
      </c>
      <c r="E490" s="103" t="n">
        <v>1</v>
      </c>
      <c r="F490" s="146" t="n">
        <v>3500</v>
      </c>
      <c r="G490" s="146" t="n">
        <v>3500</v>
      </c>
      <c r="H490" t="inlineStr">
        <is>
          <t>ФЕР-2020 × 0.75</t>
        </is>
      </c>
    </row>
    <row r="491" ht="41.4" customFormat="1" customHeight="1" s="5">
      <c r="A491" s="104" t="inlineStr">
        <is>
          <t>5 этап</t>
        </is>
      </c>
      <c r="B491" s="27" t="inlineStr">
        <is>
          <t>5.1.1</t>
        </is>
      </c>
      <c r="C491" s="38" t="inlineStr">
        <is>
          <t>Устройство армированной монолитной плиты пола 1 этажа с утеплением экструдированным пенополистиролом и гидроизоляцией ПВХ- пленкой</t>
        </is>
      </c>
      <c r="D491" s="36" t="inlineStr">
        <is>
          <t>м2</t>
        </is>
      </c>
      <c r="E491" s="160" t="n">
        <v>839.41</v>
      </c>
      <c r="F491" s="146" t="n">
        <v>80000</v>
      </c>
      <c r="G491" s="146" t="n">
        <v>67152800</v>
      </c>
      <c r="H491" t="inlineStr">
        <is>
          <t>ФЕР-2020 × 0.75</t>
        </is>
      </c>
    </row>
    <row r="492" ht="27.6" customFormat="1" customHeight="1" s="5">
      <c r="A492" s="61" t="inlineStr">
        <is>
          <t>5 этап</t>
        </is>
      </c>
      <c r="B492" s="34" t="inlineStr">
        <is>
          <t>5.1.2</t>
        </is>
      </c>
      <c r="C492" s="38" t="inlineStr">
        <is>
          <t>Устройство стяжек из цементно-песчаного раствора М 150 50 мм</t>
        </is>
      </c>
      <c r="D492" s="36" t="inlineStr">
        <is>
          <t>м2</t>
        </is>
      </c>
      <c r="E492" s="161">
        <f>259.15+52.57</f>
        <v/>
      </c>
    </row>
    <row r="493" ht="27.6" customFormat="1" customHeight="1" s="5">
      <c r="A493" s="61" t="inlineStr">
        <is>
          <t>5 этап</t>
        </is>
      </c>
      <c r="B493" s="34" t="inlineStr">
        <is>
          <t>5.1.3</t>
        </is>
      </c>
      <c r="C493" s="38" t="inlineStr">
        <is>
          <t>Устройство стяжек из цементно-песчаного раствора М 150 57 мм</t>
        </is>
      </c>
      <c r="D493" s="36" t="inlineStr">
        <is>
          <t>м2</t>
        </is>
      </c>
      <c r="E493" s="160">
        <f>427.84</f>
        <v/>
      </c>
    </row>
    <row r="494" ht="14.4" customFormat="1" customHeight="1" s="5">
      <c r="A494" s="61" t="inlineStr">
        <is>
          <t>5 этап</t>
        </is>
      </c>
      <c r="B494" s="34" t="inlineStr">
        <is>
          <t>5.1.4</t>
        </is>
      </c>
      <c r="C494" s="38" t="inlineStr">
        <is>
          <t>Самовыравнивающаяся смесь 65 мм</t>
        </is>
      </c>
      <c r="D494" s="36" t="inlineStr">
        <is>
          <t>м2</t>
        </is>
      </c>
      <c r="E494" s="160" t="n">
        <v>27.77</v>
      </c>
      <c r="F494" s="146" t="n">
        <v>2000</v>
      </c>
      <c r="G494" s="146" t="n">
        <v>55540</v>
      </c>
      <c r="H494" t="inlineStr">
        <is>
          <t>Экспертная оценка</t>
        </is>
      </c>
    </row>
    <row r="495" ht="14.4" customFormat="1" customHeight="1" s="5">
      <c r="A495" s="61" t="inlineStr">
        <is>
          <t>5 этап</t>
        </is>
      </c>
      <c r="B495" s="34" t="inlineStr">
        <is>
          <t>5.1.5</t>
        </is>
      </c>
      <c r="C495" s="38" t="inlineStr">
        <is>
          <t>Самовыравнивающаяся смесь 57 мм</t>
        </is>
      </c>
      <c r="D495" s="36" t="inlineStr">
        <is>
          <t>м2</t>
        </is>
      </c>
      <c r="E495" s="160" t="n">
        <v>6.65</v>
      </c>
      <c r="F495" s="146" t="n">
        <v>2000</v>
      </c>
      <c r="G495" s="146" t="n">
        <v>13300</v>
      </c>
      <c r="H495" t="inlineStr">
        <is>
          <t>Экспертная оценка</t>
        </is>
      </c>
    </row>
    <row r="496" ht="27.6" customFormat="1" customHeight="1" s="5">
      <c r="A496" s="61" t="inlineStr">
        <is>
          <t>5 этап</t>
        </is>
      </c>
      <c r="B496" s="34" t="inlineStr">
        <is>
          <t>5.1.6</t>
        </is>
      </c>
      <c r="C496" s="38" t="inlineStr">
        <is>
          <t>Самовыравнивающаяся смесь 30 мм (помещения и лестницы)</t>
        </is>
      </c>
      <c r="D496" s="36" t="inlineStr">
        <is>
          <t>м2</t>
        </is>
      </c>
      <c r="E496" s="160">
        <f>17.2+30.95+5.21</f>
        <v/>
      </c>
    </row>
    <row r="497" ht="14.4" customFormat="1" customHeight="1" s="5">
      <c r="A497" s="61" t="inlineStr">
        <is>
          <t>5 этап</t>
        </is>
      </c>
      <c r="B497" s="34" t="inlineStr">
        <is>
          <t>5.1.7</t>
        </is>
      </c>
      <c r="C497" s="38" t="inlineStr">
        <is>
          <t>Самовыравнивающаяся смесь 10 мм</t>
        </is>
      </c>
      <c r="D497" s="36" t="inlineStr">
        <is>
          <t>м2</t>
        </is>
      </c>
      <c r="E497" s="160" t="n">
        <v>6.95</v>
      </c>
      <c r="F497" s="146" t="n">
        <v>2000</v>
      </c>
      <c r="G497" s="146" t="n">
        <v>13900</v>
      </c>
      <c r="H497" t="inlineStr">
        <is>
          <t>Экспертная оценка</t>
        </is>
      </c>
    </row>
    <row r="498" ht="27.6" customFormat="1" customHeight="1" s="5">
      <c r="A498" s="61" t="inlineStr">
        <is>
          <t>5 этап</t>
        </is>
      </c>
      <c r="B498" s="34" t="inlineStr">
        <is>
          <t>5.1.8</t>
        </is>
      </c>
      <c r="C498" s="38" t="inlineStr">
        <is>
          <t>Устройство стяжек из цементно-песчаного раствора М 150 50-75 мм</t>
        </is>
      </c>
      <c r="D498" s="36" t="inlineStr">
        <is>
          <t>м2</t>
        </is>
      </c>
      <c r="E498" s="160">
        <f>152.86+4.02+129.56+4.02</f>
        <v/>
      </c>
    </row>
    <row r="499" ht="27.6" customFormat="1" customHeight="1" s="5">
      <c r="A499" s="61" t="inlineStr">
        <is>
          <t>5 этап</t>
        </is>
      </c>
      <c r="B499" s="34" t="inlineStr">
        <is>
          <t>5.1.9</t>
        </is>
      </c>
      <c r="C499" s="38" t="inlineStr">
        <is>
          <t>Устройство стяжек из цементно-песчаного раствора М 150 50-65 мм</t>
        </is>
      </c>
      <c r="D499" s="36" t="inlineStr">
        <is>
          <t>м2</t>
        </is>
      </c>
      <c r="E499" s="160">
        <f>578.96</f>
        <v/>
      </c>
    </row>
    <row r="500" ht="14.4" customFormat="1" customHeight="1" s="5">
      <c r="A500" s="61" t="inlineStr">
        <is>
          <t>5 этап</t>
        </is>
      </c>
      <c r="B500" s="34" t="inlineStr">
        <is>
          <t>5.1.10</t>
        </is>
      </c>
      <c r="C500" s="38" t="inlineStr">
        <is>
          <t>Бетонная стяжка 50 мм</t>
        </is>
      </c>
      <c r="D500" s="36" t="inlineStr">
        <is>
          <t>м2</t>
        </is>
      </c>
      <c r="E500" s="160" t="n">
        <v>52.57</v>
      </c>
      <c r="F500" s="146" t="n">
        <v>11800</v>
      </c>
      <c r="G500" s="146" t="n">
        <v>620326</v>
      </c>
      <c r="H500" t="inlineStr">
        <is>
          <t>ФЕР-2020 × 0.75</t>
        </is>
      </c>
    </row>
    <row r="501" ht="14.4" customFormat="1" customHeight="1" s="5">
      <c r="A501" s="61" t="inlineStr">
        <is>
          <t>5 этап</t>
        </is>
      </c>
      <c r="B501" s="34" t="inlineStr">
        <is>
          <t>5.1.11</t>
        </is>
      </c>
      <c r="C501" s="38" t="inlineStr">
        <is>
          <t>Бетонная стяжка 50-75 мм</t>
        </is>
      </c>
      <c r="D501" s="36" t="inlineStr">
        <is>
          <t>м2</t>
        </is>
      </c>
      <c r="E501" s="160">
        <f>56.3+97.46</f>
        <v/>
      </c>
    </row>
    <row r="502" ht="27.6" customFormat="1" customHeight="1" s="5">
      <c r="A502" s="61" t="inlineStr">
        <is>
          <t>5 этап</t>
        </is>
      </c>
      <c r="B502" s="34" t="inlineStr">
        <is>
          <t>5.1.12</t>
        </is>
      </c>
      <c r="C502" s="38" t="inlineStr">
        <is>
          <t xml:space="preserve">Установка нагревательных матов теплого пола в помещениях санузлов </t>
        </is>
      </c>
      <c r="D502" s="36" t="inlineStr">
        <is>
          <t>м2</t>
        </is>
      </c>
      <c r="E502" s="160">
        <f>52.57+56.3+97.46</f>
        <v/>
      </c>
    </row>
    <row r="503" ht="27.6" customFormat="1" customHeight="1" s="5">
      <c r="A503" s="61" t="inlineStr">
        <is>
          <t>5 этап</t>
        </is>
      </c>
      <c r="B503" s="34" t="inlineStr">
        <is>
          <t>5.1.13</t>
        </is>
      </c>
      <c r="C503" s="38" t="inlineStr">
        <is>
          <t>Устройство обмазочной гидроизоляции полов во влажных помещениях</t>
        </is>
      </c>
      <c r="D503" s="36" t="inlineStr">
        <is>
          <t>м2</t>
        </is>
      </c>
      <c r="E503" s="160">
        <f>52.57+6.95+4.02+56.3+4.02+97.46</f>
        <v/>
      </c>
    </row>
    <row r="504" ht="27.6" customFormat="1" customHeight="1" s="5">
      <c r="A504" s="61" t="inlineStr">
        <is>
          <t>5 этап</t>
        </is>
      </c>
      <c r="B504" s="34" t="inlineStr">
        <is>
          <t>5.1.14</t>
        </is>
      </c>
      <c r="C504" s="38" t="inlineStr">
        <is>
          <t xml:space="preserve">Укладка напольной плитки керамической 600×600 мм в общих зонах </t>
        </is>
      </c>
      <c r="D504" s="36" t="inlineStr">
        <is>
          <t>м2</t>
        </is>
      </c>
      <c r="E504" s="160">
        <f>259.15+152.86+129.26</f>
        <v/>
      </c>
    </row>
    <row r="505" ht="27.6" customFormat="1" customHeight="1" s="5">
      <c r="A505" s="61" t="inlineStr">
        <is>
          <t>5 этап</t>
        </is>
      </c>
      <c r="B505" s="34" t="inlineStr">
        <is>
          <t>5.1.15</t>
        </is>
      </c>
      <c r="C505" s="38" t="inlineStr">
        <is>
          <t>Укладка напольной плитки керамической с шероховатой поверхностью 600×600 мм мокрые зоны с/у и душевые</t>
        </is>
      </c>
      <c r="D505" s="36" t="inlineStr">
        <is>
          <t>м2</t>
        </is>
      </c>
      <c r="E505" s="160">
        <f>52.57+6.95+4.02+56.3+4.02+97.46</f>
        <v/>
      </c>
    </row>
    <row r="506" ht="27.6" customFormat="1" customHeight="1" s="5">
      <c r="A506" s="61" t="inlineStr">
        <is>
          <t>5 этап</t>
        </is>
      </c>
      <c r="B506" s="34" t="inlineStr">
        <is>
          <t>5.1.16</t>
        </is>
      </c>
      <c r="C506" s="38" t="inlineStr">
        <is>
          <t>Укладка напольной плитки керамической с шероховатой поверхностью 300×300 мм лестницы</t>
        </is>
      </c>
      <c r="D506" s="36" t="inlineStr">
        <is>
          <t>м2</t>
        </is>
      </c>
      <c r="E506" s="160">
        <f>30.95+5.21</f>
        <v/>
      </c>
    </row>
    <row r="507" ht="27.6" customFormat="1" customHeight="1" s="5">
      <c r="A507" s="61" t="inlineStr">
        <is>
          <t>5 этап</t>
        </is>
      </c>
      <c r="B507" s="34" t="inlineStr">
        <is>
          <t>5.1.17</t>
        </is>
      </c>
      <c r="C507" s="38" t="inlineStr">
        <is>
          <t>Укладка ламината промышленного 34 класса с подложкой и устроцством плинтуса МДФ</t>
        </is>
      </c>
      <c r="D507" s="36" t="inlineStr">
        <is>
          <t>м2</t>
        </is>
      </c>
      <c r="E507" s="160">
        <f>427.84+578.96+534.53</f>
        <v/>
      </c>
    </row>
    <row r="508" ht="14.4" customFormat="1" customHeight="1" s="5">
      <c r="A508" s="61" t="inlineStr">
        <is>
          <t>5 этап</t>
        </is>
      </c>
      <c r="B508" s="34" t="inlineStr">
        <is>
          <t>5.1.18</t>
        </is>
      </c>
      <c r="C508" s="108" t="inlineStr">
        <is>
          <t>Устройство напольного покрытия из ковролина</t>
        </is>
      </c>
      <c r="D508" s="36" t="inlineStr">
        <is>
          <t>м2</t>
        </is>
      </c>
      <c r="E508" s="160">
        <f>27.77</f>
        <v/>
      </c>
    </row>
    <row r="509" ht="14.4" customFormat="1" customHeight="1" s="5">
      <c r="A509" s="61" t="inlineStr">
        <is>
          <t>5 этап</t>
        </is>
      </c>
      <c r="B509" s="34" t="inlineStr">
        <is>
          <t>5.1.19</t>
        </is>
      </c>
      <c r="C509" s="108" t="inlineStr">
        <is>
          <t>Устройство покрытий из антистатического линолеума</t>
        </is>
      </c>
      <c r="D509" s="36" t="inlineStr">
        <is>
          <t>м2</t>
        </is>
      </c>
      <c r="E509" s="160">
        <f>6.65</f>
        <v/>
      </c>
    </row>
    <row r="510" ht="14.4" customFormat="1" customHeight="1" s="5">
      <c r="A510" s="61" t="inlineStr">
        <is>
          <t>5 этап</t>
        </is>
      </c>
      <c r="B510" s="34" t="inlineStr">
        <is>
          <t>5.1.20</t>
        </is>
      </c>
      <c r="C510" s="108" t="inlineStr">
        <is>
          <t>Покраска пола полимерной краской</t>
        </is>
      </c>
      <c r="D510" s="36" t="inlineStr">
        <is>
          <t>м2</t>
        </is>
      </c>
      <c r="E510" s="160" t="n">
        <v>17.2</v>
      </c>
      <c r="F510" s="146" t="n">
        <v>1000</v>
      </c>
      <c r="G510" s="146" t="n">
        <v>17200</v>
      </c>
      <c r="H510" t="inlineStr">
        <is>
          <t>ФЕР-2020 × 0.75</t>
        </is>
      </c>
    </row>
    <row r="511" ht="27.6" customFormat="1" customHeight="1" s="5">
      <c r="A511" s="61" t="inlineStr">
        <is>
          <t>5 этап</t>
        </is>
      </c>
      <c r="B511" s="34" t="inlineStr">
        <is>
          <t>5.1.21</t>
        </is>
      </c>
      <c r="C511" s="109" t="inlineStr">
        <is>
          <t>Гранит с термообработкой серого цвета на клеевой основе (входные группы)</t>
        </is>
      </c>
      <c r="D511" s="36" t="inlineStr">
        <is>
          <t>м2</t>
        </is>
      </c>
      <c r="E511" s="160" t="n">
        <v>60.84</v>
      </c>
      <c r="F511" s="146" t="n">
        <v>2000</v>
      </c>
      <c r="G511" s="146" t="n">
        <v>121680</v>
      </c>
      <c r="H511" t="inlineStr">
        <is>
          <t>Экспертная оценка</t>
        </is>
      </c>
    </row>
    <row r="512" ht="14.4" customFormat="1" customHeight="1" s="5">
      <c r="A512" s="104" t="inlineStr">
        <is>
          <t>5 этап</t>
        </is>
      </c>
      <c r="B512" s="72" t="inlineStr">
        <is>
          <t>5.2</t>
        </is>
      </c>
      <c r="C512" s="60" t="inlineStr">
        <is>
          <t>Устройство полов здания АБК</t>
        </is>
      </c>
      <c r="D512" s="54" t="inlineStr">
        <is>
          <t>компл.</t>
        </is>
      </c>
      <c r="E512" s="103" t="n">
        <v>1</v>
      </c>
      <c r="F512" s="146" t="n">
        <v>3500</v>
      </c>
      <c r="G512" s="146" t="n">
        <v>3500</v>
      </c>
      <c r="H512" t="inlineStr">
        <is>
          <t>ФЕР-2020 × 0.75</t>
        </is>
      </c>
    </row>
    <row r="513" ht="41.4" customFormat="1" customHeight="1" s="5">
      <c r="A513" s="104" t="inlineStr">
        <is>
          <t>5 этап</t>
        </is>
      </c>
      <c r="B513" s="27" t="inlineStr">
        <is>
          <t>5.2.1</t>
        </is>
      </c>
      <c r="C513" s="38" t="inlineStr">
        <is>
          <t>Устройство армированной монолитной плиты пола 1 этажа с утеплением экструдированным пенополистиролом и гидроизоляцией ПВХ- пленкой</t>
        </is>
      </c>
      <c r="D513" s="36" t="inlineStr">
        <is>
          <t>м2</t>
        </is>
      </c>
      <c r="E513" s="160" t="n">
        <v>631</v>
      </c>
      <c r="F513" s="146" t="n">
        <v>80000</v>
      </c>
      <c r="G513" s="146" t="n">
        <v>50480000</v>
      </c>
      <c r="H513" t="inlineStr">
        <is>
          <t>ФЕР-2020 × 0.75</t>
        </is>
      </c>
    </row>
    <row r="514" ht="27.6" customFormat="1" customHeight="1" s="5">
      <c r="A514" s="61" t="inlineStr">
        <is>
          <t>5 этап</t>
        </is>
      </c>
      <c r="B514" s="34" t="inlineStr">
        <is>
          <t>5.2.2</t>
        </is>
      </c>
      <c r="C514" s="38" t="inlineStr">
        <is>
          <t>Устройство стяжек из цементно-песчаного раствора М 150 уклонообразующая 80мм</t>
        </is>
      </c>
      <c r="D514" s="36" t="inlineStr">
        <is>
          <t>м2</t>
        </is>
      </c>
      <c r="E514" s="160">
        <f>94.74</f>
        <v/>
      </c>
    </row>
    <row r="515" ht="27.6" customFormat="1" customHeight="1" s="5">
      <c r="A515" s="61" t="inlineStr">
        <is>
          <t>5 этап</t>
        </is>
      </c>
      <c r="B515" s="34" t="inlineStr">
        <is>
          <t>5.2.3</t>
        </is>
      </c>
      <c r="C515" s="38" t="inlineStr">
        <is>
          <t>Устройство стяжек из цементно-песчаного раствора М 150 50мм</t>
        </is>
      </c>
      <c r="D515" s="36" t="inlineStr">
        <is>
          <t>м2</t>
        </is>
      </c>
      <c r="E515" s="160">
        <f>16.4</f>
        <v/>
      </c>
    </row>
    <row r="516" ht="27.6" customFormat="1" customHeight="1" s="5">
      <c r="A516" s="61" t="inlineStr">
        <is>
          <t>5 этап</t>
        </is>
      </c>
      <c r="B516" s="34" t="inlineStr">
        <is>
          <t>5.2.4</t>
        </is>
      </c>
      <c r="C516" s="38" t="inlineStr">
        <is>
          <t>Устройство стяжек из цементно-песчаного раствора М 150 50-55мм</t>
        </is>
      </c>
      <c r="D516" s="36" t="inlineStr">
        <is>
          <t>м2</t>
        </is>
      </c>
      <c r="E516" s="160">
        <f>84.84</f>
        <v/>
      </c>
    </row>
    <row r="517" ht="27.6" customFormat="1" customHeight="1" s="5">
      <c r="A517" s="61" t="inlineStr">
        <is>
          <t>5 этап</t>
        </is>
      </c>
      <c r="B517" s="34" t="inlineStr">
        <is>
          <t>5.2.5</t>
        </is>
      </c>
      <c r="C517" s="38" t="inlineStr">
        <is>
          <t>Устройство стяжек из цементно-песчаного раствора М 150 50-85мм</t>
        </is>
      </c>
      <c r="D517" s="36" t="inlineStr">
        <is>
          <t>м2</t>
        </is>
      </c>
      <c r="E517" s="160">
        <f>440.55+11.9</f>
        <v/>
      </c>
    </row>
    <row r="518" ht="27.6" customFormat="1" customHeight="1" s="5">
      <c r="A518" s="61" t="inlineStr">
        <is>
          <t>5 этап</t>
        </is>
      </c>
      <c r="B518" s="34" t="inlineStr">
        <is>
          <t>5.2.6</t>
        </is>
      </c>
      <c r="C518" s="38" t="inlineStr">
        <is>
          <t>Устройство стяжек из цементно-песчаного раствора М 150 50-75 мм</t>
        </is>
      </c>
      <c r="D518" s="36" t="inlineStr">
        <is>
          <t>м2</t>
        </is>
      </c>
      <c r="E518" s="160">
        <f>26.26+93.96</f>
        <v/>
      </c>
    </row>
    <row r="519" ht="27.6" customFormat="1" customHeight="1" s="5">
      <c r="A519" s="61" t="inlineStr">
        <is>
          <t>5 этап</t>
        </is>
      </c>
      <c r="B519" s="34" t="inlineStr">
        <is>
          <t>5.2.7</t>
        </is>
      </c>
      <c r="C519" s="38" t="inlineStr">
        <is>
          <t>Самовыравнивающаяся смесь 30 мм (помещения и лестницы)</t>
        </is>
      </c>
      <c r="D519" s="36" t="inlineStr">
        <is>
          <t>м2</t>
        </is>
      </c>
      <c r="E519" s="160">
        <f>12.2+67.8</f>
        <v/>
      </c>
    </row>
    <row r="520" ht="14.4" customFormat="1" customHeight="1" s="5">
      <c r="A520" s="61" t="inlineStr">
        <is>
          <t>5 этап</t>
        </is>
      </c>
      <c r="B520" s="34" t="inlineStr">
        <is>
          <t>5.2.8</t>
        </is>
      </c>
      <c r="C520" s="38" t="inlineStr">
        <is>
          <t>Самовыравнивающаяся смесь 10 мм</t>
        </is>
      </c>
      <c r="D520" s="36" t="inlineStr">
        <is>
          <t>м2</t>
        </is>
      </c>
      <c r="E520" s="160">
        <f>6.95+482.61</f>
        <v/>
      </c>
    </row>
    <row r="521" ht="14.4" customFormat="1" customHeight="1" s="5">
      <c r="A521" s="61" t="inlineStr">
        <is>
          <t>5 этап</t>
        </is>
      </c>
      <c r="B521" s="34" t="inlineStr">
        <is>
          <t>5.2.9</t>
        </is>
      </c>
      <c r="C521" s="38" t="inlineStr">
        <is>
          <t>Самовыравнивающаяся смесь 17 мм</t>
        </is>
      </c>
      <c r="D521" s="36" t="inlineStr">
        <is>
          <t>м2</t>
        </is>
      </c>
      <c r="E521" s="160" t="n">
        <v>84.84</v>
      </c>
      <c r="F521" s="146" t="n">
        <v>2000</v>
      </c>
      <c r="G521" s="146" t="n">
        <v>169680</v>
      </c>
      <c r="H521" t="inlineStr">
        <is>
          <t>Экспертная оценка</t>
        </is>
      </c>
    </row>
    <row r="522" ht="27.6" customFormat="1" customHeight="1" s="5">
      <c r="A522" s="61" t="inlineStr">
        <is>
          <t>5 этап</t>
        </is>
      </c>
      <c r="B522" s="34" t="inlineStr">
        <is>
          <t>5.2.10</t>
        </is>
      </c>
      <c r="C522" s="38" t="inlineStr">
        <is>
          <t xml:space="preserve">Установка нагревательных матов теплого пола в помещениях санузлов </t>
        </is>
      </c>
      <c r="D522" s="36" t="inlineStr">
        <is>
          <t>м2</t>
        </is>
      </c>
      <c r="E522" s="160">
        <f>26.26</f>
        <v/>
      </c>
    </row>
    <row r="523" ht="27.6" customFormat="1" customHeight="1" s="5">
      <c r="A523" s="61" t="inlineStr">
        <is>
          <t>5 этап</t>
        </is>
      </c>
      <c r="B523" s="34" t="inlineStr">
        <is>
          <t>5.2.11</t>
        </is>
      </c>
      <c r="C523" s="38" t="inlineStr">
        <is>
          <t>Устройство обмазочной гидроизоляции полов во влажных помещениях</t>
        </is>
      </c>
      <c r="D523" s="36" t="inlineStr">
        <is>
          <t>м2</t>
        </is>
      </c>
      <c r="E523" s="160">
        <f>93.96+26.26+94.74</f>
        <v/>
      </c>
    </row>
    <row r="524" ht="27.6" customFormat="1" customHeight="1" s="5">
      <c r="A524" s="61" t="inlineStr">
        <is>
          <t>5 этап</t>
        </is>
      </c>
      <c r="B524" s="34" t="inlineStr">
        <is>
          <t>5.2.12</t>
        </is>
      </c>
      <c r="C524" s="38" t="inlineStr">
        <is>
          <t xml:space="preserve">Укладка напольной плитки керамической поверхностью 600×600 мм в общих зонах </t>
        </is>
      </c>
      <c r="D524" s="36" t="inlineStr">
        <is>
          <t>м2</t>
        </is>
      </c>
      <c r="E524" s="160">
        <f>93.96+482.61</f>
        <v/>
      </c>
    </row>
    <row r="525" ht="27.6" customFormat="1" customHeight="1" s="5">
      <c r="A525" s="61" t="inlineStr">
        <is>
          <t>5 этап</t>
        </is>
      </c>
      <c r="B525" s="34" t="inlineStr">
        <is>
          <t>5.2.13</t>
        </is>
      </c>
      <c r="C525" s="38" t="inlineStr">
        <is>
          <t>Укладка напольной плитки керамической с шероховатой поверхностью 600×600 мм в помещениях душевых и с/у</t>
        </is>
      </c>
      <c r="D525" s="36" t="inlineStr">
        <is>
          <t>м2</t>
        </is>
      </c>
      <c r="E525" s="160">
        <f>26.26+94.74</f>
        <v/>
      </c>
    </row>
    <row r="526" ht="27.6" customFormat="1" customHeight="1" s="5">
      <c r="A526" s="61" t="inlineStr">
        <is>
          <t>5 этап</t>
        </is>
      </c>
      <c r="B526" s="34" t="inlineStr">
        <is>
          <t>5.2.14</t>
        </is>
      </c>
      <c r="C526" s="38" t="inlineStr">
        <is>
          <t>Укладка напольной плитки керамической с шероховатой поверхностью 300×300 мм лестницы</t>
        </is>
      </c>
      <c r="D526" s="36" t="inlineStr">
        <is>
          <t>м2</t>
        </is>
      </c>
      <c r="E526" s="160">
        <f>27.26+2.58</f>
        <v/>
      </c>
    </row>
    <row r="527" ht="27.6" customFormat="1" customHeight="1" s="5">
      <c r="A527" s="61" t="inlineStr">
        <is>
          <t>5 этап</t>
        </is>
      </c>
      <c r="B527" s="34" t="inlineStr">
        <is>
          <t>5.2.15</t>
        </is>
      </c>
      <c r="C527" s="38" t="inlineStr">
        <is>
          <t>Укладка ламината промышленного 34 класса с подложкой и устроцством плинтуса МДФ</t>
        </is>
      </c>
      <c r="D527" s="36" t="inlineStr">
        <is>
          <t>м2</t>
        </is>
      </c>
      <c r="E527" s="160">
        <f>440.55</f>
        <v/>
      </c>
    </row>
    <row r="528" ht="14.4" customFormat="1" customHeight="1" s="5">
      <c r="A528" s="61" t="inlineStr">
        <is>
          <t>5 этап</t>
        </is>
      </c>
      <c r="B528" s="34" t="inlineStr">
        <is>
          <t>5.2.16</t>
        </is>
      </c>
      <c r="C528" s="108" t="inlineStr">
        <is>
          <t>Покраска пола полимерной краской</t>
        </is>
      </c>
      <c r="D528" s="36" t="inlineStr">
        <is>
          <t>м2</t>
        </is>
      </c>
      <c r="E528" s="160" t="n">
        <v>17.2</v>
      </c>
      <c r="F528" s="146" t="n">
        <v>1000</v>
      </c>
      <c r="G528" s="146" t="n">
        <v>17200</v>
      </c>
      <c r="H528" t="inlineStr">
        <is>
          <t>ФЕР-2020 × 0.75</t>
        </is>
      </c>
    </row>
    <row r="529" ht="14.4" customFormat="1" customHeight="1" s="5">
      <c r="A529" s="61" t="inlineStr">
        <is>
          <t>5 этап</t>
        </is>
      </c>
      <c r="B529" s="34" t="inlineStr">
        <is>
          <t>5.2.17</t>
        </is>
      </c>
      <c r="C529" s="108" t="inlineStr">
        <is>
          <t>Устройство покрытий из антистатического линолеума</t>
        </is>
      </c>
      <c r="D529" s="36" t="inlineStr">
        <is>
          <t>м2</t>
        </is>
      </c>
      <c r="E529" s="160">
        <f>11.9</f>
        <v/>
      </c>
    </row>
    <row r="530" ht="27.6" customFormat="1" customHeight="1" s="5">
      <c r="A530" s="61" t="inlineStr">
        <is>
          <t>5 этап</t>
        </is>
      </c>
      <c r="B530" s="34" t="inlineStr">
        <is>
          <t>5.2.18</t>
        </is>
      </c>
      <c r="C530" s="38" t="inlineStr">
        <is>
          <t>Устройство спортивного резинового покрытия  в помещении спортзала</t>
        </is>
      </c>
      <c r="D530" s="36" t="inlineStr">
        <is>
          <t>м2</t>
        </is>
      </c>
      <c r="E530" s="160" t="n">
        <v>84.84</v>
      </c>
      <c r="F530" s="146" t="n">
        <v>2000</v>
      </c>
      <c r="G530" s="146" t="n">
        <v>169680</v>
      </c>
      <c r="H530" t="inlineStr">
        <is>
          <t>Экспертная оценка</t>
        </is>
      </c>
    </row>
    <row r="531" ht="14.4" customFormat="1" customHeight="1" s="5">
      <c r="A531" s="61" t="inlineStr">
        <is>
          <t>5 этап</t>
        </is>
      </c>
      <c r="B531" s="34" t="inlineStr">
        <is>
          <t>5.2.19</t>
        </is>
      </c>
      <c r="C531" s="38" t="inlineStr">
        <is>
          <t>Звукоизоляция 5мм</t>
        </is>
      </c>
      <c r="D531" s="36" t="inlineStr">
        <is>
          <t>м2</t>
        </is>
      </c>
      <c r="E531" s="160">
        <f>93.96+11.9+84.84+26.26+440.55</f>
        <v/>
      </c>
    </row>
    <row r="532" ht="27.6" customFormat="1" customHeight="1" s="5">
      <c r="A532" s="61" t="inlineStr">
        <is>
          <t>5 этап</t>
        </is>
      </c>
      <c r="B532" s="34" t="inlineStr">
        <is>
          <t>5.2.20</t>
        </is>
      </c>
      <c r="C532" s="38" t="inlineStr">
        <is>
          <t>Гранит с термообработкой серого цвета на клеевой основе (входные группы)</t>
        </is>
      </c>
      <c r="D532" s="36" t="inlineStr">
        <is>
          <t>м2</t>
        </is>
      </c>
      <c r="E532" s="160" t="n">
        <v>67.8</v>
      </c>
      <c r="F532" s="146" t="n">
        <v>2000</v>
      </c>
      <c r="G532" s="146" t="n">
        <v>135600</v>
      </c>
      <c r="H532" t="inlineStr">
        <is>
          <t>Экспертная оценка</t>
        </is>
      </c>
    </row>
    <row r="533" ht="27.6" customFormat="1" customHeight="1" s="5">
      <c r="A533" s="61" t="inlineStr">
        <is>
          <t>5 этап</t>
        </is>
      </c>
      <c r="B533" s="34" t="inlineStr">
        <is>
          <t>5.2.21</t>
        </is>
      </c>
      <c r="C533" s="109" t="inlineStr">
        <is>
          <t>Плавающий пол в венткамере Гидроизоляция, пенополистирол 50мм, стяжка 50 мм М150</t>
        </is>
      </c>
      <c r="D533" s="36" t="inlineStr">
        <is>
          <t>м2</t>
        </is>
      </c>
      <c r="E533" s="160" t="n">
        <v>16.4</v>
      </c>
      <c r="F533" s="146" t="n">
        <v>2500</v>
      </c>
      <c r="G533" s="146" t="n">
        <v>41000</v>
      </c>
      <c r="H533" t="inlineStr">
        <is>
          <t>ФЕР-2020 × 0.75</t>
        </is>
      </c>
    </row>
    <row r="534" ht="14.4" customFormat="1" customHeight="1" s="5">
      <c r="A534" s="104" t="inlineStr">
        <is>
          <t>5 этап</t>
        </is>
      </c>
      <c r="B534" s="72" t="inlineStr">
        <is>
          <t>5.3</t>
        </is>
      </c>
      <c r="C534" s="60" t="inlineStr">
        <is>
          <t>Устройство полов Галереи</t>
        </is>
      </c>
      <c r="D534" s="54" t="inlineStr">
        <is>
          <t>компл.</t>
        </is>
      </c>
      <c r="E534" s="103" t="n">
        <v>1</v>
      </c>
      <c r="F534" s="146" t="n">
        <v>3500</v>
      </c>
      <c r="G534" s="146" t="n">
        <v>3500</v>
      </c>
      <c r="H534" t="inlineStr">
        <is>
          <t>ФЕР-2020 × 0.75</t>
        </is>
      </c>
    </row>
    <row r="535" ht="14.4" customFormat="1" customHeight="1" s="5">
      <c r="A535" s="61" t="inlineStr">
        <is>
          <t>5 этап</t>
        </is>
      </c>
      <c r="B535" s="34" t="inlineStr">
        <is>
          <t>5.3.1</t>
        </is>
      </c>
      <c r="C535" s="38" t="inlineStr">
        <is>
          <t>Утепление плиты пола Галереи</t>
        </is>
      </c>
      <c r="D535" s="36" t="inlineStr">
        <is>
          <t>м2</t>
        </is>
      </c>
      <c r="E535" s="160" t="n">
        <v>24.27</v>
      </c>
      <c r="F535" s="146" t="n">
        <v>2900</v>
      </c>
      <c r="G535" s="146" t="n">
        <v>70383</v>
      </c>
      <c r="H535" t="inlineStr">
        <is>
          <t>ФЕР-2020 × 0.75</t>
        </is>
      </c>
    </row>
    <row r="536" ht="27.6" customFormat="1" customHeight="1" s="5">
      <c r="A536" s="61" t="inlineStr">
        <is>
          <t>5 этап</t>
        </is>
      </c>
      <c r="B536" s="34" t="inlineStr">
        <is>
          <t>5.3.2</t>
        </is>
      </c>
      <c r="C536" s="38" t="inlineStr">
        <is>
          <t>Устройство стяжек из цементно-песчаного раствора М 150</t>
        </is>
      </c>
      <c r="D536" s="36" t="inlineStr">
        <is>
          <t>м2</t>
        </is>
      </c>
      <c r="E536" s="160" t="n">
        <v>24.27</v>
      </c>
      <c r="F536" s="146" t="n">
        <v>900</v>
      </c>
      <c r="G536" s="146" t="n">
        <v>21843</v>
      </c>
      <c r="H536" t="inlineStr">
        <is>
          <t>ФЕР-2020 × 0.75</t>
        </is>
      </c>
    </row>
    <row r="537" ht="27.6" customFormat="1" customHeight="1" s="5">
      <c r="A537" s="61" t="inlineStr">
        <is>
          <t>5 этап</t>
        </is>
      </c>
      <c r="B537" s="34" t="inlineStr">
        <is>
          <t>5.3.3</t>
        </is>
      </c>
      <c r="C537" s="38" t="inlineStr">
        <is>
          <t xml:space="preserve">Укладка напольной плитки керамической  600×600 мм в общих зонах </t>
        </is>
      </c>
      <c r="D537" s="36" t="inlineStr">
        <is>
          <t>м2</t>
        </is>
      </c>
      <c r="E537" s="160" t="n">
        <v>24.27</v>
      </c>
      <c r="F537" s="146" t="n">
        <v>4500</v>
      </c>
      <c r="G537" s="146" t="n">
        <v>109215</v>
      </c>
      <c r="H537" t="inlineStr">
        <is>
          <t>ФЕР-2020 × 0.75</t>
        </is>
      </c>
    </row>
    <row r="538" ht="14.4" customFormat="1" customHeight="1" s="5">
      <c r="A538" s="104" t="inlineStr">
        <is>
          <t>5 этап</t>
        </is>
      </c>
      <c r="B538" s="27" t="inlineStr">
        <is>
          <t>5.4</t>
        </is>
      </c>
      <c r="C538" s="52" t="inlineStr">
        <is>
          <t>Отделка стен здания Общежития</t>
        </is>
      </c>
      <c r="D538" s="54" t="inlineStr">
        <is>
          <t>компл.</t>
        </is>
      </c>
      <c r="E538" s="103" t="n">
        <v>1</v>
      </c>
      <c r="F538" s="146" t="n">
        <v>2400</v>
      </c>
      <c r="G538" s="146" t="n">
        <v>2400</v>
      </c>
      <c r="H538" t="inlineStr">
        <is>
          <t>ФЕР-2020 × 0.75</t>
        </is>
      </c>
    </row>
    <row r="539" ht="27.6" customFormat="1" customHeight="1" s="5">
      <c r="A539" s="61" t="inlineStr">
        <is>
          <t>5 этап</t>
        </is>
      </c>
      <c r="B539" s="34" t="inlineStr">
        <is>
          <t>5.4.1</t>
        </is>
      </c>
      <c r="C539" s="38" t="inlineStr">
        <is>
          <t>Устройство конструкций ГКЛ тип 1 (облицовка с одной стороны)</t>
        </is>
      </c>
      <c r="D539" s="36" t="inlineStr">
        <is>
          <t>м2</t>
        </is>
      </c>
      <c r="E539" s="160">
        <f>506.67+506.92+501.36</f>
        <v/>
      </c>
    </row>
    <row r="540" ht="27.6" customFormat="1" customHeight="1" s="5">
      <c r="A540" s="61" t="inlineStr">
        <is>
          <t>5 этап</t>
        </is>
      </c>
      <c r="B540" s="34" t="inlineStr">
        <is>
          <t>5.4.2</t>
        </is>
      </c>
      <c r="C540" s="38" t="inlineStr">
        <is>
          <t>Устройство обмазочной гидроизоляции стен и перегородок во влажных помещениях</t>
        </is>
      </c>
      <c r="D540" s="36" t="inlineStr">
        <is>
          <t>м2</t>
        </is>
      </c>
      <c r="E540" s="160">
        <f>5.7+291.73+72.49+161.25+618.04+6.94+455.09+120.03+193.83</f>
        <v/>
      </c>
    </row>
    <row r="541" ht="27.6" customFormat="1" customHeight="1" s="5">
      <c r="A541" s="61" t="inlineStr">
        <is>
          <t>5 этап</t>
        </is>
      </c>
      <c r="B541" s="34" t="inlineStr">
        <is>
          <t>5.4.3</t>
        </is>
      </c>
      <c r="C541" s="38" t="inlineStr">
        <is>
          <t>Устройство конструкцийГКЛ перегородок с шумоизоляцией тип 2 профиль 100 мм</t>
        </is>
      </c>
      <c r="D541" s="36" t="inlineStr">
        <is>
          <t>м2</t>
        </is>
      </c>
      <c r="E541" s="160">
        <f>155.96+32.81+34.36</f>
        <v/>
      </c>
    </row>
    <row r="542" ht="27.6" customFormat="1" customHeight="1" s="5">
      <c r="A542" s="61" t="inlineStr">
        <is>
          <t>5 этап</t>
        </is>
      </c>
      <c r="B542" s="34" t="inlineStr">
        <is>
          <t>5.4.4</t>
        </is>
      </c>
      <c r="C542" s="38" t="inlineStr">
        <is>
          <t>Устройство конструкцийГКЛ перегородок с шумоизоляцией тип 3 профиль 100 мм</t>
        </is>
      </c>
      <c r="D542" s="36" t="inlineStr">
        <is>
          <t>м3</t>
        </is>
      </c>
      <c r="E542" s="160">
        <f>364.32+471.18+424.39</f>
        <v/>
      </c>
    </row>
    <row r="543" ht="27.6" customFormat="1" customHeight="1" s="5">
      <c r="A543" s="61" t="inlineStr">
        <is>
          <t>5 этап</t>
        </is>
      </c>
      <c r="B543" s="34" t="inlineStr">
        <is>
          <t>5.4.5</t>
        </is>
      </c>
      <c r="C543" s="38" t="inlineStr">
        <is>
          <t>Устройство конструкцийГКЛ перегородок с шумоизоляцией тип 4 профиль 100 мм</t>
        </is>
      </c>
      <c r="D543" s="36" t="inlineStr">
        <is>
          <t>м4</t>
        </is>
      </c>
      <c r="E543" s="160">
        <f>216.33+182.74+179.87</f>
        <v/>
      </c>
    </row>
    <row r="544" ht="27.6" customFormat="1" customHeight="1" s="5">
      <c r="A544" s="61" t="inlineStr">
        <is>
          <t>5 этап</t>
        </is>
      </c>
      <c r="B544" s="34" t="inlineStr">
        <is>
          <t>5.4.6</t>
        </is>
      </c>
      <c r="C544" s="38" t="inlineStr">
        <is>
          <t>Устройство конструкций ГКЛВ перегородок во влажных зонах  тип 5 (облицовка с одной стороны)</t>
        </is>
      </c>
      <c r="D544" s="36" t="inlineStr">
        <is>
          <t>м2</t>
        </is>
      </c>
      <c r="E544" s="160">
        <f>5.7+4.77+6.94</f>
        <v/>
      </c>
    </row>
    <row r="545" ht="27.6" customFormat="1" customHeight="1" s="5">
      <c r="A545" s="61" t="inlineStr">
        <is>
          <t>5 этап</t>
        </is>
      </c>
      <c r="B545" s="34" t="inlineStr">
        <is>
          <t>5.4.7</t>
        </is>
      </c>
      <c r="C545" s="38" t="inlineStr">
        <is>
          <t>Устройство конструкций ГКЛВ перегородок с шумоизоляцией тип 6 профиль 50 мм</t>
        </is>
      </c>
      <c r="D545" s="36" t="inlineStr">
        <is>
          <t>м2</t>
        </is>
      </c>
      <c r="E545" s="160">
        <f>291.73+342.62+455.09</f>
        <v/>
      </c>
    </row>
    <row r="546" ht="27.6" customFormat="1" customHeight="1" s="5">
      <c r="A546" s="61" t="inlineStr">
        <is>
          <t>5 этап</t>
        </is>
      </c>
      <c r="B546" s="34" t="inlineStr">
        <is>
          <t>5.4.8</t>
        </is>
      </c>
      <c r="C546" s="38" t="inlineStr">
        <is>
          <t>Устройство конструкций ГКЛВ перегородок с шумоизоляцией тип 7 профиль 75 мм</t>
        </is>
      </c>
      <c r="D546" s="36" t="inlineStr">
        <is>
          <t>м2</t>
        </is>
      </c>
      <c r="E546" s="160">
        <f>72.49+79.26+120.03</f>
        <v/>
      </c>
    </row>
    <row r="547" ht="27.6" customFormat="1" customHeight="1" s="5">
      <c r="A547" s="61" t="inlineStr">
        <is>
          <t>5 этап</t>
        </is>
      </c>
      <c r="B547" s="34" t="inlineStr">
        <is>
          <t>5.4.9</t>
        </is>
      </c>
      <c r="C547" s="38" t="inlineStr">
        <is>
          <t>Устройство конструкций ГКЛВ перегородок с шумоизоляцией тип 8 профиль 100 мм</t>
        </is>
      </c>
      <c r="D547" s="36" t="inlineStr">
        <is>
          <t>м2</t>
        </is>
      </c>
      <c r="E547" s="160">
        <f>161.25+191.39+193.83</f>
        <v/>
      </c>
    </row>
    <row r="548" ht="27.6" customFormat="1" customHeight="1" s="5">
      <c r="A548" s="61" t="inlineStr">
        <is>
          <t>5 этап</t>
        </is>
      </c>
      <c r="B548" s="34" t="inlineStr">
        <is>
          <t>5.4.10</t>
        </is>
      </c>
      <c r="C548" s="38" t="inlineStr">
        <is>
          <t>Подгоотовка  ГКЛ перегородок и ГКЛ стен к штукатурке:  проклейка швов, грунтовка</t>
        </is>
      </c>
      <c r="D548" s="36" t="inlineStr">
        <is>
          <t>м2</t>
        </is>
      </c>
      <c r="E548" s="160">
        <f>((E540+E541+E542+E543+E545+E546+E547)*2)+E544+E539</f>
        <v/>
      </c>
    </row>
    <row r="549" ht="41.4" customFormat="1" customHeight="1" s="5">
      <c r="A549" s="61" t="inlineStr">
        <is>
          <t>5 этап</t>
        </is>
      </c>
      <c r="B549" s="34" t="inlineStr">
        <is>
          <t>5.4.11</t>
        </is>
      </c>
      <c r="C549" s="38" t="inlineStr">
        <is>
          <t>Перегородка поликарбонат 16 мм, профиль из анодированного алюминия. с раздвижным открыванием.
(или аналог)</t>
        </is>
      </c>
      <c r="D549" s="36" t="inlineStr">
        <is>
          <t>м2</t>
        </is>
      </c>
      <c r="E549" s="160" t="n">
        <v>133.92</v>
      </c>
      <c r="F549" s="146" t="n">
        <v>2400</v>
      </c>
      <c r="G549" s="146" t="n">
        <v>321408</v>
      </c>
      <c r="H549" t="inlineStr">
        <is>
          <t>ФЕР-2020 × 0.75</t>
        </is>
      </c>
    </row>
    <row r="550" ht="55.2" customFormat="1" customHeight="1" s="5">
      <c r="A550" s="61" t="inlineStr">
        <is>
          <t>5 этап</t>
        </is>
      </c>
      <c r="B550" s="34" t="inlineStr">
        <is>
          <t>5.4.12</t>
        </is>
      </c>
      <c r="C550" s="38" t="inlineStr">
        <is>
          <t>Штукатурка сухой смесью на гипсовой
основе –1-1.5 мм;
Выравнивающий финишный слой на гипсовой
основе – 1 мм;</t>
        </is>
      </c>
      <c r="D550" s="36" t="inlineStr">
        <is>
          <t>м2</t>
        </is>
      </c>
      <c r="E550" s="160">
        <f>486.13+209.55+1120.45+198.83+97.33+1491.02+180.41+138.97+1491.91</f>
        <v/>
      </c>
    </row>
    <row r="551" ht="27.6" customFormat="1" customHeight="1" s="5">
      <c r="A551" s="61" t="inlineStr">
        <is>
          <t>5 этап</t>
        </is>
      </c>
      <c r="B551" s="34" t="inlineStr">
        <is>
          <t>5.4.13</t>
        </is>
      </c>
      <c r="C551" s="38" t="inlineStr">
        <is>
          <t>Штукатурка швов сухой смесью на
цементной основе</t>
        </is>
      </c>
      <c r="D551" s="36" t="inlineStr">
        <is>
          <t>м2</t>
        </is>
      </c>
      <c r="E551" s="160">
        <f>468.45+464.9+594.19</f>
        <v/>
      </c>
    </row>
    <row r="552" ht="27.6" customFormat="1" customHeight="1" s="5">
      <c r="A552" s="61" t="inlineStr">
        <is>
          <t>5 этап</t>
        </is>
      </c>
      <c r="B552" s="34" t="inlineStr">
        <is>
          <t>5.4.14</t>
        </is>
      </c>
      <c r="C552" s="38" t="inlineStr">
        <is>
          <t>Окраска  ГКЛ перегородок и ГКЛ стен акриловой краской в 2 слоя МОП ниже h=1,8м</t>
        </is>
      </c>
      <c r="D552" s="36" t="inlineStr">
        <is>
          <t>м2</t>
        </is>
      </c>
      <c r="E552" s="160">
        <f>486.13+198.83+180.41</f>
        <v/>
      </c>
    </row>
    <row r="553" ht="27.6" customFormat="1" customHeight="1" s="5">
      <c r="A553" s="61" t="inlineStr">
        <is>
          <t>5 этап</t>
        </is>
      </c>
      <c r="B553" s="34" t="inlineStr">
        <is>
          <t>5.4.15</t>
        </is>
      </c>
      <c r="C553" s="38" t="inlineStr">
        <is>
          <t>Окраска  ГКЛ перегородок и ГКЛ стен водоэмульсионной  краской в 2 слоя МОП выше h=1,8м</t>
        </is>
      </c>
      <c r="D553" s="36" t="inlineStr">
        <is>
          <t>м2</t>
        </is>
      </c>
      <c r="E553" s="160">
        <f>209.55+97.33+138.97</f>
        <v/>
      </c>
    </row>
    <row r="554" ht="27.6" customFormat="1" customHeight="1" s="5">
      <c r="A554" s="61" t="inlineStr">
        <is>
          <t>5 этап</t>
        </is>
      </c>
      <c r="B554" s="34" t="inlineStr">
        <is>
          <t>5.4.16</t>
        </is>
      </c>
      <c r="C554" s="38" t="inlineStr">
        <is>
          <t>Окраска  ГКЛ перегородок и ГКЛ стен водоэмульсионной краской в 2 слоя Жилые комнаты</t>
        </is>
      </c>
      <c r="D554" s="36" t="inlineStr">
        <is>
          <t>м2</t>
        </is>
      </c>
      <c r="E554" s="160">
        <f>1120.45+1491.02+1491.91</f>
        <v/>
      </c>
    </row>
    <row r="555" ht="27.6" customFormat="1" customHeight="1" s="5">
      <c r="A555" s="61" t="inlineStr">
        <is>
          <t>5 этап</t>
        </is>
      </c>
      <c r="B555" s="34" t="inlineStr">
        <is>
          <t>5.4.17</t>
        </is>
      </c>
      <c r="C555" s="38" t="inlineStr">
        <is>
          <t>Устройство настенных покрытий из керамической плитка в санузлах и душевых</t>
        </is>
      </c>
      <c r="D555" s="36" t="inlineStr">
        <is>
          <t>м2</t>
        </is>
      </c>
      <c r="E555" s="162">
        <f>468.45+464.9+594.19</f>
        <v/>
      </c>
    </row>
    <row r="556" ht="41.4" customFormat="1" customHeight="1" s="5">
      <c r="A556" s="61" t="inlineStr">
        <is>
          <t>5 этап</t>
        </is>
      </c>
      <c r="B556" s="34" t="inlineStr">
        <is>
          <t>5.4.18</t>
        </is>
      </c>
      <c r="C556" s="38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D556" s="36" t="inlineStr">
        <is>
          <t>комплекс</t>
        </is>
      </c>
      <c r="E556" s="162" t="n">
        <v>1</v>
      </c>
      <c r="F556" s="146" t="n">
        <v>1000</v>
      </c>
      <c r="G556" s="146" t="n">
        <v>1000</v>
      </c>
      <c r="H556" t="inlineStr">
        <is>
          <t>ФЕР-2020 × 0.75</t>
        </is>
      </c>
    </row>
    <row r="557" ht="14.4" customFormat="1" customHeight="1" s="5">
      <c r="A557" s="61" t="inlineStr">
        <is>
          <t>5 этап</t>
        </is>
      </c>
      <c r="B557" s="34" t="inlineStr">
        <is>
          <t>5.4.19</t>
        </is>
      </c>
      <c r="C557" s="38" t="inlineStr">
        <is>
          <t>Монтаж подоконников 1280х350</t>
        </is>
      </c>
      <c r="D557" s="36" t="inlineStr">
        <is>
          <t>шт.</t>
        </is>
      </c>
      <c r="E557" s="162" t="n">
        <v>104</v>
      </c>
      <c r="F557" s="146" t="n">
        <v>6200</v>
      </c>
      <c r="G557" s="146" t="n">
        <v>644800</v>
      </c>
      <c r="H557" t="inlineStr">
        <is>
          <t>ФЕР-2020 × 0.75</t>
        </is>
      </c>
    </row>
    <row r="558" ht="14.4" customFormat="1" customHeight="1" s="5">
      <c r="A558" s="104" t="inlineStr">
        <is>
          <t>5 этап</t>
        </is>
      </c>
      <c r="B558" s="110" t="inlineStr">
        <is>
          <t>5.5</t>
        </is>
      </c>
      <c r="C558" s="52" t="inlineStr">
        <is>
          <t>Отделка стен здания АБК</t>
        </is>
      </c>
      <c r="D558" s="54" t="inlineStr">
        <is>
          <t>компл.</t>
        </is>
      </c>
      <c r="E558" s="103" t="n">
        <v>1</v>
      </c>
      <c r="F558" s="146" t="n">
        <v>2400</v>
      </c>
      <c r="G558" s="146" t="n">
        <v>2400</v>
      </c>
      <c r="H558" t="inlineStr">
        <is>
          <t>ФЕР-2020 × 0.75</t>
        </is>
      </c>
    </row>
    <row r="559" ht="27.6" customFormat="1" customHeight="1" s="5">
      <c r="A559" s="61" t="inlineStr">
        <is>
          <t>5 этап</t>
        </is>
      </c>
      <c r="B559" s="34" t="inlineStr">
        <is>
          <t>5.5.1</t>
        </is>
      </c>
      <c r="C559" s="38" t="inlineStr">
        <is>
          <t>Устройство конструкций ГКЛ тип 1 (облицовка с одной стороны)</t>
        </is>
      </c>
      <c r="D559" s="36" t="inlineStr">
        <is>
          <t>м2</t>
        </is>
      </c>
      <c r="E559" s="160">
        <f>430.4+517.59</f>
        <v/>
      </c>
    </row>
    <row r="560" ht="27.6" customFormat="1" customHeight="1" s="5">
      <c r="A560" s="61" t="inlineStr">
        <is>
          <t>5 этап</t>
        </is>
      </c>
      <c r="B560" s="34" t="inlineStr">
        <is>
          <t>5.5.2</t>
        </is>
      </c>
      <c r="C560" s="38" t="inlineStr">
        <is>
          <t>Устройство обмазочной гидроизоляции стен и перегородок во влажных помещениях</t>
        </is>
      </c>
      <c r="D560" s="36" t="inlineStr">
        <is>
          <t>м2</t>
        </is>
      </c>
      <c r="E560" s="160">
        <f>(356.2+59.11)</f>
        <v/>
      </c>
    </row>
    <row r="561" ht="27.6" customFormat="1" customHeight="1" s="5">
      <c r="A561" s="61" t="inlineStr">
        <is>
          <t>5 этап</t>
        </is>
      </c>
      <c r="B561" s="34" t="inlineStr">
        <is>
          <t>5.5.3</t>
        </is>
      </c>
      <c r="C561" s="38" t="inlineStr">
        <is>
          <t>Устройство конструкцийГКЛ перегородок с шумоизоляцией тип 2 профиль 100 мм</t>
        </is>
      </c>
      <c r="D561" s="36" t="inlineStr">
        <is>
          <t>м2</t>
        </is>
      </c>
      <c r="E561" s="160">
        <f>336.09+747.16</f>
        <v/>
      </c>
    </row>
    <row r="562" ht="27.6" customFormat="1" customHeight="1" s="5">
      <c r="A562" s="61" t="inlineStr">
        <is>
          <t>5 этап</t>
        </is>
      </c>
      <c r="B562" s="34" t="inlineStr">
        <is>
          <t>5.5.4</t>
        </is>
      </c>
      <c r="C562" s="38" t="inlineStr">
        <is>
          <t>Устройство конструкцийГКЛ перегородок с шумоизоляцией тип 3 (5) профиль 100 мм</t>
        </is>
      </c>
      <c r="D562" s="36" t="inlineStr">
        <is>
          <t>м2</t>
        </is>
      </c>
      <c r="E562" s="160">
        <f>43.73+87.45</f>
        <v/>
      </c>
    </row>
    <row r="563" ht="27.6" customFormat="1" customHeight="1" s="5">
      <c r="A563" s="61" t="inlineStr">
        <is>
          <t>5 этап</t>
        </is>
      </c>
      <c r="B563" s="34" t="inlineStr">
        <is>
          <t>5.5.5</t>
        </is>
      </c>
      <c r="C563" s="38" t="inlineStr">
        <is>
          <t>Устройство конструкций ГКЛВ перегородок во влажных зонах  тип 4 (облицовка с одной стороны)</t>
        </is>
      </c>
      <c r="D563" s="36" t="inlineStr">
        <is>
          <t>м2</t>
        </is>
      </c>
      <c r="E563" s="160">
        <f>76.38+21.91</f>
        <v/>
      </c>
    </row>
    <row r="564" ht="27.6" customFormat="1" customHeight="1" s="5">
      <c r="A564" s="61" t="inlineStr">
        <is>
          <t>5 этап</t>
        </is>
      </c>
      <c r="B564" s="34" t="inlineStr">
        <is>
          <t>5.5.6</t>
        </is>
      </c>
      <c r="C564" s="38" t="inlineStr">
        <is>
          <t>Устройство конструкций ГКЛВ перегородок с шумоизоляцией тип 5 (7)  профиль 50 мм</t>
        </is>
      </c>
      <c r="D564" s="36" t="inlineStr">
        <is>
          <t>м2</t>
        </is>
      </c>
      <c r="E564" s="160">
        <f>279.82+37.2</f>
        <v/>
      </c>
    </row>
    <row r="565" ht="27.6" customFormat="1" customHeight="1" s="5">
      <c r="A565" s="61" t="inlineStr">
        <is>
          <t>5 этап</t>
        </is>
      </c>
      <c r="B565" s="34" t="inlineStr">
        <is>
          <t>5.5.7</t>
        </is>
      </c>
      <c r="C565" s="38" t="inlineStr">
        <is>
          <t>Подгоотовка  ГКЛ перегородок и ГКЛ стен к штукатурке:  проклейка швов, грунтовка</t>
        </is>
      </c>
      <c r="D565" s="36" t="inlineStr">
        <is>
          <t>м2</t>
        </is>
      </c>
      <c r="E565" s="160">
        <f>((E561+E562+E564)*2)+E559+E563</f>
        <v/>
      </c>
    </row>
    <row r="566" ht="41.4" customFormat="1" customHeight="1" s="5">
      <c r="A566" s="61" t="inlineStr">
        <is>
          <t>5 этап</t>
        </is>
      </c>
      <c r="B566" s="34" t="inlineStr">
        <is>
          <t>5.5.8</t>
        </is>
      </c>
      <c r="C566" s="38" t="inlineStr">
        <is>
          <t>Перегородка поликарбонат 16 мм, профиль из анодированного алюминия. с раздвижным открыванием.
(или аналог) 2200 мм</t>
        </is>
      </c>
      <c r="D566" s="36" t="inlineStr">
        <is>
          <t>м2</t>
        </is>
      </c>
      <c r="E566" s="160" t="n">
        <v>170.1</v>
      </c>
      <c r="F566" s="146" t="n">
        <v>2400</v>
      </c>
      <c r="G566" s="146" t="n">
        <v>408240</v>
      </c>
      <c r="H566" t="inlineStr">
        <is>
          <t>ФЕР-2020 × 0.75</t>
        </is>
      </c>
    </row>
    <row r="567" ht="55.2" customFormat="1" customHeight="1" s="5">
      <c r="A567" s="61" t="inlineStr">
        <is>
          <t>5 этап</t>
        </is>
      </c>
      <c r="B567" s="34" t="inlineStr">
        <is>
          <t>5.5.9</t>
        </is>
      </c>
      <c r="C567" s="38" t="inlineStr">
        <is>
          <t>Штукатурка сухой смесью на гипсовой
основе –1-1.5 мм;
Выравнивающий финишный слой на гипсовой
основе – 1 мм;</t>
        </is>
      </c>
      <c r="D567" s="36" t="inlineStr">
        <is>
          <t>м2</t>
        </is>
      </c>
      <c r="E567" s="160">
        <f>594.05+320.98+841.06+452.27</f>
        <v/>
      </c>
    </row>
    <row r="568" ht="27.6" customFormat="1" customHeight="1" s="5">
      <c r="A568" s="61" t="inlineStr">
        <is>
          <t>5 этап</t>
        </is>
      </c>
      <c r="B568" s="34" t="inlineStr">
        <is>
          <t>5.5.10</t>
        </is>
      </c>
      <c r="C568" s="38" t="inlineStr">
        <is>
          <t>Штукатурка швов сухой смесью на
цементной основе</t>
        </is>
      </c>
      <c r="D568" s="36" t="inlineStr">
        <is>
          <t>м2</t>
        </is>
      </c>
      <c r="E568" s="160">
        <f>342.72+97.65</f>
        <v/>
      </c>
    </row>
    <row r="569" ht="27.6" customFormat="1" customHeight="1" s="5">
      <c r="A569" s="61" t="inlineStr">
        <is>
          <t>5 этап</t>
        </is>
      </c>
      <c r="B569" s="34" t="inlineStr">
        <is>
          <t>5.5.11</t>
        </is>
      </c>
      <c r="C569" s="38" t="inlineStr">
        <is>
          <t>Окраска  ГКЛ перегородок и ГКЛ стен акриловой краской в 2 слоя МОП ниже h=1,8м</t>
        </is>
      </c>
      <c r="D569" s="36" t="inlineStr">
        <is>
          <t>м2</t>
        </is>
      </c>
      <c r="E569" s="160">
        <f>594.05+841.06</f>
        <v/>
      </c>
    </row>
    <row r="570" ht="27.6" customFormat="1" customHeight="1" s="5">
      <c r="A570" s="61" t="inlineStr">
        <is>
          <t>5 этап</t>
        </is>
      </c>
      <c r="B570" s="34" t="inlineStr">
        <is>
          <t>5.5.12</t>
        </is>
      </c>
      <c r="C570" s="38" t="inlineStr">
        <is>
          <t>Окраска  ГКЛ перегородок и ГКЛ стен водоэмульсионной  краской в 2 слоя МОП выше h=1,8м</t>
        </is>
      </c>
      <c r="D570" s="36" t="inlineStr">
        <is>
          <t>м2</t>
        </is>
      </c>
      <c r="E570" s="160">
        <f>320.98+452.27</f>
        <v/>
      </c>
    </row>
    <row r="571" ht="27.6" customFormat="1" customHeight="1" s="5">
      <c r="A571" s="61" t="inlineStr">
        <is>
          <t>5 этап</t>
        </is>
      </c>
      <c r="B571" s="34" t="inlineStr">
        <is>
          <t>5.5.13</t>
        </is>
      </c>
      <c r="C571" s="38" t="inlineStr">
        <is>
          <t>Устройство настенных покрытий из керамической плитка в санузлах и душевых</t>
        </is>
      </c>
      <c r="D571" s="36" t="inlineStr">
        <is>
          <t>м2</t>
        </is>
      </c>
      <c r="E571" s="160">
        <f>342.72+97.65</f>
        <v/>
      </c>
    </row>
    <row r="572" ht="41.4" customFormat="1" customHeight="1" s="5">
      <c r="A572" s="61" t="inlineStr">
        <is>
          <t>5 этап</t>
        </is>
      </c>
      <c r="B572" s="34" t="inlineStr">
        <is>
          <t>5.5.14</t>
        </is>
      </c>
      <c r="C572" s="38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D572" s="36" t="inlineStr">
        <is>
          <t>комплекс</t>
        </is>
      </c>
      <c r="E572" s="162" t="n">
        <v>1</v>
      </c>
      <c r="F572" s="146" t="n">
        <v>1000</v>
      </c>
      <c r="G572" s="146" t="n">
        <v>1000</v>
      </c>
      <c r="H572" t="inlineStr">
        <is>
          <t>ФЕР-2020 × 0.75</t>
        </is>
      </c>
    </row>
    <row r="573" ht="14.4" customFormat="1" customHeight="1" s="5">
      <c r="A573" s="61" t="inlineStr">
        <is>
          <t>5 этап</t>
        </is>
      </c>
      <c r="B573" s="34" t="inlineStr">
        <is>
          <t>5.5.15</t>
        </is>
      </c>
      <c r="C573" s="109" t="inlineStr">
        <is>
          <t>Монтаж подоконников 1280х270</t>
        </is>
      </c>
      <c r="D573" s="111" t="inlineStr">
        <is>
          <t>шт.</t>
        </is>
      </c>
      <c r="E573" s="163" t="n">
        <v>62</v>
      </c>
      <c r="F573" s="146" t="n">
        <v>6200</v>
      </c>
      <c r="G573" s="146" t="n">
        <v>384400</v>
      </c>
      <c r="H573" t="inlineStr">
        <is>
          <t>ФЕР-2020 × 0.75</t>
        </is>
      </c>
    </row>
    <row r="574" ht="14.4" customFormat="1" customHeight="1" s="5">
      <c r="A574" s="104" t="inlineStr">
        <is>
          <t>5 этап</t>
        </is>
      </c>
      <c r="B574" s="112" t="inlineStr">
        <is>
          <t>5.6</t>
        </is>
      </c>
      <c r="C574" s="60" t="inlineStr">
        <is>
          <t>Отделка стен Галереи</t>
        </is>
      </c>
      <c r="D574" s="54" t="inlineStr">
        <is>
          <t>компл.</t>
        </is>
      </c>
      <c r="E574" s="103" t="n">
        <v>1</v>
      </c>
      <c r="F574" s="146" t="n">
        <v>2400</v>
      </c>
      <c r="G574" s="146" t="n">
        <v>2400</v>
      </c>
      <c r="H574" t="inlineStr">
        <is>
          <t>ФЕР-2020 × 0.75</t>
        </is>
      </c>
    </row>
    <row r="575" ht="27.6" customFormat="1" customHeight="1" s="5">
      <c r="A575" s="61" t="inlineStr">
        <is>
          <t>5 этап</t>
        </is>
      </c>
      <c r="B575" s="34" t="inlineStr">
        <is>
          <t>5.6.1</t>
        </is>
      </c>
      <c r="C575" s="38" t="inlineStr">
        <is>
          <t>Устройство конструкций ГКЛ тип 1 (облицовка с одной стороны)</t>
        </is>
      </c>
      <c r="D575" s="36" t="inlineStr">
        <is>
          <t>м2</t>
        </is>
      </c>
      <c r="E575" s="160">
        <f>25.75+15.3</f>
        <v/>
      </c>
    </row>
    <row r="576" ht="27.6" customFormat="1" customHeight="1" s="5">
      <c r="A576" s="61" t="inlineStr">
        <is>
          <t>5 этап</t>
        </is>
      </c>
      <c r="B576" s="34" t="inlineStr">
        <is>
          <t>5.6.2</t>
        </is>
      </c>
      <c r="C576" s="38" t="inlineStr">
        <is>
          <t>Подгоотовка  ГКЛ перегородок и ГКЛ стен к штукатурке:  проклейка швов, грунтовка</t>
        </is>
      </c>
      <c r="D576" s="36" t="inlineStr">
        <is>
          <t>м2</t>
        </is>
      </c>
      <c r="E576" s="160" t="n">
        <v>41.05</v>
      </c>
      <c r="F576" s="146" t="n">
        <v>1100</v>
      </c>
      <c r="G576" s="146" t="n">
        <v>45155</v>
      </c>
      <c r="H576" t="inlineStr">
        <is>
          <t>ФЕР-2020 × 0.75</t>
        </is>
      </c>
    </row>
    <row r="577" ht="55.2" customFormat="1" customHeight="1" s="5">
      <c r="A577" s="61" t="inlineStr">
        <is>
          <t>5 этап</t>
        </is>
      </c>
      <c r="B577" s="34" t="inlineStr">
        <is>
          <t>5.6.3</t>
        </is>
      </c>
      <c r="C577" s="38" t="inlineStr">
        <is>
          <t>Штукатурка сухой смесью на гипсовой
основе –1-1.5 мм;
Выравнивающий финишный слой на гипсовой
основе – 1 мм;</t>
        </is>
      </c>
      <c r="D577" s="36" t="inlineStr">
        <is>
          <t>м2</t>
        </is>
      </c>
      <c r="E577" s="160" t="n">
        <v>41.05</v>
      </c>
      <c r="F577" s="146" t="n">
        <v>1400</v>
      </c>
      <c r="G577" s="146" t="n">
        <v>57470</v>
      </c>
      <c r="H577" t="inlineStr">
        <is>
          <t>ФЕР-2020 × 0.75</t>
        </is>
      </c>
    </row>
    <row r="578" ht="27.6" customFormat="1" customHeight="1" s="5">
      <c r="A578" s="61" t="inlineStr">
        <is>
          <t>5 этап</t>
        </is>
      </c>
      <c r="B578" s="34" t="inlineStr">
        <is>
          <t>5.6.4</t>
        </is>
      </c>
      <c r="C578" s="38" t="inlineStr">
        <is>
          <t>Окраска  ГКЛ перегородок и ГКЛ стен акриловой краской в 2 слоя МОП ниже h=1,8м</t>
        </is>
      </c>
      <c r="D578" s="36" t="inlineStr">
        <is>
          <t>м2</t>
        </is>
      </c>
      <c r="E578" s="160" t="n">
        <v>25.75</v>
      </c>
      <c r="F578" s="146" t="n">
        <v>1000</v>
      </c>
      <c r="G578" s="146" t="n">
        <v>25750</v>
      </c>
      <c r="H578" t="inlineStr">
        <is>
          <t>ФЕР-2020 × 0.75</t>
        </is>
      </c>
    </row>
    <row r="579" ht="27.6" customFormat="1" customHeight="1" s="5">
      <c r="A579" s="61" t="inlineStr">
        <is>
          <t>5 этап</t>
        </is>
      </c>
      <c r="B579" s="34" t="inlineStr">
        <is>
          <t>5.6.5</t>
        </is>
      </c>
      <c r="C579" s="38" t="inlineStr">
        <is>
          <t>Окраска  ГКЛ перегородок и ГКЛ стен водоэмульсионной  краской в 2 слоя МОП выше h=1,8м</t>
        </is>
      </c>
      <c r="D579" s="36" t="inlineStr">
        <is>
          <t>м2</t>
        </is>
      </c>
      <c r="E579" s="160" t="n">
        <v>15.3</v>
      </c>
      <c r="F579" s="146" t="n">
        <v>1000</v>
      </c>
      <c r="G579" s="146" t="n">
        <v>15300</v>
      </c>
      <c r="H579" t="inlineStr">
        <is>
          <t>ФЕР-2020 × 0.75</t>
        </is>
      </c>
    </row>
    <row r="580" ht="41.4" customFormat="1" customHeight="1" s="5">
      <c r="A580" s="61" t="inlineStr">
        <is>
          <t>5 этап</t>
        </is>
      </c>
      <c r="B580" s="34" t="inlineStr">
        <is>
          <t>5.6.6</t>
        </is>
      </c>
      <c r="C580" s="38" t="inlineStr">
        <is>
          <t>Окраска видимых частей (не зашитых стеновыми и потолочными конструкциями) металлических конструкций эмалью ПФ 115 цвет RAL 7035</t>
        </is>
      </c>
      <c r="D580" s="36" t="inlineStr">
        <is>
          <t>комплекс</t>
        </is>
      </c>
      <c r="E580" s="162" t="n">
        <v>1</v>
      </c>
      <c r="F580" s="146" t="n">
        <v>1000</v>
      </c>
      <c r="G580" s="146" t="n">
        <v>1000</v>
      </c>
      <c r="H580" t="inlineStr">
        <is>
          <t>ФЕР-2020 × 0.75</t>
        </is>
      </c>
    </row>
    <row r="581" ht="14.4" customFormat="1" customHeight="1" s="5">
      <c r="A581" s="61" t="inlineStr">
        <is>
          <t>5 этап</t>
        </is>
      </c>
      <c r="B581" s="34" t="inlineStr">
        <is>
          <t>5.6.7</t>
        </is>
      </c>
      <c r="C581" s="38" t="inlineStr">
        <is>
          <t>Монтаж подоконников 1280х270</t>
        </is>
      </c>
      <c r="D581" s="111" t="inlineStr">
        <is>
          <t>шт.</t>
        </is>
      </c>
      <c r="E581" s="163" t="n">
        <v>6</v>
      </c>
      <c r="F581" s="146" t="n">
        <v>6200</v>
      </c>
      <c r="G581" s="146" t="n">
        <v>37200</v>
      </c>
      <c r="H581" t="inlineStr">
        <is>
          <t>ФЕР-2020 × 0.75</t>
        </is>
      </c>
    </row>
    <row r="582" ht="14.4" customFormat="1" customHeight="1" s="5">
      <c r="A582" s="104" t="inlineStr">
        <is>
          <t>5 этап</t>
        </is>
      </c>
      <c r="B582" s="27" t="inlineStr">
        <is>
          <t>5.7</t>
        </is>
      </c>
      <c r="C582" s="52" t="inlineStr">
        <is>
          <t>Устройство потолков здания Общежития</t>
        </is>
      </c>
      <c r="D582" s="54" t="inlineStr">
        <is>
          <t>компл.</t>
        </is>
      </c>
      <c r="E582" s="103" t="n">
        <v>1</v>
      </c>
      <c r="F582" s="146" t="n">
        <v>750000</v>
      </c>
      <c r="G582" s="146" t="n">
        <v>750000</v>
      </c>
      <c r="H582" t="inlineStr">
        <is>
          <t>Экспертная оценка</t>
        </is>
      </c>
    </row>
    <row r="583" ht="14.4" customFormat="1" customHeight="1" s="5">
      <c r="A583" s="61" t="inlineStr">
        <is>
          <t>5 этап</t>
        </is>
      </c>
      <c r="B583" s="34" t="inlineStr">
        <is>
          <t>5.7.1</t>
        </is>
      </c>
      <c r="C583" s="108" t="inlineStr">
        <is>
          <t>Устройство потолков типа Армстронг 600×600 мм</t>
        </is>
      </c>
      <c r="D583" s="36" t="inlineStr">
        <is>
          <t>м2</t>
        </is>
      </c>
      <c r="E583" s="162">
        <f>290.65+130.42+101.45</f>
        <v/>
      </c>
    </row>
    <row r="584" ht="27.6" customFormat="1" customHeight="1" s="5">
      <c r="A584" s="61" t="inlineStr">
        <is>
          <t>5 этап</t>
        </is>
      </c>
      <c r="B584" s="34" t="inlineStr">
        <is>
          <t>5.7.2</t>
        </is>
      </c>
      <c r="C584" s="38" t="inlineStr">
        <is>
          <t>Устройство потолков из металлических перфорированных панелей 600х600мм в помещениях санузлов</t>
        </is>
      </c>
      <c r="D584" s="36" t="inlineStr">
        <is>
          <t>м2</t>
        </is>
      </c>
      <c r="E584" s="162">
        <f>78.46+59.99+104.32</f>
        <v/>
      </c>
    </row>
    <row r="585" ht="14.4" customFormat="1" customHeight="1" s="5">
      <c r="A585" s="61" t="inlineStr">
        <is>
          <t>5 этап</t>
        </is>
      </c>
      <c r="B585" s="34" t="inlineStr">
        <is>
          <t>5.7.3</t>
        </is>
      </c>
      <c r="C585" s="108" t="inlineStr">
        <is>
          <t>Устройство потолочных конструкций из  ГКЛ в 1 слой</t>
        </is>
      </c>
      <c r="D585" s="36" t="inlineStr">
        <is>
          <t>м2</t>
        </is>
      </c>
      <c r="E585" s="162">
        <f>428.17+581.21+671.99</f>
        <v/>
      </c>
    </row>
    <row r="586" ht="27.6" customFormat="1" customHeight="1" s="5">
      <c r="A586" s="61" t="inlineStr">
        <is>
          <t>5 этап</t>
        </is>
      </c>
      <c r="B586" s="34" t="inlineStr">
        <is>
          <t>5.7.4</t>
        </is>
      </c>
      <c r="C586" s="38" t="inlineStr">
        <is>
          <t>Подгоотовка  ГКЛ потолков к окраске:  проклейка швов, грунтовка, финишная шпаклевка</t>
        </is>
      </c>
      <c r="D586" s="36" t="inlineStr">
        <is>
          <t>м2</t>
        </is>
      </c>
      <c r="E586" s="162" t="n">
        <v>1681.37</v>
      </c>
      <c r="F586" s="146" t="n">
        <v>800</v>
      </c>
      <c r="G586" s="146" t="n">
        <v>1345096</v>
      </c>
      <c r="H586" t="inlineStr">
        <is>
          <t>ФЕР-2020 × 0.75</t>
        </is>
      </c>
    </row>
    <row r="587" ht="27.6" customFormat="1" customHeight="1" s="5">
      <c r="A587" s="61" t="inlineStr">
        <is>
          <t>5 этап</t>
        </is>
      </c>
      <c r="B587" s="34" t="inlineStr">
        <is>
          <t>5.7.5</t>
        </is>
      </c>
      <c r="C587" s="38" t="inlineStr">
        <is>
          <t>Окраска  ГКЛ потолков водоэмульсионной краской  в 2 слоя</t>
        </is>
      </c>
      <c r="D587" s="36" t="inlineStr">
        <is>
          <t>м2</t>
        </is>
      </c>
      <c r="E587" s="162" t="n">
        <v>1681.37</v>
      </c>
      <c r="F587" s="146" t="n">
        <v>1000</v>
      </c>
      <c r="G587" s="146" t="n">
        <v>1681370</v>
      </c>
      <c r="H587" t="inlineStr">
        <is>
          <t>ФЕР-2020 × 0.75</t>
        </is>
      </c>
    </row>
    <row r="588" ht="14.4" customFormat="1" customHeight="1" s="5">
      <c r="A588" s="104" t="inlineStr">
        <is>
          <t>5 этап</t>
        </is>
      </c>
      <c r="B588" s="27" t="inlineStr">
        <is>
          <t>5.8</t>
        </is>
      </c>
      <c r="C588" s="60" t="inlineStr">
        <is>
          <t>Устройство потолков здания АБК</t>
        </is>
      </c>
      <c r="D588" s="54" t="inlineStr">
        <is>
          <t>компл.</t>
        </is>
      </c>
      <c r="E588" s="103" t="n">
        <v>1</v>
      </c>
      <c r="F588" s="146" t="n">
        <v>750000</v>
      </c>
      <c r="G588" s="146" t="n">
        <v>750000</v>
      </c>
      <c r="H588" t="inlineStr">
        <is>
          <t>Экспертная оценка</t>
        </is>
      </c>
    </row>
    <row r="589" ht="14.4" customFormat="1" customHeight="1" s="5">
      <c r="A589" s="61" t="inlineStr">
        <is>
          <t>5 этап</t>
        </is>
      </c>
      <c r="B589" s="34" t="inlineStr">
        <is>
          <t>5.8.1</t>
        </is>
      </c>
      <c r="C589" s="108" t="inlineStr">
        <is>
          <t>Устройство потолков типа Армстронг 600×600 мм</t>
        </is>
      </c>
      <c r="D589" s="36" t="inlineStr">
        <is>
          <t>м2</t>
        </is>
      </c>
      <c r="E589" s="162">
        <f>474.79+588.03</f>
        <v/>
      </c>
    </row>
    <row r="590" ht="27.6" customFormat="1" customHeight="1" s="5">
      <c r="A590" s="61" t="inlineStr">
        <is>
          <t>5 этап</t>
        </is>
      </c>
      <c r="B590" s="34" t="inlineStr">
        <is>
          <t>5.8.2</t>
        </is>
      </c>
      <c r="C590" s="38" t="inlineStr">
        <is>
          <t>Устройство потолков из металлических перфорированных панелей 600х600мм в помещениях санузлов</t>
        </is>
      </c>
      <c r="D590" s="36" t="inlineStr">
        <is>
          <t>м2</t>
        </is>
      </c>
      <c r="E590" s="162">
        <f>114.41+25.71</f>
        <v/>
      </c>
    </row>
    <row r="591" ht="14.4" customFormat="1" customHeight="1" s="5">
      <c r="A591" s="104" t="inlineStr">
        <is>
          <t>5 этап</t>
        </is>
      </c>
      <c r="B591" s="112" t="inlineStr">
        <is>
          <t>5.9</t>
        </is>
      </c>
      <c r="C591" s="60" t="inlineStr">
        <is>
          <t>Устройство потолков Галереи</t>
        </is>
      </c>
      <c r="D591" s="54" t="inlineStr">
        <is>
          <t>компл.</t>
        </is>
      </c>
      <c r="E591" s="103" t="n">
        <v>1</v>
      </c>
      <c r="F591" s="146" t="n">
        <v>750000</v>
      </c>
      <c r="G591" s="146" t="n">
        <v>750000</v>
      </c>
      <c r="H591" t="inlineStr">
        <is>
          <t>Экспертная оценка</t>
        </is>
      </c>
    </row>
    <row r="592" ht="14.4" customFormat="1" customHeight="1" s="5">
      <c r="A592" s="61" t="inlineStr">
        <is>
          <t>5 этап</t>
        </is>
      </c>
      <c r="B592" s="34" t="inlineStr">
        <is>
          <t>5.9.1</t>
        </is>
      </c>
      <c r="C592" s="108" t="inlineStr">
        <is>
          <t>Устройство потолков типа Армстронг 600×600 мм</t>
        </is>
      </c>
      <c r="D592" s="36" t="inlineStr">
        <is>
          <t>м2</t>
        </is>
      </c>
      <c r="E592" s="162" t="n">
        <v>24.7</v>
      </c>
      <c r="F592" s="146" t="n">
        <v>2000</v>
      </c>
      <c r="G592" s="146" t="n">
        <v>49400</v>
      </c>
      <c r="H592" t="inlineStr">
        <is>
          <t>Экспертная оценка</t>
        </is>
      </c>
    </row>
    <row r="593" ht="14.4" customFormat="1" customHeight="1" s="5">
      <c r="A593" s="104" t="inlineStr">
        <is>
          <t>5 этап</t>
        </is>
      </c>
      <c r="B593" s="110" t="inlineStr">
        <is>
          <t>5.10</t>
        </is>
      </c>
      <c r="C593" s="52" t="inlineStr">
        <is>
          <t>Заполнение внутренних проемов  здания Общежития</t>
        </is>
      </c>
      <c r="D593" s="54" t="inlineStr">
        <is>
          <t>компл.</t>
        </is>
      </c>
      <c r="E593" s="103" t="n">
        <v>1</v>
      </c>
      <c r="F593" s="146" t="n">
        <v>750000</v>
      </c>
      <c r="G593" s="146" t="n">
        <v>750000</v>
      </c>
      <c r="H593" t="inlineStr">
        <is>
          <t>Экспертная оценка</t>
        </is>
      </c>
    </row>
    <row r="594" ht="27.6" customFormat="1" customHeight="1" s="5">
      <c r="A594" s="61" t="inlineStr">
        <is>
          <t>5 этап</t>
        </is>
      </c>
      <c r="B594" s="34" t="inlineStr">
        <is>
          <t>5.10.1</t>
        </is>
      </c>
      <c r="C594" s="38" t="inlineStr">
        <is>
          <t>Установка межкомнатных дверей 2100х700 (МДФ), в т.ч. наличники, замки и фурнитура 3*, 3 (Л,П)</t>
        </is>
      </c>
      <c r="D594" s="36" t="inlineStr">
        <is>
          <t>шт.</t>
        </is>
      </c>
      <c r="E594" s="162" t="n">
        <v>88</v>
      </c>
      <c r="F594" s="146" t="n">
        <v>6200</v>
      </c>
      <c r="G594" s="146" t="n">
        <v>545600</v>
      </c>
      <c r="H594" t="inlineStr">
        <is>
          <t>ФЕР-2020 × 0.75</t>
        </is>
      </c>
    </row>
    <row r="595" ht="27.6" customFormat="1" customHeight="1" s="5">
      <c r="A595" s="61" t="inlineStr">
        <is>
          <t>5 этап</t>
        </is>
      </c>
      <c r="B595" s="34" t="inlineStr">
        <is>
          <t>5.10.2</t>
        </is>
      </c>
      <c r="C595" s="38" t="inlineStr">
        <is>
          <t>Установка межкомнатных дверей 2100х900 (МДФ), в т.ч. наличники, замки и фурнитура  (Л, П) 2*, 2</t>
        </is>
      </c>
      <c r="D595" s="36" t="inlineStr">
        <is>
          <t>шт.</t>
        </is>
      </c>
      <c r="E595" s="162" t="n">
        <v>10</v>
      </c>
      <c r="F595" s="146" t="n">
        <v>6200</v>
      </c>
      <c r="G595" s="146" t="n">
        <v>62000</v>
      </c>
      <c r="H595" t="inlineStr">
        <is>
          <t>ФЕР-2020 × 0.75</t>
        </is>
      </c>
    </row>
    <row r="596" ht="27.6" customFormat="1" customHeight="1" s="5">
      <c r="A596" s="61" t="inlineStr">
        <is>
          <t>5 этап</t>
        </is>
      </c>
      <c r="B596" s="34" t="inlineStr">
        <is>
          <t>5.10.3</t>
        </is>
      </c>
      <c r="C596" s="38" t="inlineStr">
        <is>
          <t>Установка межкомнатных дверей 2100х900 (МДФ), в т.ч. наличники, замки и фурнитура 2Р, 2*Р</t>
        </is>
      </c>
      <c r="D596" s="36" t="inlineStr">
        <is>
          <t>шт.</t>
        </is>
      </c>
      <c r="E596" s="162" t="n">
        <v>88</v>
      </c>
      <c r="F596" s="146" t="n">
        <v>6200</v>
      </c>
      <c r="G596" s="146" t="n">
        <v>545600</v>
      </c>
      <c r="H596" t="inlineStr">
        <is>
          <t>ФЕР-2020 × 0.75</t>
        </is>
      </c>
    </row>
    <row r="597" ht="41.4" customFormat="1" customHeight="1" s="5">
      <c r="A597" s="61" t="inlineStr">
        <is>
          <t>5 этап</t>
        </is>
      </c>
      <c r="B597" s="34" t="inlineStr">
        <is>
          <t>5.10.4</t>
        </is>
      </c>
      <c r="C597" s="38" t="inlineStr">
        <is>
          <t xml:space="preserve">Установка двери металической 2300х1450 П Внутренняя Противопожарная ЕI30  в т.ч. наличники, замки и фурнитура 4 </t>
        </is>
      </c>
      <c r="D597" s="36" t="inlineStr">
        <is>
          <t>шт.</t>
        </is>
      </c>
      <c r="E597" s="162" t="n">
        <v>9</v>
      </c>
      <c r="F597" s="146" t="n">
        <v>6200</v>
      </c>
      <c r="G597" s="146" t="n">
        <v>55800</v>
      </c>
      <c r="H597" t="inlineStr">
        <is>
          <t>ФЕР-2020 × 0.75</t>
        </is>
      </c>
    </row>
    <row r="598" ht="41.4" customFormat="1" customHeight="1" s="5">
      <c r="A598" s="61" t="inlineStr">
        <is>
          <t>5 этап</t>
        </is>
      </c>
      <c r="B598" s="34" t="inlineStr">
        <is>
          <t>5.10.5</t>
        </is>
      </c>
      <c r="C598" s="38" t="inlineStr">
        <is>
          <t>Установка двери металической 2300х900 Л Внутренняя Противопожарная ЕI30  в т.ч. наличники, замки и фурнитура 6</t>
        </is>
      </c>
      <c r="D598" s="36" t="inlineStr">
        <is>
          <t>шт.</t>
        </is>
      </c>
      <c r="E598" s="162" t="n">
        <v>1</v>
      </c>
      <c r="F598" s="146" t="n">
        <v>6200</v>
      </c>
      <c r="G598" s="146" t="n">
        <v>6200</v>
      </c>
      <c r="H598" t="inlineStr">
        <is>
          <t>ФЕР-2020 × 0.75</t>
        </is>
      </c>
    </row>
    <row r="599" ht="41.4" customFormat="1" customHeight="1" s="5">
      <c r="A599" s="61" t="inlineStr">
        <is>
          <t>5 этап</t>
        </is>
      </c>
      <c r="B599" s="34" t="inlineStr">
        <is>
          <t>5.10.6</t>
        </is>
      </c>
      <c r="C599" s="38" t="inlineStr">
        <is>
          <t>Установка двери металической 2300х900 П Внутренняя Противопожарная ЕI30  в т.ч. наличники, замки и фурнитура 7</t>
        </is>
      </c>
      <c r="D599" s="36" t="inlineStr">
        <is>
          <t>шт.</t>
        </is>
      </c>
      <c r="E599" s="162" t="n">
        <v>1</v>
      </c>
      <c r="F599" s="146" t="n">
        <v>6200</v>
      </c>
      <c r="G599" s="146" t="n">
        <v>6200</v>
      </c>
      <c r="H599" t="inlineStr">
        <is>
          <t>ФЕР-2020 × 0.75</t>
        </is>
      </c>
    </row>
    <row r="600" ht="14.4" customFormat="1" customHeight="1" s="5">
      <c r="A600" s="104" t="inlineStr">
        <is>
          <t>5 этап</t>
        </is>
      </c>
      <c r="B600" s="27" t="inlineStr">
        <is>
          <t>5.11</t>
        </is>
      </c>
      <c r="C600" s="52" t="inlineStr">
        <is>
          <t>Заполнение внутренних проемов  здания АБК</t>
        </is>
      </c>
      <c r="D600" s="54" t="inlineStr">
        <is>
          <t>компл.</t>
        </is>
      </c>
      <c r="E600" s="103" t="n">
        <v>1</v>
      </c>
      <c r="F600" s="146" t="n">
        <v>750000</v>
      </c>
      <c r="G600" s="146" t="n">
        <v>750000</v>
      </c>
      <c r="H600" t="inlineStr">
        <is>
          <t>Экспертная оценка</t>
        </is>
      </c>
    </row>
    <row r="601" ht="27.6" customFormat="1" customHeight="1" s="5">
      <c r="A601" s="61" t="inlineStr">
        <is>
          <t>5 этап</t>
        </is>
      </c>
      <c r="B601" s="34" t="inlineStr">
        <is>
          <t>5.11.1</t>
        </is>
      </c>
      <c r="C601" s="38" t="inlineStr">
        <is>
          <t>Установка межкомнатных дверей 2100х900 П (ПВХ), в т.ч. наличники, замки и фурнитура 1</t>
        </is>
      </c>
      <c r="D601" s="36" t="inlineStr">
        <is>
          <t>шт.</t>
        </is>
      </c>
      <c r="E601" s="162" t="n">
        <v>6</v>
      </c>
      <c r="F601" s="146" t="n">
        <v>6200</v>
      </c>
      <c r="G601" s="146" t="n">
        <v>37200</v>
      </c>
      <c r="H601" t="inlineStr">
        <is>
          <t>ФЕР-2020 × 0.75</t>
        </is>
      </c>
    </row>
    <row r="602" ht="27.6" customFormat="1" customHeight="1" s="5">
      <c r="A602" s="61" t="inlineStr">
        <is>
          <t>5 этап</t>
        </is>
      </c>
      <c r="B602" s="34" t="inlineStr">
        <is>
          <t>5.11.2</t>
        </is>
      </c>
      <c r="C602" s="38" t="inlineStr">
        <is>
          <t>Установка межкомнатных дверей 2100х900 Л (ПВХ), в т.ч. наличники, замки и фурнитура 1*</t>
        </is>
      </c>
      <c r="D602" s="36" t="inlineStr">
        <is>
          <t>шт.</t>
        </is>
      </c>
      <c r="E602" s="162" t="n">
        <v>7</v>
      </c>
      <c r="F602" s="146" t="n">
        <v>6200</v>
      </c>
      <c r="G602" s="146" t="n">
        <v>43400</v>
      </c>
      <c r="H602" t="inlineStr">
        <is>
          <t>ФЕР-2020 × 0.75</t>
        </is>
      </c>
    </row>
    <row r="603" ht="27.6" customFormat="1" customHeight="1" s="5">
      <c r="A603" s="61" t="inlineStr">
        <is>
          <t>5 этап</t>
        </is>
      </c>
      <c r="B603" s="34" t="inlineStr">
        <is>
          <t>5.11.3</t>
        </is>
      </c>
      <c r="C603" s="38" t="inlineStr">
        <is>
          <t>Установка межкомнатных дверей 2100х800 П (ПВХ), в т.ч. наличники, замки и фурнитура 2</t>
        </is>
      </c>
      <c r="D603" s="36" t="inlineStr">
        <is>
          <t>шт.</t>
        </is>
      </c>
      <c r="E603" s="162" t="n">
        <v>1</v>
      </c>
      <c r="F603" s="146" t="n">
        <v>6200</v>
      </c>
      <c r="G603" s="146" t="n">
        <v>6200</v>
      </c>
      <c r="H603" t="inlineStr">
        <is>
          <t>ФЕР-2020 × 0.75</t>
        </is>
      </c>
    </row>
    <row r="604" ht="27.6" customFormat="1" customHeight="1" s="5">
      <c r="A604" s="61" t="inlineStr">
        <is>
          <t>5 этап</t>
        </is>
      </c>
      <c r="B604" s="34" t="inlineStr">
        <is>
          <t>5.11.4</t>
        </is>
      </c>
      <c r="C604" s="38" t="inlineStr">
        <is>
          <t>Установка межкомнатных дверей 2100х800 Л (ПВХ), в т.ч. наличники, замки и фурнитура 2*</t>
        </is>
      </c>
      <c r="D604" s="36" t="inlineStr">
        <is>
          <t>шт.</t>
        </is>
      </c>
      <c r="E604" s="162" t="n">
        <v>2</v>
      </c>
      <c r="F604" s="146" t="n">
        <v>6200</v>
      </c>
      <c r="G604" s="146" t="n">
        <v>12400</v>
      </c>
      <c r="H604" t="inlineStr">
        <is>
          <t>ФЕР-2020 × 0.75</t>
        </is>
      </c>
    </row>
    <row r="605" ht="27.6" customFormat="1" customHeight="1" s="5">
      <c r="A605" s="61" t="inlineStr">
        <is>
          <t>5 этап</t>
        </is>
      </c>
      <c r="B605" s="34" t="inlineStr">
        <is>
          <t>5.11.5</t>
        </is>
      </c>
      <c r="C605" s="38" t="inlineStr">
        <is>
          <t>Установка межкомнатных дверей 2100х1450 П (ПВХ), в т.ч. наличники, замки и фурнитура 3</t>
        </is>
      </c>
      <c r="D605" s="36" t="inlineStr">
        <is>
          <t>шт.</t>
        </is>
      </c>
      <c r="E605" s="162" t="n">
        <v>5</v>
      </c>
      <c r="F605" s="146" t="n">
        <v>6200</v>
      </c>
      <c r="G605" s="146" t="n">
        <v>31000</v>
      </c>
      <c r="H605" t="inlineStr">
        <is>
          <t>ФЕР-2020 × 0.75</t>
        </is>
      </c>
    </row>
    <row r="606" ht="27.6" customFormat="1" customHeight="1" s="5">
      <c r="A606" s="61" t="inlineStr">
        <is>
          <t>5 этап</t>
        </is>
      </c>
      <c r="B606" s="34" t="inlineStr">
        <is>
          <t>5.11.6</t>
        </is>
      </c>
      <c r="C606" s="38" t="inlineStr">
        <is>
          <t>Установка межкомнатных дверей 2100х1450 Л (ПВХ), в т.ч. наличники, замки и фурнитура 3*</t>
        </is>
      </c>
      <c r="D606" s="36" t="inlineStr">
        <is>
          <t>шт.</t>
        </is>
      </c>
      <c r="E606" s="162" t="n">
        <v>1</v>
      </c>
      <c r="F606" s="146" t="n">
        <v>6200</v>
      </c>
      <c r="G606" s="146" t="n">
        <v>6200</v>
      </c>
      <c r="H606" t="inlineStr">
        <is>
          <t>ФЕР-2020 × 0.75</t>
        </is>
      </c>
    </row>
    <row r="607" ht="41.4" customFormat="1" customHeight="1" s="5">
      <c r="A607" s="61" t="inlineStr">
        <is>
          <t>5 этап</t>
        </is>
      </c>
      <c r="B607" s="34" t="inlineStr">
        <is>
          <t>5.11.7</t>
        </is>
      </c>
      <c r="C607" s="38" t="inlineStr">
        <is>
          <t>Установка двери металической 2300х900 Л Внутренняя Противопожарная ЕI30  в т.ч. наличники, замки и фурнитура 7</t>
        </is>
      </c>
      <c r="D607" s="36" t="inlineStr">
        <is>
          <t>шт.</t>
        </is>
      </c>
      <c r="E607" s="162" t="n">
        <v>1</v>
      </c>
      <c r="F607" s="146" t="n">
        <v>6200</v>
      </c>
      <c r="G607" s="146" t="n">
        <v>6200</v>
      </c>
      <c r="H607" t="inlineStr">
        <is>
          <t>ФЕР-2020 × 0.75</t>
        </is>
      </c>
    </row>
    <row r="608" ht="41.4" customFormat="1" customHeight="1" s="5">
      <c r="A608" s="61" t="inlineStr">
        <is>
          <t>5 этап</t>
        </is>
      </c>
      <c r="B608" s="34" t="inlineStr">
        <is>
          <t>5.11.8</t>
        </is>
      </c>
      <c r="C608" s="38" t="inlineStr">
        <is>
          <t>Установка двери металической 2300х1450 П Внутренняя Противопожарная ЕI30  в т.ч. наличники, замки и фурнитура 8</t>
        </is>
      </c>
      <c r="D608" s="36" t="inlineStr">
        <is>
          <t>шт.</t>
        </is>
      </c>
      <c r="E608" s="162" t="n">
        <v>9</v>
      </c>
      <c r="F608" s="146" t="n">
        <v>6200</v>
      </c>
      <c r="G608" s="146" t="n">
        <v>55800</v>
      </c>
      <c r="H608" t="inlineStr">
        <is>
          <t>ФЕР-2020 × 0.75</t>
        </is>
      </c>
    </row>
    <row r="609" ht="14.4" customFormat="1" customHeight="1" s="5">
      <c r="A609" s="104" t="inlineStr">
        <is>
          <t>5 этап</t>
        </is>
      </c>
      <c r="B609" s="112" t="inlineStr">
        <is>
          <t>5.12</t>
        </is>
      </c>
      <c r="C609" s="52" t="inlineStr">
        <is>
          <t>Облицовка цоколя здания Общежития</t>
        </is>
      </c>
      <c r="D609" s="54" t="inlineStr">
        <is>
          <t>компл.</t>
        </is>
      </c>
      <c r="E609" s="103" t="n">
        <v>1</v>
      </c>
      <c r="F609" s="146" t="n">
        <v>2400</v>
      </c>
      <c r="G609" s="146" t="n">
        <v>2400</v>
      </c>
      <c r="H609" t="inlineStr">
        <is>
          <t>ФЕР-2020 × 0.75</t>
        </is>
      </c>
    </row>
    <row r="610" ht="14.4" customFormat="1" customHeight="1" s="5">
      <c r="A610" s="61" t="inlineStr">
        <is>
          <t>5 этап</t>
        </is>
      </c>
      <c r="B610" s="34" t="inlineStr">
        <is>
          <t>5.12.1</t>
        </is>
      </c>
      <c r="C610" s="38" t="inlineStr">
        <is>
          <t>Монтаж утеплителя 100мм 35кг/м3</t>
        </is>
      </c>
      <c r="D610" s="36" t="inlineStr">
        <is>
          <t>м2</t>
        </is>
      </c>
      <c r="E610" s="160" t="n">
        <v>312.5</v>
      </c>
      <c r="F610" s="146" t="n">
        <v>2000</v>
      </c>
      <c r="G610" s="146" t="n">
        <v>625000</v>
      </c>
      <c r="H610" t="inlineStr">
        <is>
          <t>Экспертная оценка</t>
        </is>
      </c>
    </row>
    <row r="611" ht="14.4" customFormat="1" customHeight="1" s="5">
      <c r="A611" s="61" t="inlineStr">
        <is>
          <t>5 этап</t>
        </is>
      </c>
      <c r="B611" s="34" t="inlineStr">
        <is>
          <t>5.12.2</t>
        </is>
      </c>
      <c r="C611" s="38" t="inlineStr">
        <is>
          <t>Монтаж мембраны профилированной</t>
        </is>
      </c>
      <c r="D611" s="36" t="inlineStr">
        <is>
          <t>м2</t>
        </is>
      </c>
      <c r="E611" s="160" t="n">
        <v>367.5</v>
      </c>
      <c r="F611" s="146" t="n">
        <v>2000</v>
      </c>
      <c r="G611" s="146" t="n">
        <v>735000</v>
      </c>
      <c r="H611" t="inlineStr">
        <is>
          <t>Экспертная оценка</t>
        </is>
      </c>
    </row>
    <row r="612" ht="27.6" customFormat="1" customHeight="1" s="5">
      <c r="A612" s="61" t="inlineStr">
        <is>
          <t>5 этап</t>
        </is>
      </c>
      <c r="B612" s="34" t="inlineStr">
        <is>
          <t>5.12.3</t>
        </is>
      </c>
      <c r="C612" s="38" t="inlineStr">
        <is>
          <t>Монтаж сайдинга металлического 0,7мм на П-образном профиле</t>
        </is>
      </c>
      <c r="D612" s="36" t="inlineStr">
        <is>
          <t>м2</t>
        </is>
      </c>
      <c r="E612" s="160" t="n">
        <v>367.5</v>
      </c>
      <c r="F612" s="146" t="n">
        <v>2000</v>
      </c>
      <c r="G612" s="146" t="n">
        <v>735000</v>
      </c>
      <c r="H612" t="inlineStr">
        <is>
          <t>Экспертная оценка</t>
        </is>
      </c>
    </row>
    <row r="613" ht="14.4" customFormat="1" customHeight="1" s="5">
      <c r="A613" s="104" t="inlineStr">
        <is>
          <t>5 этап</t>
        </is>
      </c>
      <c r="B613" s="112" t="inlineStr">
        <is>
          <t>5.13</t>
        </is>
      </c>
      <c r="C613" s="52" t="inlineStr">
        <is>
          <t>Облицовка цоколя здания АБК</t>
        </is>
      </c>
      <c r="D613" s="54" t="inlineStr">
        <is>
          <t>компл.</t>
        </is>
      </c>
      <c r="E613" s="103" t="n">
        <v>1</v>
      </c>
      <c r="F613" s="146" t="n">
        <v>2400</v>
      </c>
      <c r="G613" s="146" t="n">
        <v>2400</v>
      </c>
      <c r="H613" t="inlineStr">
        <is>
          <t>ФЕР-2020 × 0.75</t>
        </is>
      </c>
    </row>
    <row r="614" ht="14.4" customFormat="1" customHeight="1" s="5">
      <c r="A614" s="61" t="inlineStr">
        <is>
          <t>5 этап</t>
        </is>
      </c>
      <c r="B614" s="34" t="inlineStr">
        <is>
          <t>5.13.1</t>
        </is>
      </c>
      <c r="C614" s="38" t="inlineStr">
        <is>
          <t>Монтаж утеплителя 100мм 35кг/м3</t>
        </is>
      </c>
      <c r="D614" s="36" t="inlineStr">
        <is>
          <t>м2</t>
        </is>
      </c>
      <c r="E614" s="160" t="n">
        <v>336.5</v>
      </c>
      <c r="F614" s="146" t="n">
        <v>2000</v>
      </c>
      <c r="G614" s="146" t="n">
        <v>673000</v>
      </c>
      <c r="H614" t="inlineStr">
        <is>
          <t>Экспертная оценка</t>
        </is>
      </c>
    </row>
    <row r="615" ht="14.4" customFormat="1" customHeight="1" s="5">
      <c r="A615" s="61" t="inlineStr">
        <is>
          <t>5 этап</t>
        </is>
      </c>
      <c r="B615" s="34" t="inlineStr">
        <is>
          <t>5.13.2</t>
        </is>
      </c>
      <c r="C615" s="38" t="inlineStr">
        <is>
          <t>Монтаж мембраны профилированной</t>
        </is>
      </c>
      <c r="D615" s="36" t="inlineStr">
        <is>
          <t>м2</t>
        </is>
      </c>
      <c r="E615" s="160" t="n">
        <v>398.2</v>
      </c>
      <c r="F615" s="146" t="n">
        <v>2000</v>
      </c>
      <c r="G615" s="146" t="n">
        <v>796400</v>
      </c>
      <c r="H615" t="inlineStr">
        <is>
          <t>Экспертная оценка</t>
        </is>
      </c>
    </row>
    <row r="616" ht="27.6" customFormat="1" customHeight="1" s="5">
      <c r="A616" s="61" t="inlineStr">
        <is>
          <t>5 этап</t>
        </is>
      </c>
      <c r="B616" s="34" t="inlineStr">
        <is>
          <t>5.13.3</t>
        </is>
      </c>
      <c r="C616" s="38" t="inlineStr">
        <is>
          <t>Монтаж сайдинга металлического 0,7мм на П-образном профиле</t>
        </is>
      </c>
      <c r="D616" s="36" t="inlineStr">
        <is>
          <t>м2</t>
        </is>
      </c>
      <c r="E616" s="160" t="n">
        <v>398.2</v>
      </c>
      <c r="F616" s="146" t="n">
        <v>2000</v>
      </c>
      <c r="G616" s="146" t="n">
        <v>796400</v>
      </c>
      <c r="H616" t="inlineStr">
        <is>
          <t>Экспертная оценка</t>
        </is>
      </c>
    </row>
    <row r="617" ht="14.4" customFormat="1" customHeight="1" s="5">
      <c r="A617" s="75" t="inlineStr">
        <is>
          <t>5 этап</t>
        </is>
      </c>
      <c r="B617" s="36" t="n"/>
      <c r="C617" s="113" t="inlineStr">
        <is>
          <t>ИТОГО 5 ЭТАП СЕТИ</t>
        </is>
      </c>
      <c r="D617" s="114" t="n"/>
      <c r="E617" s="164" t="n"/>
    </row>
    <row r="618" ht="14.4" customFormat="1" customHeight="1" s="5">
      <c r="A618" s="75" t="inlineStr">
        <is>
          <t>5 этап</t>
        </is>
      </c>
      <c r="B618" s="36" t="n"/>
      <c r="C618" s="113" t="inlineStr">
        <is>
          <t>ИТОГО 5 ЭТАП ОТДЕЛКА</t>
        </is>
      </c>
      <c r="D618" s="114" t="n"/>
      <c r="E618" s="164" t="n"/>
    </row>
    <row r="619" ht="24" customFormat="1" customHeight="1" s="14">
      <c r="A619" s="56" t="inlineStr">
        <is>
          <t>5 этап</t>
        </is>
      </c>
      <c r="B619" s="36" t="n"/>
      <c r="C619" s="57" t="inlineStr">
        <is>
          <t xml:space="preserve">ИТОГО 5 ЭТАП </t>
        </is>
      </c>
      <c r="D619" s="77" t="n"/>
      <c r="E619" s="160" t="n"/>
    </row>
    <row r="620" ht="17.4" customFormat="1" customHeight="1" s="3">
      <c r="A620" s="62" t="inlineStr">
        <is>
          <t>6 этап</t>
        </is>
      </c>
      <c r="B620" s="39" t="n"/>
      <c r="C620" s="64" t="inlineStr">
        <is>
          <t xml:space="preserve"> 6 ЭТАП</t>
        </is>
      </c>
      <c r="D620" s="152" t="n"/>
      <c r="E620" s="152" t="n"/>
      <c r="F620" s="124" t="n"/>
      <c r="G620" s="124" t="n"/>
      <c r="H620" s="124" t="n"/>
      <c r="I620" s="124" t="n"/>
      <c r="J620" s="124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24" t="n"/>
      <c r="Z620" s="124" t="n"/>
      <c r="AA620" s="124" t="n"/>
      <c r="AB620" s="124" t="n"/>
      <c r="AC620" s="124" t="n"/>
      <c r="AD620" s="124" t="n"/>
      <c r="AE620" s="124" t="n"/>
      <c r="AF620" s="124" t="n"/>
      <c r="AG620" s="124" t="n"/>
      <c r="AH620" s="124" t="n"/>
      <c r="AI620" s="124" t="n"/>
      <c r="AJ620" s="124" t="n"/>
      <c r="AK620" s="124" t="n"/>
      <c r="AL620" s="124" t="n"/>
      <c r="AM620" s="124" t="n"/>
      <c r="AN620" s="124" t="n"/>
      <c r="AO620" s="124" t="n"/>
      <c r="AP620" s="124" t="n"/>
      <c r="AQ620" s="124" t="n"/>
      <c r="AR620" s="124" t="n"/>
      <c r="AS620" s="124" t="n"/>
      <c r="AT620" s="124" t="n"/>
      <c r="AU620" s="124" t="n"/>
      <c r="AV620" s="124" t="n"/>
      <c r="AW620" s="124" t="n"/>
      <c r="AX620" s="124" t="n"/>
      <c r="AY620" s="124" t="n"/>
      <c r="AZ620" s="124" t="n"/>
      <c r="BA620" s="124" t="n"/>
      <c r="BB620" s="124" t="n"/>
      <c r="BC620" s="124" t="n"/>
      <c r="BD620" s="124" t="n"/>
      <c r="BE620" s="124" t="n"/>
      <c r="BF620" s="124" t="n"/>
      <c r="BG620" s="124" t="n"/>
      <c r="BH620" s="124" t="n"/>
      <c r="BI620" s="124" t="n"/>
      <c r="BJ620" s="124" t="n"/>
      <c r="BK620" s="124" t="n"/>
      <c r="BL620" s="124" t="n"/>
      <c r="BM620" s="124" t="n"/>
      <c r="BN620" s="124" t="n"/>
      <c r="BO620" s="124" t="n"/>
      <c r="BP620" s="124" t="n"/>
      <c r="BQ620" s="124" t="n"/>
      <c r="BR620" s="124" t="n"/>
      <c r="BS620" s="124" t="n"/>
      <c r="BT620" s="124" t="n"/>
      <c r="BU620" s="124" t="n"/>
      <c r="BV620" s="124" t="n"/>
      <c r="BW620" s="124" t="n"/>
      <c r="BX620" s="124" t="n"/>
      <c r="BY620" s="124" t="n"/>
      <c r="BZ620" s="124" t="n"/>
      <c r="CA620" s="124" t="n"/>
      <c r="CB620" s="124" t="n"/>
      <c r="CC620" s="124" t="n"/>
      <c r="CD620" s="124" t="n"/>
      <c r="CE620" s="124" t="n"/>
      <c r="CF620" s="124" t="n"/>
      <c r="CG620" s="124" t="n"/>
      <c r="CH620" s="124" t="n"/>
      <c r="CI620" s="124" t="n"/>
      <c r="CJ620" s="124" t="n"/>
      <c r="CK620" s="124" t="n"/>
      <c r="CL620" s="124" t="n"/>
      <c r="CM620" s="124" t="n"/>
      <c r="CN620" s="124" t="n"/>
      <c r="CO620" s="124" t="n"/>
      <c r="CP620" s="124" t="n"/>
      <c r="CQ620" s="124" t="n"/>
      <c r="CR620" s="124" t="n"/>
      <c r="CS620" s="124" t="n"/>
      <c r="CT620" s="124" t="n"/>
      <c r="CU620" s="124" t="n"/>
      <c r="CV620" s="124" t="n"/>
      <c r="CW620" s="124" t="n"/>
      <c r="CX620" s="124" t="n"/>
      <c r="CY620" s="124" t="n"/>
      <c r="CZ620" s="124" t="n"/>
      <c r="DA620" s="124" t="n"/>
      <c r="DB620" s="124" t="n"/>
      <c r="DC620" s="124" t="n"/>
      <c r="DD620" s="124" t="n"/>
      <c r="DE620" s="124" t="n"/>
      <c r="DF620" s="124" t="n"/>
      <c r="DG620" s="124" t="n"/>
      <c r="DH620" s="124" t="n"/>
      <c r="DI620" s="124" t="n"/>
      <c r="DJ620" s="124" t="n"/>
      <c r="DK620" s="124" t="n"/>
      <c r="DL620" s="124" t="n"/>
      <c r="DM620" s="124" t="n"/>
      <c r="DN620" s="124" t="n"/>
      <c r="DO620" s="124" t="n"/>
      <c r="DP620" s="124" t="n"/>
      <c r="DQ620" s="124" t="n"/>
      <c r="DR620" s="124" t="n"/>
      <c r="DS620" s="124" t="n"/>
      <c r="DT620" s="124" t="n"/>
      <c r="DU620" s="124" t="n"/>
      <c r="DV620" s="124" t="n"/>
      <c r="DW620" s="124" t="n"/>
      <c r="DX620" s="124" t="n"/>
      <c r="DY620" s="124" t="n"/>
      <c r="DZ620" s="124" t="n"/>
      <c r="EA620" s="124" t="n"/>
      <c r="EB620" s="124" t="n"/>
      <c r="EC620" s="124" t="n"/>
      <c r="ED620" s="124" t="n"/>
      <c r="EE620" s="124" t="n"/>
      <c r="EF620" s="124" t="n"/>
      <c r="EG620" s="124" t="n"/>
      <c r="EH620" s="124" t="n"/>
      <c r="EI620" s="124" t="n"/>
      <c r="EJ620" s="124" t="n"/>
      <c r="EK620" s="124" t="n"/>
      <c r="EL620" s="124" t="n"/>
      <c r="EM620" s="124" t="n"/>
      <c r="EN620" s="124" t="n"/>
      <c r="EO620" s="124" t="n"/>
      <c r="EP620" s="124" t="n"/>
      <c r="EQ620" s="124" t="n"/>
      <c r="ER620" s="124" t="n"/>
      <c r="ES620" s="124" t="n"/>
      <c r="ET620" s="124" t="n"/>
      <c r="EU620" s="124" t="n"/>
      <c r="EV620" s="124" t="n"/>
      <c r="EW620" s="124" t="n"/>
      <c r="EX620" s="124" t="n"/>
      <c r="EY620" s="124" t="n"/>
      <c r="EZ620" s="124" t="n"/>
      <c r="FA620" s="124" t="n"/>
      <c r="FB620" s="124" t="n"/>
      <c r="FC620" s="124" t="n"/>
      <c r="FD620" s="124" t="n"/>
      <c r="FE620" s="124" t="n"/>
      <c r="FF620" s="124" t="n"/>
      <c r="FG620" s="124" t="n"/>
      <c r="FH620" s="124" t="n"/>
      <c r="FI620" s="124" t="n"/>
      <c r="FJ620" s="124" t="n"/>
      <c r="FK620" s="124" t="n"/>
      <c r="FL620" s="124" t="n"/>
      <c r="FM620" s="124" t="n"/>
      <c r="FN620" s="124" t="n"/>
      <c r="FO620" s="124" t="n"/>
      <c r="FP620" s="124" t="n"/>
      <c r="FQ620" s="124" t="n"/>
      <c r="FR620" s="124" t="n"/>
      <c r="FS620" s="124" t="n"/>
      <c r="FT620" s="124" t="n"/>
      <c r="FU620" s="124" t="n"/>
      <c r="FV620" s="124" t="n"/>
      <c r="FW620" s="124" t="n"/>
      <c r="FX620" s="124" t="n"/>
      <c r="FY620" s="124" t="n"/>
      <c r="FZ620" s="124" t="n"/>
      <c r="GA620" s="124" t="n"/>
      <c r="GB620" s="124" t="n"/>
      <c r="GC620" s="124" t="n"/>
      <c r="GD620" s="124" t="n"/>
      <c r="GE620" s="124" t="n"/>
      <c r="GF620" s="124" t="n"/>
      <c r="GG620" s="124" t="n"/>
      <c r="GH620" s="124" t="n"/>
      <c r="GI620" s="124" t="n"/>
      <c r="GJ620" s="124" t="n"/>
      <c r="GK620" s="124" t="n"/>
      <c r="GL620" s="124" t="n"/>
      <c r="GM620" s="124" t="n"/>
      <c r="GN620" s="124" t="n"/>
      <c r="GO620" s="124" t="n"/>
      <c r="GP620" s="124" t="n"/>
      <c r="GQ620" s="124" t="n"/>
      <c r="GR620" s="124" t="n"/>
      <c r="GS620" s="124" t="n"/>
      <c r="GT620" s="124" t="n"/>
      <c r="GU620" s="124" t="n"/>
      <c r="GV620" s="124" t="n"/>
      <c r="GW620" s="124" t="n"/>
      <c r="GX620" s="124" t="n"/>
      <c r="GY620" s="124" t="n"/>
      <c r="GZ620" s="124" t="n"/>
      <c r="HA620" s="124" t="n"/>
      <c r="HB620" s="124" t="n"/>
      <c r="HC620" s="124" t="n"/>
      <c r="HD620" s="124" t="n"/>
      <c r="HE620" s="124" t="n"/>
      <c r="HF620" s="124" t="n"/>
      <c r="HG620" s="124" t="n"/>
      <c r="HH620" s="124" t="n"/>
      <c r="HI620" s="124" t="n"/>
      <c r="HJ620" s="124" t="n"/>
      <c r="HK620" s="124" t="n"/>
      <c r="HL620" s="124" t="n"/>
    </row>
    <row r="621" ht="28.8" customFormat="1" customHeight="1" s="5">
      <c r="A621" s="26" t="inlineStr">
        <is>
          <t>6 этап</t>
        </is>
      </c>
      <c r="B621" s="27" t="inlineStr">
        <is>
          <t>6.1</t>
        </is>
      </c>
      <c r="C621" s="116" t="inlineStr">
        <is>
          <t>Автоматическая пожарная сигнализация здания Общежития и АБК</t>
        </is>
      </c>
      <c r="D621" s="54" t="inlineStr">
        <is>
          <t>компл.</t>
        </is>
      </c>
      <c r="E621" s="142" t="n">
        <v>1</v>
      </c>
      <c r="F621" s="146" t="n">
        <v>750000</v>
      </c>
      <c r="G621" s="146" t="n">
        <v>750000</v>
      </c>
      <c r="H621" t="inlineStr">
        <is>
          <t>Экспертная оценка</t>
        </is>
      </c>
    </row>
    <row r="622" ht="28.2" customFormat="1" customHeight="1" s="5">
      <c r="A622" s="33" t="inlineStr">
        <is>
          <t>6 этап</t>
        </is>
      </c>
      <c r="B622" s="117" t="inlineStr">
        <is>
          <t>6.1.1</t>
        </is>
      </c>
      <c r="C622" s="118" t="inlineStr">
        <is>
          <t>Прибор приемно-контрольный и управления охранно-пожарный на 3 кольцевых ШС ML-1233/N</t>
        </is>
      </c>
      <c r="D622" s="36" t="inlineStr">
        <is>
          <t>шт.</t>
        </is>
      </c>
      <c r="E622" s="36" t="n">
        <v>1</v>
      </c>
      <c r="F622" s="146" t="n">
        <v>5000</v>
      </c>
      <c r="G622" s="146" t="n">
        <v>5000</v>
      </c>
      <c r="H622" t="inlineStr">
        <is>
          <t>Экспертная оценка</t>
        </is>
      </c>
    </row>
    <row r="623" ht="28.2" customFormat="1" customHeight="1" s="5">
      <c r="A623" s="33" t="inlineStr">
        <is>
          <t>6 этап</t>
        </is>
      </c>
      <c r="B623" s="117" t="inlineStr">
        <is>
          <t>6.1.2</t>
        </is>
      </c>
      <c r="C623" s="118" t="inlineStr">
        <is>
          <t>Прибор приемно-контрольный и управления охранно-пожарный на 4 кольцевых ШС ML-1234/N</t>
        </is>
      </c>
      <c r="D623" s="36" t="inlineStr">
        <is>
          <t>шт.</t>
        </is>
      </c>
      <c r="E623" s="36" t="n">
        <v>1</v>
      </c>
      <c r="F623" s="146" t="n">
        <v>5000</v>
      </c>
      <c r="G623" s="146" t="n">
        <v>5000</v>
      </c>
      <c r="H623" t="inlineStr">
        <is>
          <t>Экспертная оценка</t>
        </is>
      </c>
    </row>
    <row r="624" ht="14.4" customFormat="1" customHeight="1" s="5">
      <c r="A624" s="33" t="inlineStr">
        <is>
          <t>6 этап</t>
        </is>
      </c>
      <c r="B624" s="117" t="inlineStr">
        <is>
          <t>6.1.3</t>
        </is>
      </c>
      <c r="C624" s="118" t="inlineStr">
        <is>
          <t>Адресный модуль SGC, выход TCP/IP ML-12011.C</t>
        </is>
      </c>
      <c r="D624" s="36" t="inlineStr">
        <is>
          <t>шт.</t>
        </is>
      </c>
      <c r="E624" s="36" t="n">
        <v>2</v>
      </c>
      <c r="F624" s="146" t="n">
        <v>5000</v>
      </c>
      <c r="G624" s="146" t="n">
        <v>10000</v>
      </c>
      <c r="H624" t="inlineStr">
        <is>
          <t>Экспертная оценка</t>
        </is>
      </c>
    </row>
    <row r="625" ht="28.2" customFormat="1" customHeight="1" s="5">
      <c r="A625" s="33" t="inlineStr">
        <is>
          <t>6 этап</t>
        </is>
      </c>
      <c r="B625" s="117" t="inlineStr">
        <is>
          <t>6.1.4</t>
        </is>
      </c>
      <c r="C625" s="118" t="inlineStr">
        <is>
          <t>Модуль управления релейный, 8 выходов с изолятором КЗ ML-1318.SCI</t>
        </is>
      </c>
      <c r="D625" s="36" t="inlineStr">
        <is>
          <t>шт.</t>
        </is>
      </c>
      <c r="E625" s="36" t="n">
        <v>2</v>
      </c>
      <c r="F625" s="146" t="n">
        <v>5000</v>
      </c>
      <c r="G625" s="146" t="n">
        <v>10000</v>
      </c>
      <c r="H625" t="inlineStr">
        <is>
          <t>Экспертная оценка</t>
        </is>
      </c>
    </row>
    <row r="626" ht="28.2" customFormat="1" customHeight="1" s="5">
      <c r="A626" s="33" t="inlineStr">
        <is>
          <t>6 этап</t>
        </is>
      </c>
      <c r="B626" s="117" t="inlineStr">
        <is>
          <t>6.1.5</t>
        </is>
      </c>
      <c r="C626" s="118" t="inlineStr">
        <is>
          <t>Извещатель пожарный комбинированный адресный (дым+тепло) ML-1140</t>
        </is>
      </c>
      <c r="D626" s="36" t="inlineStr">
        <is>
          <t>шт.</t>
        </is>
      </c>
      <c r="E626" s="36" t="n">
        <v>323</v>
      </c>
      <c r="F626" s="146" t="n">
        <v>5000</v>
      </c>
      <c r="G626" s="146" t="n">
        <v>1615000</v>
      </c>
      <c r="H626" t="inlineStr">
        <is>
          <t>Экспертная оценка</t>
        </is>
      </c>
    </row>
    <row r="627" ht="28.2" customFormat="1" customHeight="1" s="5">
      <c r="A627" s="33" t="inlineStr">
        <is>
          <t>6 этап</t>
        </is>
      </c>
      <c r="B627" s="117" t="inlineStr">
        <is>
          <t>6.1.6</t>
        </is>
      </c>
      <c r="C627" s="118" t="inlineStr">
        <is>
          <t>Адресный пожарный ручной извещатель, с изолятором КЗ ML-1731.SCI</t>
        </is>
      </c>
      <c r="D627" s="36" t="inlineStr">
        <is>
          <t>шт.</t>
        </is>
      </c>
      <c r="E627" s="36" t="n">
        <v>23</v>
      </c>
      <c r="F627" s="146" t="n">
        <v>5000</v>
      </c>
      <c r="G627" s="146" t="n">
        <v>115000</v>
      </c>
      <c r="H627" t="inlineStr">
        <is>
          <t>Экспертная оценка</t>
        </is>
      </c>
    </row>
    <row r="628" ht="28.2" customFormat="1" customHeight="1" s="5">
      <c r="A628" s="33" t="inlineStr">
        <is>
          <t>6 этап</t>
        </is>
      </c>
      <c r="B628" s="117" t="inlineStr">
        <is>
          <t>6.1.7</t>
        </is>
      </c>
      <c r="C628" s="118" t="inlineStr">
        <is>
          <t>Адресный светозвуковой оповещатель, с изолятором КЗ ML-1430.SCI</t>
        </is>
      </c>
      <c r="D628" s="36" t="inlineStr">
        <is>
          <t>шт.</t>
        </is>
      </c>
      <c r="E628" s="36" t="n">
        <v>37</v>
      </c>
      <c r="F628" s="146" t="n">
        <v>5000</v>
      </c>
      <c r="G628" s="146" t="n">
        <v>185000</v>
      </c>
      <c r="H628" t="inlineStr">
        <is>
          <t>Экспертная оценка</t>
        </is>
      </c>
    </row>
    <row r="629" ht="14.4" customFormat="1" customHeight="1" s="5">
      <c r="A629" s="33" t="inlineStr">
        <is>
          <t>6 этап</t>
        </is>
      </c>
      <c r="B629" s="117" t="inlineStr">
        <is>
          <t>6.1.8</t>
        </is>
      </c>
      <c r="C629" s="118" t="inlineStr">
        <is>
          <t>Импульсный блок питания, 10 aмпер ML-5110</t>
        </is>
      </c>
      <c r="D629" s="36" t="inlineStr">
        <is>
          <t>шт.</t>
        </is>
      </c>
      <c r="E629" s="36" t="n">
        <v>2</v>
      </c>
      <c r="F629" s="146" t="n">
        <v>5000</v>
      </c>
      <c r="G629" s="146" t="n">
        <v>10000</v>
      </c>
      <c r="H629" t="inlineStr">
        <is>
          <t>Экспертная оценка</t>
        </is>
      </c>
    </row>
    <row r="630" ht="28.2" customFormat="1" customHeight="1" s="5">
      <c r="A630" s="33" t="inlineStr">
        <is>
          <t>6 этап</t>
        </is>
      </c>
      <c r="B630" s="117" t="inlineStr">
        <is>
          <t>6.1.9</t>
        </is>
      </c>
      <c r="C630" s="118" t="inlineStr">
        <is>
          <t>Аккумулятор Delta DTM 1207 12В 7А*ч Delta DTM 1207 12В 7А*ч</t>
        </is>
      </c>
      <c r="D630" s="36" t="inlineStr">
        <is>
          <t>шт.</t>
        </is>
      </c>
      <c r="E630" s="36" t="n">
        <v>4</v>
      </c>
      <c r="F630" s="146" t="n">
        <v>5000</v>
      </c>
      <c r="G630" s="146" t="n">
        <v>20000</v>
      </c>
      <c r="H630" t="inlineStr">
        <is>
          <t>Экспертная оценка</t>
        </is>
      </c>
    </row>
    <row r="631" ht="42" customFormat="1" customHeight="1" s="5">
      <c r="A631" s="33" t="inlineStr">
        <is>
          <t>6 этап</t>
        </is>
      </c>
      <c r="B631" s="117" t="inlineStr">
        <is>
          <t>6.1.10</t>
        </is>
      </c>
      <c r="C631" s="118" t="inlineStr">
        <is>
          <t>Кабель для систем ОПС и СОУЭ огнестойкий, не поддерживающий горения, экранированный КПСЭнг(А)-FRHF 1х2х0,75</t>
        </is>
      </c>
      <c r="D631" s="36" t="inlineStr">
        <is>
          <t>м</t>
        </is>
      </c>
      <c r="E631" s="36" t="n">
        <v>1837</v>
      </c>
      <c r="F631" s="146" t="n">
        <v>2100</v>
      </c>
      <c r="G631" s="146" t="n">
        <v>3857700</v>
      </c>
      <c r="H631" t="inlineStr">
        <is>
          <t>ФЕР-2020 × 0.75</t>
        </is>
      </c>
    </row>
    <row r="632" ht="14.4" customFormat="1" customHeight="1" s="5">
      <c r="A632" s="33" t="inlineStr">
        <is>
          <t>6 этап</t>
        </is>
      </c>
      <c r="B632" s="117" t="inlineStr">
        <is>
          <t>6.1.11</t>
        </is>
      </c>
      <c r="C632" s="118" t="inlineStr">
        <is>
          <t>Труба гофрированная ПВХ НГ Ø 16мм</t>
        </is>
      </c>
      <c r="D632" s="36" t="inlineStr">
        <is>
          <t>м</t>
        </is>
      </c>
      <c r="E632" s="36" t="n">
        <v>1448</v>
      </c>
      <c r="F632" s="146" t="n">
        <v>1500</v>
      </c>
      <c r="G632" s="146" t="n">
        <v>2172000</v>
      </c>
      <c r="H632" t="inlineStr">
        <is>
          <t>Экспертная оценка</t>
        </is>
      </c>
    </row>
    <row r="633" ht="28.2" customFormat="1" customHeight="1" s="5">
      <c r="A633" s="33" t="inlineStr">
        <is>
          <t>6 этап</t>
        </is>
      </c>
      <c r="B633" s="117" t="inlineStr">
        <is>
          <t>6.1.12</t>
        </is>
      </c>
      <c r="C633" s="118" t="inlineStr">
        <is>
          <t>Площадка под стяжку прямой монтаж МФ 16х23 ЧЕРНАЯ / 100 шт.</t>
        </is>
      </c>
      <c r="D633" s="36" t="inlineStr">
        <is>
          <t xml:space="preserve">уп </t>
        </is>
      </c>
      <c r="E633" s="36" t="n">
        <v>15</v>
      </c>
      <c r="F633" s="146" t="n">
        <v>3500</v>
      </c>
      <c r="G633" s="146" t="n">
        <v>52500</v>
      </c>
      <c r="H633" t="inlineStr">
        <is>
          <t>ФЕР-2020 × 0.75</t>
        </is>
      </c>
    </row>
    <row r="634" ht="28.2" customFormat="1" customHeight="1" s="5">
      <c r="A634" s="33" t="inlineStr">
        <is>
          <t>6 этап</t>
        </is>
      </c>
      <c r="B634" s="117" t="inlineStr">
        <is>
          <t>6.1.13</t>
        </is>
      </c>
      <c r="C634" s="118" t="inlineStr">
        <is>
          <t>Пластиковые кабельные стяжки 8*300 нейлоновый / 100 шт.</t>
        </is>
      </c>
      <c r="D634" s="36" t="inlineStr">
        <is>
          <t xml:space="preserve">уп </t>
        </is>
      </c>
      <c r="E634" s="36" t="n">
        <v>15</v>
      </c>
      <c r="F634" s="146" t="n">
        <v>1600</v>
      </c>
      <c r="G634" s="146" t="n">
        <v>24000</v>
      </c>
      <c r="H634" t="inlineStr">
        <is>
          <t>ФЕР-2020 × 0.75</t>
        </is>
      </c>
    </row>
    <row r="635" ht="14.4" customFormat="1" customHeight="1" s="5">
      <c r="A635" s="33" t="inlineStr">
        <is>
          <t>6 этап</t>
        </is>
      </c>
      <c r="B635" s="117" t="inlineStr">
        <is>
          <t>6.1.14</t>
        </is>
      </c>
      <c r="C635" s="118" t="inlineStr">
        <is>
          <t>Дюбель-гвоздь (чопик) «Orion» 6*40 / 100 шт.</t>
        </is>
      </c>
      <c r="D635" s="36" t="inlineStr">
        <is>
          <t xml:space="preserve">уп </t>
        </is>
      </c>
      <c r="E635" s="36" t="n">
        <v>15</v>
      </c>
      <c r="F635" s="146" t="n">
        <v>10000</v>
      </c>
      <c r="G635" s="146" t="n">
        <v>150000</v>
      </c>
      <c r="H635" t="inlineStr">
        <is>
          <t>Экспертная оценка</t>
        </is>
      </c>
    </row>
    <row r="636" ht="69" customFormat="1" customHeight="1" s="5">
      <c r="A636" s="33" t="inlineStr">
        <is>
          <t>6 этап</t>
        </is>
      </c>
      <c r="B636" s="117" t="inlineStr">
        <is>
          <t>6.1.15</t>
        </is>
      </c>
      <c r="C636" s="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      </is>
      </c>
      <c r="D636" s="36" t="inlineStr">
        <is>
          <t>компл.</t>
        </is>
      </c>
      <c r="E636" s="144" t="n">
        <v>1</v>
      </c>
      <c r="F636" s="146" t="n">
        <v>750000</v>
      </c>
      <c r="G636" s="146" t="n">
        <v>750000</v>
      </c>
      <c r="H636" t="inlineStr">
        <is>
          <t>Экспертная оценка</t>
        </is>
      </c>
    </row>
    <row r="637" ht="16.8" customFormat="1" customHeight="1" s="5">
      <c r="A637" s="26" t="inlineStr">
        <is>
          <t>6 этап</t>
        </is>
      </c>
      <c r="B637" s="27" t="inlineStr">
        <is>
          <t>6.2</t>
        </is>
      </c>
      <c r="C637" s="119" t="inlineStr">
        <is>
          <t>СКУД здания Общежития  и АБК</t>
        </is>
      </c>
      <c r="D637" s="54" t="inlineStr">
        <is>
          <t>компл.</t>
        </is>
      </c>
      <c r="E637" s="142" t="n">
        <v>1</v>
      </c>
      <c r="F637" s="146" t="n">
        <v>750000</v>
      </c>
      <c r="G637" s="146" t="n">
        <v>750000</v>
      </c>
      <c r="H637" t="inlineStr">
        <is>
          <t>Экспертная оценка</t>
        </is>
      </c>
    </row>
    <row r="638" ht="14.4" customFormat="1" customHeight="1" s="5">
      <c r="A638" s="33" t="inlineStr">
        <is>
          <t>6 этап</t>
        </is>
      </c>
      <c r="B638" s="117" t="inlineStr">
        <is>
          <t>6.2.1</t>
        </is>
      </c>
      <c r="C638" s="79" t="inlineStr">
        <is>
          <t>Терминал распознавания лиц Hikvision DS-K1T671M</t>
        </is>
      </c>
      <c r="D638" s="36" t="inlineStr">
        <is>
          <t>шт.</t>
        </is>
      </c>
      <c r="E638" s="36" t="n">
        <v>15</v>
      </c>
      <c r="F638" s="146" t="n">
        <v>5000</v>
      </c>
      <c r="G638" s="146" t="n">
        <v>75000</v>
      </c>
      <c r="H638" t="inlineStr">
        <is>
          <t>Экспертная оценка</t>
        </is>
      </c>
    </row>
    <row r="639" ht="14.4" customFormat="1" customHeight="1" s="5">
      <c r="A639" s="33" t="inlineStr">
        <is>
          <t>6 этап</t>
        </is>
      </c>
      <c r="B639" s="117" t="inlineStr">
        <is>
          <t>6.2.2</t>
        </is>
      </c>
      <c r="C639" s="79" t="inlineStr">
        <is>
          <t>Блок питания HIKVISION DS-K7M-AW100</t>
        </is>
      </c>
      <c r="D639" s="36" t="inlineStr">
        <is>
          <t>шт.</t>
        </is>
      </c>
      <c r="E639" s="36" t="n">
        <v>12</v>
      </c>
      <c r="F639" s="146" t="n">
        <v>5000</v>
      </c>
      <c r="G639" s="146" t="n">
        <v>60000</v>
      </c>
      <c r="H639" t="inlineStr">
        <is>
          <t>Экспертная оценка</t>
        </is>
      </c>
    </row>
    <row r="640" ht="14.4" customFormat="1" customHeight="1" s="5">
      <c r="A640" s="33" t="inlineStr">
        <is>
          <t>6 этап</t>
        </is>
      </c>
      <c r="B640" s="117" t="inlineStr">
        <is>
          <t>6.2.3</t>
        </is>
      </c>
      <c r="C640" s="79" t="inlineStr">
        <is>
          <t>Замок электромагнитный DS-K4H250S</t>
        </is>
      </c>
      <c r="D640" s="36" t="inlineStr">
        <is>
          <t>шт.</t>
        </is>
      </c>
      <c r="E640" s="36" t="n">
        <v>12</v>
      </c>
      <c r="F640" s="146" t="n">
        <v>1600</v>
      </c>
      <c r="G640" s="146" t="n">
        <v>19200</v>
      </c>
      <c r="H640" t="inlineStr">
        <is>
          <t>ФЕР-2020 × 0.75</t>
        </is>
      </c>
    </row>
    <row r="641" ht="14.4" customFormat="1" customHeight="1" s="5">
      <c r="A641" s="33" t="inlineStr">
        <is>
          <t>6 этап</t>
        </is>
      </c>
      <c r="B641" s="117" t="inlineStr">
        <is>
          <t>6.2.4</t>
        </is>
      </c>
      <c r="C641" s="79" t="inlineStr">
        <is>
          <t>Дверной доводчик Hikvision DS-K4DC105</t>
        </is>
      </c>
      <c r="D641" s="36" t="inlineStr">
        <is>
          <t>шт.</t>
        </is>
      </c>
      <c r="E641" s="36" t="n">
        <v>12</v>
      </c>
      <c r="F641" s="146" t="n">
        <v>6200</v>
      </c>
      <c r="G641" s="146" t="n">
        <v>74400</v>
      </c>
      <c r="H641" t="inlineStr">
        <is>
          <t>ФЕР-2020 × 0.75</t>
        </is>
      </c>
    </row>
    <row r="642" ht="14.4" customFormat="1" customHeight="1" s="5">
      <c r="A642" s="33" t="inlineStr">
        <is>
          <t>6 этап</t>
        </is>
      </c>
      <c r="B642" s="117" t="inlineStr">
        <is>
          <t>6.2.5</t>
        </is>
      </c>
      <c r="C642" s="79" t="inlineStr">
        <is>
          <t>Кнопка выхода бесконтактная HIKVISION DS-K7P07</t>
        </is>
      </c>
      <c r="D642" s="36" t="inlineStr">
        <is>
          <t>шт.</t>
        </is>
      </c>
      <c r="E642" s="36" t="n">
        <v>9</v>
      </c>
      <c r="F642" s="146" t="n">
        <v>5000</v>
      </c>
      <c r="G642" s="146" t="n">
        <v>45000</v>
      </c>
      <c r="H642" t="inlineStr">
        <is>
          <t>Экспертная оценка</t>
        </is>
      </c>
    </row>
    <row r="643" ht="14.4" customFormat="1" customHeight="1" s="5">
      <c r="A643" s="33" t="inlineStr">
        <is>
          <t>6 этап</t>
        </is>
      </c>
      <c r="B643" s="117" t="inlineStr">
        <is>
          <t>6.2.6</t>
        </is>
      </c>
      <c r="C643" s="79" t="inlineStr">
        <is>
          <t>СМК маленькие MC-38</t>
        </is>
      </c>
      <c r="D643" s="36" t="inlineStr">
        <is>
          <t>шт.</t>
        </is>
      </c>
      <c r="E643" s="36" t="n">
        <v>12</v>
      </c>
      <c r="F643" s="146" t="n">
        <v>5000</v>
      </c>
      <c r="G643" s="146" t="n">
        <v>60000</v>
      </c>
      <c r="H643" t="inlineStr">
        <is>
          <t>Экспертная оценка</t>
        </is>
      </c>
    </row>
    <row r="644" ht="14.4" customFormat="1" customHeight="1" s="5">
      <c r="A644" s="33" t="inlineStr">
        <is>
          <t>6 этап</t>
        </is>
      </c>
      <c r="B644" s="117" t="inlineStr">
        <is>
          <t>6.2.7</t>
        </is>
      </c>
      <c r="C644" s="79" t="inlineStr">
        <is>
          <t>Коммутатор сетевой PoE HIKVISION DS-3E1510P-SI</t>
        </is>
      </c>
      <c r="D644" s="36" t="inlineStr">
        <is>
          <t>шт.</t>
        </is>
      </c>
      <c r="E644" s="36" t="n">
        <v>1</v>
      </c>
      <c r="F644" s="146" t="n">
        <v>5000</v>
      </c>
      <c r="G644" s="146" t="n">
        <v>5000</v>
      </c>
      <c r="H644" t="inlineStr">
        <is>
          <t>Экспертная оценка</t>
        </is>
      </c>
    </row>
    <row r="645" ht="14.4" customFormat="1" customHeight="1" s="5">
      <c r="A645" s="33" t="inlineStr">
        <is>
          <t>6 этап</t>
        </is>
      </c>
      <c r="B645" s="117" t="inlineStr">
        <is>
          <t>6.2.8</t>
        </is>
      </c>
      <c r="C645" s="79" t="inlineStr">
        <is>
          <t>Коммутатор сетевой PoE HIKVISION DS-3E1518P-SI</t>
        </is>
      </c>
      <c r="D645" s="36" t="inlineStr">
        <is>
          <t>шт.</t>
        </is>
      </c>
      <c r="E645" s="36" t="n">
        <v>1</v>
      </c>
      <c r="F645" s="146" t="n">
        <v>5000</v>
      </c>
      <c r="G645" s="146" t="n">
        <v>5000</v>
      </c>
      <c r="H645" t="inlineStr">
        <is>
          <t>Экспертная оценка</t>
        </is>
      </c>
    </row>
    <row r="646" ht="14.4" customFormat="1" customHeight="1" s="5">
      <c r="A646" s="33" t="inlineStr">
        <is>
          <t>6 этап</t>
        </is>
      </c>
      <c r="B646" s="117" t="inlineStr">
        <is>
          <t>6.2.9</t>
        </is>
      </c>
      <c r="C646" s="79" t="inlineStr">
        <is>
          <t>Процессор 12-го поколения Intel Core i5-12400</t>
        </is>
      </c>
      <c r="D646" s="36" t="inlineStr">
        <is>
          <t>шт.</t>
        </is>
      </c>
      <c r="E646" s="36" t="n">
        <v>1</v>
      </c>
      <c r="F646" s="146" t="n">
        <v>5000</v>
      </c>
      <c r="G646" s="146" t="n">
        <v>5000</v>
      </c>
      <c r="H646" t="inlineStr">
        <is>
          <t>Экспертная оценка</t>
        </is>
      </c>
    </row>
    <row r="647" ht="14.4" customFormat="1" customHeight="1" s="5">
      <c r="A647" s="33" t="inlineStr">
        <is>
          <t>6 этап</t>
        </is>
      </c>
      <c r="B647" s="117" t="inlineStr">
        <is>
          <t>6.2.10</t>
        </is>
      </c>
      <c r="C647" s="79" t="inlineStr">
        <is>
          <t>Материнская плата с поддержкой DDR4 MSI B660</t>
        </is>
      </c>
      <c r="D647" s="36" t="inlineStr">
        <is>
          <t>шт.</t>
        </is>
      </c>
      <c r="E647" s="36" t="n">
        <v>1</v>
      </c>
      <c r="F647" s="146" t="n">
        <v>5000</v>
      </c>
      <c r="G647" s="146" t="n">
        <v>5000</v>
      </c>
      <c r="H647" t="inlineStr">
        <is>
          <t>Экспертная оценка</t>
        </is>
      </c>
    </row>
    <row r="648" ht="27.6" customFormat="1" customHeight="1" s="5">
      <c r="A648" s="33" t="inlineStr">
        <is>
          <t>6 этап</t>
        </is>
      </c>
      <c r="B648" s="117" t="inlineStr">
        <is>
          <t>6.2.11</t>
        </is>
      </c>
      <c r="C648" s="79" t="inlineStr">
        <is>
          <t>Оперативная память DDR4 16GB PC-25600 (3200Mhz) LEXAR CL19</t>
        </is>
      </c>
      <c r="D648" s="36" t="inlineStr">
        <is>
          <t>шт.</t>
        </is>
      </c>
      <c r="E648" s="36" t="n">
        <v>1</v>
      </c>
      <c r="F648" s="146" t="n">
        <v>5000</v>
      </c>
      <c r="G648" s="146" t="n">
        <v>5000</v>
      </c>
      <c r="H648" t="inlineStr">
        <is>
          <t>Экспертная оценка</t>
        </is>
      </c>
    </row>
    <row r="649" ht="27.6" customFormat="1" customHeight="1" s="5">
      <c r="A649" s="33" t="inlineStr">
        <is>
          <t>6 этап</t>
        </is>
      </c>
      <c r="B649" s="117" t="inlineStr">
        <is>
          <t>6.2.12</t>
        </is>
      </c>
      <c r="C649" s="79" t="inlineStr">
        <is>
          <t>Твердотельный накопитель SSD KINGSTON 1 ТБ NVMe SSD</t>
        </is>
      </c>
      <c r="D649" s="36" t="inlineStr">
        <is>
          <t>шт.</t>
        </is>
      </c>
      <c r="E649" s="36" t="n">
        <v>1</v>
      </c>
      <c r="F649" s="146" t="n">
        <v>5000</v>
      </c>
      <c r="G649" s="146" t="n">
        <v>5000</v>
      </c>
      <c r="H649" t="inlineStr">
        <is>
          <t>Экспертная оценка</t>
        </is>
      </c>
    </row>
    <row r="650" ht="14.4" customFormat="1" customHeight="1" s="5">
      <c r="A650" s="33" t="inlineStr">
        <is>
          <t>6 этап</t>
        </is>
      </c>
      <c r="B650" s="117" t="inlineStr">
        <is>
          <t>6.2.13</t>
        </is>
      </c>
      <c r="C650" s="79" t="inlineStr">
        <is>
          <t>Блок питания 550 Вт 80+ Jump ATX ST-550</t>
        </is>
      </c>
      <c r="D650" s="36" t="inlineStr">
        <is>
          <t>шт.</t>
        </is>
      </c>
      <c r="E650" s="36" t="n">
        <v>1</v>
      </c>
      <c r="F650" s="146" t="n">
        <v>5000</v>
      </c>
      <c r="G650" s="146" t="n">
        <v>5000</v>
      </c>
      <c r="H650" t="inlineStr">
        <is>
          <t>Экспертная оценка</t>
        </is>
      </c>
    </row>
    <row r="651" ht="27.6" customFormat="1" customHeight="1" s="5">
      <c r="A651" s="33" t="inlineStr">
        <is>
          <t>6 этап</t>
        </is>
      </c>
      <c r="B651" s="117" t="inlineStr">
        <is>
          <t>6.2.14</t>
        </is>
      </c>
      <c r="C651" s="79" t="inlineStr">
        <is>
          <t>Компьютерный корпус Mid-Tower INFINITE SPACE IS6-BK-3F2C3</t>
        </is>
      </c>
      <c r="D651" s="36" t="inlineStr">
        <is>
          <t>шт.</t>
        </is>
      </c>
      <c r="E651" s="36" t="n">
        <v>1</v>
      </c>
      <c r="F651" s="146" t="n">
        <v>5000</v>
      </c>
      <c r="G651" s="146" t="n">
        <v>5000</v>
      </c>
      <c r="H651" t="inlineStr">
        <is>
          <t>Экспертная оценка</t>
        </is>
      </c>
    </row>
    <row r="652" ht="27.6" customFormat="1" customHeight="1" s="5">
      <c r="A652" s="33" t="inlineStr">
        <is>
          <t>6 этап</t>
        </is>
      </c>
      <c r="B652" s="117" t="inlineStr">
        <is>
          <t>6.2.15</t>
        </is>
      </c>
      <c r="C652" s="79" t="inlineStr">
        <is>
          <t>Кулер для процессора Cooler Master MasterAir MA612 Stealth</t>
        </is>
      </c>
      <c r="D652" s="36" t="inlineStr">
        <is>
          <t>шт.</t>
        </is>
      </c>
      <c r="E652" s="36" t="n">
        <v>1</v>
      </c>
      <c r="F652" s="146" t="n">
        <v>5000</v>
      </c>
      <c r="G652" s="146" t="n">
        <v>5000</v>
      </c>
      <c r="H652" t="inlineStr">
        <is>
          <t>Экспертная оценка</t>
        </is>
      </c>
    </row>
    <row r="653" ht="14.4" customFormat="1" customHeight="1" s="5">
      <c r="A653" s="33" t="inlineStr">
        <is>
          <t>6 этап</t>
        </is>
      </c>
      <c r="B653" s="117" t="inlineStr">
        <is>
          <t>6.2.16</t>
        </is>
      </c>
      <c r="C653" s="79" t="inlineStr">
        <is>
          <t>Жесткий диск HDD 2TB Toshiba 5400rpm 128Mb</t>
        </is>
      </c>
      <c r="D653" s="36" t="inlineStr">
        <is>
          <t>шт.</t>
        </is>
      </c>
      <c r="E653" s="36" t="n">
        <v>1</v>
      </c>
      <c r="F653" s="146" t="n">
        <v>5000</v>
      </c>
      <c r="G653" s="146" t="n">
        <v>5000</v>
      </c>
      <c r="H653" t="inlineStr">
        <is>
          <t>Экспертная оценка</t>
        </is>
      </c>
    </row>
    <row r="654" ht="14.4" customFormat="1" customHeight="1" s="5">
      <c r="A654" s="33" t="inlineStr">
        <is>
          <t>6 этап</t>
        </is>
      </c>
      <c r="B654" s="117" t="inlineStr">
        <is>
          <t>6.2.17</t>
        </is>
      </c>
      <c r="C654" s="79" t="inlineStr">
        <is>
          <t>Монитор Hikvision 27" D5027FN01</t>
        </is>
      </c>
      <c r="D654" s="36" t="inlineStr">
        <is>
          <t>шт.</t>
        </is>
      </c>
      <c r="E654" s="36" t="n">
        <v>1</v>
      </c>
      <c r="F654" s="146" t="n">
        <v>5000</v>
      </c>
      <c r="G654" s="146" t="n">
        <v>5000</v>
      </c>
      <c r="H654" t="inlineStr">
        <is>
          <t>Экспертная оценка</t>
        </is>
      </c>
    </row>
    <row r="655" ht="14.4" customFormat="1" customHeight="1" s="5">
      <c r="A655" s="33" t="inlineStr">
        <is>
          <t>6 этап</t>
        </is>
      </c>
      <c r="B655" s="117" t="inlineStr">
        <is>
          <t>6.2.18</t>
        </is>
      </c>
      <c r="C655" s="79" t="inlineStr">
        <is>
          <t>Клавиатура+мышь набор Delux K6850U+M362BU</t>
        </is>
      </c>
      <c r="D655" s="36" t="inlineStr">
        <is>
          <t>шт.</t>
        </is>
      </c>
      <c r="E655" s="36" t="n">
        <v>1</v>
      </c>
      <c r="F655" s="146" t="n">
        <v>5000</v>
      </c>
      <c r="G655" s="146" t="n">
        <v>5000</v>
      </c>
      <c r="H655" t="inlineStr">
        <is>
          <t>Экспертная оценка</t>
        </is>
      </c>
    </row>
    <row r="656" ht="14.4" customFormat="1" customHeight="1" s="5">
      <c r="A656" s="33" t="inlineStr">
        <is>
          <t>6 этап</t>
        </is>
      </c>
      <c r="B656" s="117" t="inlineStr">
        <is>
          <t>6.2.19</t>
        </is>
      </c>
      <c r="C656" s="79" t="inlineStr">
        <is>
          <t>Операционная система Microsoft Windows 11 Pro ML x64</t>
        </is>
      </c>
      <c r="D656" s="36" t="inlineStr">
        <is>
          <t>шт.</t>
        </is>
      </c>
      <c r="E656" s="36" t="n">
        <v>1</v>
      </c>
      <c r="F656" s="146" t="n">
        <v>5000</v>
      </c>
      <c r="G656" s="146" t="n">
        <v>5000</v>
      </c>
      <c r="H656" t="inlineStr">
        <is>
          <t>Экспертная оценка</t>
        </is>
      </c>
    </row>
    <row r="657" ht="14.4" customFormat="1" customHeight="1" s="5">
      <c r="A657" s="33" t="inlineStr">
        <is>
          <t>6 этап</t>
        </is>
      </c>
      <c r="B657" s="117" t="inlineStr">
        <is>
          <t>6.2.20</t>
        </is>
      </c>
      <c r="C657" s="79" t="inlineStr">
        <is>
          <t>Программное обеспечение HIKVISION iVMS-4200 AC</t>
        </is>
      </c>
      <c r="D657" s="36" t="inlineStr">
        <is>
          <t>шт.</t>
        </is>
      </c>
      <c r="E657" s="36" t="n">
        <v>1</v>
      </c>
      <c r="F657" s="146" t="n">
        <v>5000</v>
      </c>
      <c r="G657" s="146" t="n">
        <v>5000</v>
      </c>
      <c r="H657" t="inlineStr">
        <is>
          <t>Экспертная оценка</t>
        </is>
      </c>
    </row>
    <row r="658" ht="14.4" customFormat="1" customHeight="1" s="5">
      <c r="A658" s="33" t="inlineStr">
        <is>
          <t>6 этап</t>
        </is>
      </c>
      <c r="B658" s="117" t="inlineStr">
        <is>
          <t>6.2.21</t>
        </is>
      </c>
      <c r="C658" s="79" t="inlineStr">
        <is>
          <t>Труба гофрированная ПВХнг Д16</t>
        </is>
      </c>
      <c r="D658" s="36" t="inlineStr">
        <is>
          <t>м</t>
        </is>
      </c>
      <c r="E658" s="36" t="n">
        <v>706</v>
      </c>
      <c r="F658" s="146" t="n">
        <v>1500</v>
      </c>
      <c r="G658" s="146" t="n">
        <v>1059000</v>
      </c>
      <c r="H658" t="inlineStr">
        <is>
          <t>Экспертная оценка</t>
        </is>
      </c>
    </row>
    <row r="659" ht="41.4" customFormat="1" customHeight="1" s="5">
      <c r="A659" s="33" t="inlineStr">
        <is>
          <t>6 этап</t>
        </is>
      </c>
      <c r="B659" s="117" t="inlineStr">
        <is>
          <t>6.2.22</t>
        </is>
      </c>
      <c r="C659" s="79" t="inlineStr">
        <is>
          <t>Кабель витая пара, экранир. S/FTP, категория 6A, 4 пары 23 AWG, 4х2х0,56 мм, однопров.жилы, LSZH, нг(А)-HF, внутр. Hyperline SFTP4-C6A-S23-IN-LSZH-GY-500</t>
        </is>
      </c>
      <c r="D659" s="36" t="inlineStr">
        <is>
          <t>м</t>
        </is>
      </c>
      <c r="E659" s="36" t="n">
        <v>756</v>
      </c>
      <c r="F659" s="146" t="n">
        <v>1600</v>
      </c>
      <c r="G659" s="146" t="n">
        <v>1209600</v>
      </c>
      <c r="H659" t="inlineStr">
        <is>
          <t>ФЕР-2020 × 0.75</t>
        </is>
      </c>
    </row>
    <row r="660" ht="27.6" customFormat="1" customHeight="1" s="5">
      <c r="A660" s="33" t="inlineStr">
        <is>
          <t>6 этап</t>
        </is>
      </c>
      <c r="B660" s="117" t="inlineStr">
        <is>
          <t>6.2.23</t>
        </is>
      </c>
      <c r="C660" s="79" t="inlineStr">
        <is>
          <t>Кабель для систем ОПС и СОУЭ огнестойкий, не поддерживающий горения КПСЭнг(А)-FRHF 1х2х0,75</t>
        </is>
      </c>
      <c r="D660" s="36" t="inlineStr">
        <is>
          <t>м</t>
        </is>
      </c>
      <c r="E660" s="36" t="n">
        <v>120</v>
      </c>
      <c r="F660" s="146" t="n">
        <v>2100</v>
      </c>
      <c r="G660" s="146" t="n">
        <v>252000</v>
      </c>
      <c r="H660" t="inlineStr">
        <is>
          <t>ФЕР-2020 × 0.75</t>
        </is>
      </c>
    </row>
    <row r="661" ht="27.6" customFormat="1" customHeight="1" s="5">
      <c r="A661" s="33" t="inlineStr">
        <is>
          <t>6 этап</t>
        </is>
      </c>
      <c r="B661" s="117" t="inlineStr">
        <is>
          <t>6.2.24</t>
        </is>
      </c>
      <c r="C661" s="79" t="inlineStr">
        <is>
          <t>Кабель для систем ОПС и СОУЭ огнестойкий, не поддерживающий горения КПСЭнг(А)-FRHF 1х2х0,50</t>
        </is>
      </c>
      <c r="D661" s="36" t="inlineStr">
        <is>
          <t>м</t>
        </is>
      </c>
      <c r="E661" s="36" t="n">
        <v>82</v>
      </c>
      <c r="F661" s="146" t="n">
        <v>2100</v>
      </c>
      <c r="G661" s="146" t="n">
        <v>172200</v>
      </c>
      <c r="H661" t="inlineStr">
        <is>
          <t>ФЕР-2020 × 0.75</t>
        </is>
      </c>
    </row>
    <row r="662" ht="27.6" customFormat="1" customHeight="1" s="5">
      <c r="A662" s="33" t="inlineStr">
        <is>
          <t>6 этап</t>
        </is>
      </c>
      <c r="B662" s="117" t="inlineStr">
        <is>
          <t>6.2.25</t>
        </is>
      </c>
      <c r="C662" s="79" t="inlineStr">
        <is>
          <t>Площадка под стяжку прямой монтаж МФ 16х23 ЧЕРНАЯ / 100 шт.</t>
        </is>
      </c>
      <c r="D662" s="36" t="inlineStr">
        <is>
          <t xml:space="preserve">уп </t>
        </is>
      </c>
      <c r="E662" s="36" t="n">
        <v>8</v>
      </c>
      <c r="F662" s="146" t="n">
        <v>3500</v>
      </c>
      <c r="G662" s="146" t="n">
        <v>28000</v>
      </c>
      <c r="H662" t="inlineStr">
        <is>
          <t>ФЕР-2020 × 0.75</t>
        </is>
      </c>
    </row>
    <row r="663" ht="27.6" customFormat="1" customHeight="1" s="5">
      <c r="A663" s="33" t="inlineStr">
        <is>
          <t>6 этап</t>
        </is>
      </c>
      <c r="B663" s="117" t="inlineStr">
        <is>
          <t>6.2.26</t>
        </is>
      </c>
      <c r="C663" s="79" t="inlineStr">
        <is>
          <t>Пластиковые кабельные стяжки 8*300 нейлоновый / 100 шт.</t>
        </is>
      </c>
      <c r="D663" s="36" t="inlineStr">
        <is>
          <t xml:space="preserve">уп </t>
        </is>
      </c>
      <c r="E663" s="36" t="n">
        <v>8</v>
      </c>
      <c r="F663" s="146" t="n">
        <v>1600</v>
      </c>
      <c r="G663" s="146" t="n">
        <v>12800</v>
      </c>
      <c r="H663" t="inlineStr">
        <is>
          <t>ФЕР-2020 × 0.75</t>
        </is>
      </c>
    </row>
    <row r="664" ht="14.4" customFormat="1" customHeight="1" s="5">
      <c r="A664" s="33" t="inlineStr">
        <is>
          <t>6 этап</t>
        </is>
      </c>
      <c r="B664" s="117" t="inlineStr">
        <is>
          <t>6.2.27</t>
        </is>
      </c>
      <c r="C664" s="79" t="inlineStr">
        <is>
          <t>Дюбель-гвоздь (чопик) «Orion» 6*40 / 100 шт.</t>
        </is>
      </c>
      <c r="D664" s="36" t="inlineStr">
        <is>
          <t xml:space="preserve">уп </t>
        </is>
      </c>
      <c r="E664" s="36" t="n">
        <v>10</v>
      </c>
      <c r="F664" s="146" t="n">
        <v>10000</v>
      </c>
      <c r="G664" s="146" t="n">
        <v>100000</v>
      </c>
      <c r="H664" t="inlineStr">
        <is>
          <t>Экспертная оценка</t>
        </is>
      </c>
    </row>
    <row r="665" ht="69" customFormat="1" customHeight="1" s="5">
      <c r="A665" s="33" t="inlineStr">
        <is>
          <t>6 этап</t>
        </is>
      </c>
      <c r="B665" s="117" t="inlineStr">
        <is>
          <t>6.2.28</t>
        </is>
      </c>
      <c r="C665" s="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</t>
        </is>
      </c>
      <c r="D665" s="36" t="n"/>
      <c r="E665" s="144" t="n">
        <v>1</v>
      </c>
      <c r="F665" s="146" t="n">
        <v>10000</v>
      </c>
      <c r="G665" s="146" t="n">
        <v>10000</v>
      </c>
      <c r="H665" t="inlineStr">
        <is>
          <t>Экспертная оценка</t>
        </is>
      </c>
    </row>
    <row r="666" ht="28.8" customFormat="1" customHeight="1" s="5">
      <c r="A666" s="26" t="inlineStr">
        <is>
          <t>6 этап</t>
        </is>
      </c>
      <c r="B666" s="27" t="inlineStr">
        <is>
          <t>6.3</t>
        </is>
      </c>
      <c r="C666" s="120" t="inlineStr">
        <is>
          <t>Система охранного видеонаблюдения здания Общежития и АБК</t>
        </is>
      </c>
      <c r="D666" s="54" t="inlineStr">
        <is>
          <t>компл.</t>
        </is>
      </c>
      <c r="E666" s="142" t="n">
        <v>1</v>
      </c>
      <c r="F666" s="146" t="n">
        <v>750000</v>
      </c>
      <c r="G666" s="146" t="n">
        <v>750000</v>
      </c>
      <c r="H666" t="inlineStr">
        <is>
          <t>Экспертная оценка</t>
        </is>
      </c>
    </row>
    <row r="667" ht="27.6" customFormat="1" customHeight="1" s="5">
      <c r="A667" s="33" t="inlineStr">
        <is>
          <t>6 этап</t>
        </is>
      </c>
      <c r="B667" s="34" t="inlineStr">
        <is>
          <t>6.3.1</t>
        </is>
      </c>
      <c r="C667" s="79" t="inlineStr">
        <is>
          <t>Сетевой видеорегистратор NVR HIKVISION DS-7764NI-M4</t>
        </is>
      </c>
      <c r="D667" s="36" t="inlineStr">
        <is>
          <t>шт.</t>
        </is>
      </c>
      <c r="E667" s="36" t="n">
        <v>2</v>
      </c>
      <c r="F667" s="146" t="n">
        <v>5000</v>
      </c>
      <c r="G667" s="146" t="n">
        <v>10000</v>
      </c>
      <c r="H667" t="inlineStr">
        <is>
          <t>Экспертная оценка</t>
        </is>
      </c>
    </row>
    <row r="668" ht="14.4" customFormat="1" customHeight="1" s="5">
      <c r="A668" s="33" t="inlineStr">
        <is>
          <t>6 этап</t>
        </is>
      </c>
      <c r="B668" s="34" t="inlineStr">
        <is>
          <t>6.3.2</t>
        </is>
      </c>
      <c r="C668" s="79" t="inlineStr">
        <is>
          <t>HDD HIKVISION 12TB 512MB 7200rpm SATA 6Gbit/s</t>
        </is>
      </c>
      <c r="D668" s="36" t="inlineStr">
        <is>
          <t>шт.</t>
        </is>
      </c>
      <c r="E668" s="36" t="n">
        <v>8</v>
      </c>
      <c r="F668" s="146" t="n">
        <v>5000</v>
      </c>
      <c r="G668" s="146" t="n">
        <v>40000</v>
      </c>
      <c r="H668" t="inlineStr">
        <is>
          <t>Экспертная оценка</t>
        </is>
      </c>
    </row>
    <row r="669" ht="14.4" customFormat="1" customHeight="1" s="5">
      <c r="A669" s="33" t="inlineStr">
        <is>
          <t>6 этап</t>
        </is>
      </c>
      <c r="B669" s="34" t="inlineStr">
        <is>
          <t>6.3.3</t>
        </is>
      </c>
      <c r="C669" s="79" t="inlineStr">
        <is>
          <t>Передатчик HDMI Extender DTECH DT-7043S 120m</t>
        </is>
      </c>
      <c r="D669" s="36" t="inlineStr">
        <is>
          <t>шт.</t>
        </is>
      </c>
      <c r="E669" s="36" t="n">
        <v>1</v>
      </c>
      <c r="F669" s="146" t="n">
        <v>5000</v>
      </c>
      <c r="G669" s="146" t="n">
        <v>5000</v>
      </c>
      <c r="H669" t="inlineStr">
        <is>
          <t>Экспертная оценка</t>
        </is>
      </c>
    </row>
    <row r="670" ht="14.4" customFormat="1" customHeight="1" s="5">
      <c r="A670" s="33" t="inlineStr">
        <is>
          <t>6 этап</t>
        </is>
      </c>
      <c r="B670" s="34" t="inlineStr">
        <is>
          <t>6.3.4</t>
        </is>
      </c>
      <c r="C670" s="79" t="inlineStr">
        <is>
          <t>Приемник HDMI Extender DTECH DT-7043R 120m</t>
        </is>
      </c>
      <c r="D670" s="36" t="inlineStr">
        <is>
          <t>шт.</t>
        </is>
      </c>
      <c r="E670" s="36" t="n">
        <v>1</v>
      </c>
      <c r="F670" s="146" t="n">
        <v>5000</v>
      </c>
      <c r="G670" s="146" t="n">
        <v>5000</v>
      </c>
      <c r="H670" t="inlineStr">
        <is>
          <t>Экспертная оценка</t>
        </is>
      </c>
    </row>
    <row r="671" ht="14.4" customFormat="1" customHeight="1" s="5">
      <c r="A671" s="33" t="inlineStr">
        <is>
          <t>6 этап</t>
        </is>
      </c>
      <c r="B671" s="34" t="inlineStr">
        <is>
          <t>6.3.5</t>
        </is>
      </c>
      <c r="C671" s="79" t="inlineStr">
        <is>
          <t>Монитор 55" HIKVISION DS-D5055UC-C 4K</t>
        </is>
      </c>
      <c r="D671" s="36" t="inlineStr">
        <is>
          <t>шт.</t>
        </is>
      </c>
      <c r="E671" s="36" t="n">
        <v>2</v>
      </c>
      <c r="F671" s="146" t="n">
        <v>5000</v>
      </c>
      <c r="G671" s="146" t="n">
        <v>10000</v>
      </c>
      <c r="H671" t="inlineStr">
        <is>
          <t>Экспертная оценка</t>
        </is>
      </c>
    </row>
    <row r="672" ht="27.6" customFormat="1" customHeight="1" s="5">
      <c r="A672" s="33" t="inlineStr">
        <is>
          <t>6 этап</t>
        </is>
      </c>
      <c r="B672" s="34" t="inlineStr">
        <is>
          <t>6.3.6</t>
        </is>
      </c>
      <c r="C672" s="79" t="inlineStr">
        <is>
          <t>Коммутатор сетевой PoE HIKVISION DS-3E1552P-SI 48хPoE 1000Mb/s</t>
        </is>
      </c>
      <c r="D672" s="36" t="inlineStr">
        <is>
          <t>шт.</t>
        </is>
      </c>
      <c r="E672" s="36" t="n">
        <v>2</v>
      </c>
      <c r="F672" s="146" t="n">
        <v>5000</v>
      </c>
      <c r="G672" s="146" t="n">
        <v>10000</v>
      </c>
      <c r="H672" t="inlineStr">
        <is>
          <t>Экспертная оценка</t>
        </is>
      </c>
    </row>
    <row r="673" ht="27.6" customFormat="1" customHeight="1" s="5">
      <c r="A673" s="33" t="inlineStr">
        <is>
          <t>6 этап</t>
        </is>
      </c>
      <c r="B673" s="34" t="inlineStr">
        <is>
          <t>6.3.7</t>
        </is>
      </c>
      <c r="C673" s="79" t="inlineStr">
        <is>
          <t>IP камера буллет HIKVISION 4mm 3840×2160 EXIR 80m IP67 mSD AcuSense</t>
        </is>
      </c>
      <c r="D673" s="36" t="inlineStr">
        <is>
          <t>шт.</t>
        </is>
      </c>
      <c r="E673" s="36" t="n">
        <v>30</v>
      </c>
      <c r="F673" s="146" t="n">
        <v>5000</v>
      </c>
      <c r="G673" s="146" t="n">
        <v>150000</v>
      </c>
      <c r="H673" t="inlineStr">
        <is>
          <t>Экспертная оценка</t>
        </is>
      </c>
    </row>
    <row r="674" ht="14.4" customFormat="1" customHeight="1" s="5">
      <c r="A674" s="33" t="inlineStr">
        <is>
          <t>6 этап</t>
        </is>
      </c>
      <c r="B674" s="34" t="inlineStr">
        <is>
          <t>6.3.8</t>
        </is>
      </c>
      <c r="C674" s="79" t="inlineStr">
        <is>
          <t>IP камера купольная HIKVISION AcuSense Turret</t>
        </is>
      </c>
      <c r="D674" s="36" t="inlineStr">
        <is>
          <t>шт.</t>
        </is>
      </c>
      <c r="E674" s="36" t="n">
        <v>58</v>
      </c>
      <c r="F674" s="146" t="n">
        <v>5000</v>
      </c>
      <c r="G674" s="146" t="n">
        <v>290000</v>
      </c>
      <c r="H674" t="inlineStr">
        <is>
          <t>Экспертная оценка</t>
        </is>
      </c>
    </row>
    <row r="675" ht="14.4" customFormat="1" customHeight="1" s="5">
      <c r="A675" s="33" t="inlineStr">
        <is>
          <t>6 этап</t>
        </is>
      </c>
      <c r="B675" s="34" t="inlineStr">
        <is>
          <t>6.3.9</t>
        </is>
      </c>
      <c r="C675" s="79" t="inlineStr">
        <is>
          <t>Кабельный органайзер Hyperline WMC-1U-H-2D-BK</t>
        </is>
      </c>
      <c r="D675" s="36" t="inlineStr">
        <is>
          <t>шт.</t>
        </is>
      </c>
      <c r="E675" s="36" t="n">
        <v>2</v>
      </c>
      <c r="F675" s="146" t="n">
        <v>1600</v>
      </c>
      <c r="G675" s="146" t="n">
        <v>3200</v>
      </c>
      <c r="H675" t="inlineStr">
        <is>
          <t>ФЕР-2020 × 0.75</t>
        </is>
      </c>
    </row>
    <row r="676" ht="14.4" customFormat="1" customHeight="1" s="5">
      <c r="A676" s="33" t="inlineStr">
        <is>
          <t>6 этап</t>
        </is>
      </c>
      <c r="B676" s="34" t="inlineStr">
        <is>
          <t>6.3.10</t>
        </is>
      </c>
      <c r="C676" s="79" t="inlineStr">
        <is>
          <t>Кронштейн монтажный HIKVISION DS-1260ZJ</t>
        </is>
      </c>
      <c r="D676" s="36" t="inlineStr">
        <is>
          <t>шт.</t>
        </is>
      </c>
      <c r="E676" s="36" t="n">
        <v>30</v>
      </c>
      <c r="F676" s="146" t="n">
        <v>5000</v>
      </c>
      <c r="G676" s="146" t="n">
        <v>150000</v>
      </c>
      <c r="H676" t="inlineStr">
        <is>
          <t>Экспертная оценка</t>
        </is>
      </c>
    </row>
    <row r="677" ht="27.6" customFormat="1" customHeight="1" s="5">
      <c r="A677" s="33" t="inlineStr">
        <is>
          <t>6 этап</t>
        </is>
      </c>
      <c r="B677" s="34" t="inlineStr">
        <is>
          <t>6.3.11</t>
        </is>
      </c>
      <c r="C677" s="79" t="inlineStr">
        <is>
          <t>Труба гофрированная ПВХ нг d=25мм с зондом (100м) IEK</t>
        </is>
      </c>
      <c r="D677" s="36" t="inlineStr">
        <is>
          <t>м</t>
        </is>
      </c>
      <c r="E677" s="36" t="n">
        <v>3846</v>
      </c>
      <c r="F677" s="146" t="n">
        <v>1500</v>
      </c>
      <c r="G677" s="146" t="n">
        <v>5769000</v>
      </c>
      <c r="H677" t="inlineStr">
        <is>
          <t>Экспертная оценка</t>
        </is>
      </c>
    </row>
    <row r="678" ht="27.6" customFormat="1" customHeight="1" s="5">
      <c r="A678" s="33" t="inlineStr">
        <is>
          <t>6 этап</t>
        </is>
      </c>
      <c r="B678" s="34" t="inlineStr">
        <is>
          <t>6.3.12</t>
        </is>
      </c>
      <c r="C678" s="79" t="inlineStr">
        <is>
          <t>Кабель сетевой SHIP D175S-P Cat.6 FTP 30B PVC DS-1LN6UZC0 CAT-6</t>
        </is>
      </c>
      <c r="D678" s="36" t="inlineStr">
        <is>
          <t>м</t>
        </is>
      </c>
      <c r="E678" s="36" t="n">
        <v>3576</v>
      </c>
      <c r="F678" s="146" t="n">
        <v>1600</v>
      </c>
      <c r="G678" s="146" t="n">
        <v>5721600</v>
      </c>
      <c r="H678" t="inlineStr">
        <is>
          <t>ФЕР-2020 × 0.75</t>
        </is>
      </c>
    </row>
    <row r="679" ht="14.4" customFormat="1" customHeight="1" s="5">
      <c r="A679" s="33" t="inlineStr">
        <is>
          <t>6 этап</t>
        </is>
      </c>
      <c r="B679" s="34" t="inlineStr">
        <is>
          <t>6.3.13</t>
        </is>
      </c>
      <c r="C679" s="79" t="inlineStr">
        <is>
          <t>Кабель однонаправленный HDMI - HDMI, 50 м</t>
        </is>
      </c>
      <c r="D679" s="36" t="inlineStr">
        <is>
          <t>уп.</t>
        </is>
      </c>
      <c r="E679" s="36" t="n">
        <v>1</v>
      </c>
      <c r="F679" s="146" t="n">
        <v>1600</v>
      </c>
      <c r="G679" s="146" t="n">
        <v>1600</v>
      </c>
      <c r="H679" t="inlineStr">
        <is>
          <t>ФЕР-2020 × 0.75</t>
        </is>
      </c>
    </row>
    <row r="680" ht="14.4" customFormat="1" customHeight="1" s="5">
      <c r="A680" s="33" t="inlineStr">
        <is>
          <t>6 этап</t>
        </is>
      </c>
      <c r="B680" s="34" t="inlineStr">
        <is>
          <t>6.3.14</t>
        </is>
      </c>
      <c r="C680" s="79" t="inlineStr">
        <is>
          <t>Кабель однонаправленный HDMI - HDMI, 10 м</t>
        </is>
      </c>
      <c r="D680" s="36" t="inlineStr">
        <is>
          <t>уп</t>
        </is>
      </c>
      <c r="E680" s="36" t="n">
        <v>2</v>
      </c>
      <c r="F680" s="146" t="n">
        <v>1600</v>
      </c>
      <c r="G680" s="146" t="n">
        <v>3200</v>
      </c>
      <c r="H680" t="inlineStr">
        <is>
          <t>ФЕР-2020 × 0.75</t>
        </is>
      </c>
    </row>
    <row r="681" ht="27.6" customFormat="1" customHeight="1" s="5">
      <c r="A681" s="33" t="inlineStr">
        <is>
          <t>6 этап</t>
        </is>
      </c>
      <c r="B681" s="34" t="inlineStr">
        <is>
          <t>6.3.15</t>
        </is>
      </c>
      <c r="C681" s="79" t="inlineStr">
        <is>
          <t>Площадка под стяжку прямой монтаж МФ 16х23 ЧЕРНАЯ / 100 шт.</t>
        </is>
      </c>
      <c r="D681" s="36" t="inlineStr">
        <is>
          <t xml:space="preserve">уп </t>
        </is>
      </c>
      <c r="E681" s="36" t="n">
        <v>39</v>
      </c>
      <c r="F681" s="146" t="n">
        <v>3500</v>
      </c>
      <c r="G681" s="146" t="n">
        <v>136500</v>
      </c>
      <c r="H681" t="inlineStr">
        <is>
          <t>ФЕР-2020 × 0.75</t>
        </is>
      </c>
    </row>
    <row r="682" ht="27.6" customFormat="1" customHeight="1" s="5">
      <c r="A682" s="33" t="inlineStr">
        <is>
          <t>6 этап</t>
        </is>
      </c>
      <c r="B682" s="34" t="inlineStr">
        <is>
          <t>6.3.16</t>
        </is>
      </c>
      <c r="C682" s="79" t="inlineStr">
        <is>
          <t>Пластиковые кабельные стяжки 8*300 нейлоновый / 100 шт.</t>
        </is>
      </c>
      <c r="D682" s="36" t="inlineStr">
        <is>
          <t xml:space="preserve">уп </t>
        </is>
      </c>
      <c r="E682" s="36" t="n">
        <v>39</v>
      </c>
      <c r="F682" s="146" t="n">
        <v>1600</v>
      </c>
      <c r="G682" s="146" t="n">
        <v>62400</v>
      </c>
      <c r="H682" t="inlineStr">
        <is>
          <t>ФЕР-2020 × 0.75</t>
        </is>
      </c>
    </row>
    <row r="683" ht="14.4" customFormat="1" customHeight="1" s="5">
      <c r="A683" s="33" t="inlineStr">
        <is>
          <t>6 этап</t>
        </is>
      </c>
      <c r="B683" s="34" t="inlineStr">
        <is>
          <t>6.3.17</t>
        </is>
      </c>
      <c r="C683" s="79" t="inlineStr">
        <is>
          <t>Дюбель-гвоздь (чопик) «Orion» 6*40 / 100 шт.</t>
        </is>
      </c>
      <c r="D683" s="36" t="inlineStr">
        <is>
          <t xml:space="preserve">уп </t>
        </is>
      </c>
      <c r="E683" s="36" t="n">
        <v>42</v>
      </c>
      <c r="F683" s="146" t="n">
        <v>10000</v>
      </c>
      <c r="G683" s="146" t="n">
        <v>420000</v>
      </c>
      <c r="H683" t="inlineStr">
        <is>
          <t>Экспертная оценка</t>
        </is>
      </c>
    </row>
    <row r="684" ht="69" customFormat="1" customHeight="1" s="5">
      <c r="A684" s="33" t="inlineStr">
        <is>
          <t>6 этап</t>
        </is>
      </c>
      <c r="B684" s="34" t="inlineStr">
        <is>
          <t>6.3.18</t>
        </is>
      </c>
      <c r="C684" s="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      </is>
      </c>
      <c r="D684" s="36" t="inlineStr">
        <is>
          <t>компл.</t>
        </is>
      </c>
      <c r="E684" s="144" t="n">
        <v>1</v>
      </c>
      <c r="F684" s="146" t="n">
        <v>750000</v>
      </c>
      <c r="G684" s="146" t="n">
        <v>750000</v>
      </c>
      <c r="H684" t="inlineStr">
        <is>
          <t>Экспертная оценка</t>
        </is>
      </c>
    </row>
    <row r="685" ht="28.8" customFormat="1" customHeight="1" s="5">
      <c r="A685" s="26" t="inlineStr">
        <is>
          <t>6 этап</t>
        </is>
      </c>
      <c r="B685" s="27" t="inlineStr">
        <is>
          <t>6.4</t>
        </is>
      </c>
      <c r="C685" s="120" t="inlineStr">
        <is>
          <t>Структурированные кабельные сети здания Общежития  и АБК</t>
        </is>
      </c>
      <c r="D685" s="54" t="inlineStr">
        <is>
          <t>компл.</t>
        </is>
      </c>
      <c r="E685" s="142" t="n">
        <v>1</v>
      </c>
      <c r="F685" s="146" t="n">
        <v>1600</v>
      </c>
      <c r="G685" s="146" t="n">
        <v>1600</v>
      </c>
      <c r="H685" t="inlineStr">
        <is>
          <t>ФЕР-2020 × 0.75</t>
        </is>
      </c>
    </row>
    <row r="686" ht="27.6" customFormat="1" customHeight="1" s="5">
      <c r="A686" s="33" t="inlineStr">
        <is>
          <t>6 этап</t>
        </is>
      </c>
      <c r="B686" s="34" t="inlineStr">
        <is>
          <t>6.4.1</t>
        </is>
      </c>
      <c r="C686" s="79" t="inlineStr">
        <is>
          <t>Шкаф напольный 19", 42U2055x800х1200 мм Hyperline TTBR-4282-DD-RAL9004</t>
        </is>
      </c>
      <c r="D686" s="36" t="inlineStr">
        <is>
          <t>шт.</t>
        </is>
      </c>
      <c r="E686" s="36" t="n">
        <v>2</v>
      </c>
      <c r="F686" s="146" t="n">
        <v>5000</v>
      </c>
      <c r="G686" s="146" t="n">
        <v>10000</v>
      </c>
      <c r="H686" t="inlineStr">
        <is>
          <t>Экспертная оценка</t>
        </is>
      </c>
    </row>
    <row r="687" ht="27.6" customFormat="1" customHeight="1" s="5">
      <c r="A687" s="33" t="inlineStr">
        <is>
          <t>6 этап</t>
        </is>
      </c>
      <c r="B687" s="34" t="inlineStr">
        <is>
          <t>6.4.2</t>
        </is>
      </c>
      <c r="C687" s="79" t="inlineStr">
        <is>
          <t>Модуль вентиляторный Hyperline TRFA-WB-MICR-4F-RAL9004</t>
        </is>
      </c>
      <c r="D687" s="36" t="inlineStr">
        <is>
          <t>шт.</t>
        </is>
      </c>
      <c r="E687" s="36" t="n">
        <v>2</v>
      </c>
      <c r="F687" s="146" t="n">
        <v>5000</v>
      </c>
      <c r="G687" s="146" t="n">
        <v>10000</v>
      </c>
      <c r="H687" t="inlineStr">
        <is>
          <t>Экспертная оценка</t>
        </is>
      </c>
    </row>
    <row r="688" ht="14.4" customFormat="1" customHeight="1" s="5">
      <c r="A688" s="33" t="inlineStr">
        <is>
          <t>6 этап</t>
        </is>
      </c>
      <c r="B688" s="34" t="inlineStr">
        <is>
          <t>6.4.3</t>
        </is>
      </c>
      <c r="C688" s="79" t="inlineStr">
        <is>
          <t>Полка выдвижная Hyperline TSS3-800-RAL9004</t>
        </is>
      </c>
      <c r="D688" s="36" t="inlineStr">
        <is>
          <t>шт.</t>
        </is>
      </c>
      <c r="E688" s="36" t="n">
        <v>2</v>
      </c>
      <c r="F688" s="146" t="n">
        <v>5000</v>
      </c>
      <c r="G688" s="146" t="n">
        <v>10000</v>
      </c>
      <c r="H688" t="inlineStr">
        <is>
          <t>Экспертная оценка</t>
        </is>
      </c>
    </row>
    <row r="689" ht="27.6" customFormat="1" customHeight="1" s="5">
      <c r="A689" s="33" t="inlineStr">
        <is>
          <t>6 этап</t>
        </is>
      </c>
      <c r="B689" s="34" t="inlineStr">
        <is>
          <t>6.4.4</t>
        </is>
      </c>
      <c r="C689" s="79" t="inlineStr">
        <is>
          <t>Кабельный органайзер кольцевой Hyperline WMC-1U-H-2D-BK</t>
        </is>
      </c>
      <c r="D689" s="36" t="inlineStr">
        <is>
          <t>шт.</t>
        </is>
      </c>
      <c r="E689" s="36" t="n">
        <v>5</v>
      </c>
      <c r="F689" s="146" t="n">
        <v>1600</v>
      </c>
      <c r="G689" s="146" t="n">
        <v>8000</v>
      </c>
      <c r="H689" t="inlineStr">
        <is>
          <t>ФЕР-2020 × 0.75</t>
        </is>
      </c>
    </row>
    <row r="690" ht="27.6" customFormat="1" customHeight="1" s="5">
      <c r="A690" s="33" t="inlineStr">
        <is>
          <t>6 этап</t>
        </is>
      </c>
      <c r="B690" s="34" t="inlineStr">
        <is>
          <t>6.4.5</t>
        </is>
      </c>
      <c r="C690" s="79" t="inlineStr">
        <is>
          <t>Патч-панель на 48 портов Hyperline PPHD-19-48-8P8C-C6-110D</t>
        </is>
      </c>
      <c r="D690" s="36" t="inlineStr">
        <is>
          <t>шт.</t>
        </is>
      </c>
      <c r="E690" s="36" t="n">
        <v>5</v>
      </c>
      <c r="F690" s="146" t="n">
        <v>5000</v>
      </c>
      <c r="G690" s="146" t="n">
        <v>25000</v>
      </c>
      <c r="H690" t="inlineStr">
        <is>
          <t>Экспертная оценка</t>
        </is>
      </c>
    </row>
    <row r="691" ht="27.6" customFormat="1" customHeight="1" s="5">
      <c r="A691" s="33" t="inlineStr">
        <is>
          <t>6 этап</t>
        </is>
      </c>
      <c r="B691" s="34" t="inlineStr">
        <is>
          <t>6.4.6</t>
        </is>
      </c>
      <c r="C691" s="79" t="inlineStr">
        <is>
          <t>Компьютерная 2 портовая розетка cat.6 встроенного исполнения</t>
        </is>
      </c>
      <c r="D691" s="36" t="inlineStr">
        <is>
          <t>шт.</t>
        </is>
      </c>
      <c r="E691" s="36" t="n">
        <v>75</v>
      </c>
      <c r="F691" s="146" t="n">
        <v>5000</v>
      </c>
      <c r="G691" s="146" t="n">
        <v>375000</v>
      </c>
      <c r="H691" t="inlineStr">
        <is>
          <t>Экспертная оценка</t>
        </is>
      </c>
    </row>
    <row r="692" ht="27.6" customFormat="1" customHeight="1" s="5">
      <c r="A692" s="33" t="inlineStr">
        <is>
          <t>6 этап</t>
        </is>
      </c>
      <c r="B692" s="34" t="inlineStr">
        <is>
          <t>6.4.7</t>
        </is>
      </c>
      <c r="C692" s="79" t="inlineStr">
        <is>
          <t>Компьютерная 1 портовая розетка cat.6 встроенного исполнения</t>
        </is>
      </c>
      <c r="D692" s="36" t="inlineStr">
        <is>
          <t>шт.</t>
        </is>
      </c>
      <c r="E692" s="36" t="n">
        <v>33</v>
      </c>
      <c r="F692" s="146" t="n">
        <v>5000</v>
      </c>
      <c r="G692" s="146" t="n">
        <v>165000</v>
      </c>
      <c r="H692" t="inlineStr">
        <is>
          <t>Экспертная оценка</t>
        </is>
      </c>
    </row>
    <row r="693" ht="27.6" customFormat="1" customHeight="1" s="5">
      <c r="A693" s="33" t="inlineStr">
        <is>
          <t>6 этап</t>
        </is>
      </c>
      <c r="B693" s="34" t="inlineStr">
        <is>
          <t>6.4.8</t>
        </is>
      </c>
      <c r="C693" s="79" t="inlineStr">
        <is>
          <t>Компьютерная 1 портовая розетка cat.6 накладного исполнения</t>
        </is>
      </c>
      <c r="D693" s="36" t="inlineStr">
        <is>
          <t>шт.</t>
        </is>
      </c>
      <c r="E693" s="36" t="n">
        <v>25</v>
      </c>
      <c r="F693" s="146" t="n">
        <v>5000</v>
      </c>
      <c r="G693" s="146" t="n">
        <v>125000</v>
      </c>
      <c r="H693" t="inlineStr">
        <is>
          <t>Экспертная оценка</t>
        </is>
      </c>
    </row>
    <row r="694" ht="27.6" customFormat="1" customHeight="1" s="5">
      <c r="A694" s="33" t="inlineStr">
        <is>
          <t>6 этап</t>
        </is>
      </c>
      <c r="B694" s="34" t="inlineStr">
        <is>
          <t>6.4.9</t>
        </is>
      </c>
      <c r="C694" s="79" t="inlineStr">
        <is>
          <t>Розетка 2 портовая cat.6 RJ-45/HDMI встроенного исполнения</t>
        </is>
      </c>
      <c r="D694" s="36" t="inlineStr">
        <is>
          <t>шт.</t>
        </is>
      </c>
      <c r="E694" s="36" t="n">
        <v>2</v>
      </c>
      <c r="F694" s="146" t="n">
        <v>5000</v>
      </c>
      <c r="G694" s="146" t="n">
        <v>10000</v>
      </c>
      <c r="H694" t="inlineStr">
        <is>
          <t>Экспертная оценка</t>
        </is>
      </c>
    </row>
    <row r="695" ht="14.4" customFormat="1" customHeight="1" s="5">
      <c r="A695" s="33" t="inlineStr">
        <is>
          <t>6 этап</t>
        </is>
      </c>
      <c r="B695" s="34" t="inlineStr">
        <is>
          <t>6.4.10</t>
        </is>
      </c>
      <c r="C695" s="79" t="inlineStr">
        <is>
          <t>Напольный лючок для 2 портовой розетки RJ-45/HDMI</t>
        </is>
      </c>
      <c r="D695" s="36" t="inlineStr">
        <is>
          <t>шт.</t>
        </is>
      </c>
      <c r="E695" s="36" t="n">
        <v>1</v>
      </c>
      <c r="F695" s="146" t="n">
        <v>5000</v>
      </c>
      <c r="G695" s="146" t="n">
        <v>5000</v>
      </c>
      <c r="H695" t="inlineStr">
        <is>
          <t>Экспертная оценка</t>
        </is>
      </c>
    </row>
    <row r="696" ht="27.6" customFormat="1" customHeight="1" s="5">
      <c r="A696" s="33" t="inlineStr">
        <is>
          <t>6 этап</t>
        </is>
      </c>
      <c r="B696" s="34" t="inlineStr">
        <is>
          <t>6.4.11</t>
        </is>
      </c>
      <c r="C696" s="79" t="inlineStr">
        <is>
          <t>Установочная коробка углубленная безгалогенная HF 68х62</t>
        </is>
      </c>
      <c r="D696" s="36" t="inlineStr">
        <is>
          <t>шт.</t>
        </is>
      </c>
      <c r="E696" s="36" t="n">
        <v>110</v>
      </c>
      <c r="F696" s="146" t="n">
        <v>5000</v>
      </c>
      <c r="G696" s="146" t="n">
        <v>550000</v>
      </c>
      <c r="H696" t="inlineStr">
        <is>
          <t>Экспертная оценка</t>
        </is>
      </c>
    </row>
    <row r="697" ht="55.2" customFormat="1" customHeight="1" s="5">
      <c r="A697" s="33" t="inlineStr">
        <is>
          <t>6 этап</t>
        </is>
      </c>
      <c r="B697" s="34" t="inlineStr">
        <is>
          <t>6.4.12</t>
        </is>
      </c>
      <c r="C697" s="121" t="inlineStr">
        <is>
          <t>Кабель витая пара, экранир. S/FTP, общий экран оплетка, категория 6A, 4 пары 23 AWG, 4х2х0,56 мм, однопров.жилы, LSZH, нг(А)-HF, внутр.-40°C – +75°Hyperline SFTP4-C6A-S23-IN-LSZH-GY-500</t>
        </is>
      </c>
      <c r="D697" s="71" t="inlineStr">
        <is>
          <t>м</t>
        </is>
      </c>
      <c r="E697" s="71" t="n">
        <v>12505</v>
      </c>
      <c r="F697" s="146" t="n">
        <v>1600</v>
      </c>
      <c r="G697" s="146" t="n">
        <v>20008000</v>
      </c>
      <c r="H697" t="inlineStr">
        <is>
          <t>ФЕР-2020 × 0.75</t>
        </is>
      </c>
    </row>
    <row r="698" ht="64.2" customFormat="1" customHeight="1" s="5">
      <c r="A698" s="33" t="n"/>
      <c r="B698" s="34" t="n"/>
      <c r="C698" s="121" t="inlineStr">
        <is>
          <t>Кабель витая пара, экранир. S/FTP, общий экран оплетка, категория 6A, 4 пары 23 AWG, 4х2х0,56 мм, однопров.жилы, LSZH, нг(А)-HF, внутр.-40°C – +75°Hyperline SFTP4-C6A-S23-IN-LSZH-GY-500</t>
        </is>
      </c>
      <c r="D698" s="71" t="inlineStr">
        <is>
          <t>м</t>
        </is>
      </c>
      <c r="E698" s="71" t="n">
        <v>12505</v>
      </c>
    </row>
    <row r="699" ht="27.6" customFormat="1" customHeight="1" s="5">
      <c r="A699" s="33" t="inlineStr">
        <is>
          <t>6 этап</t>
        </is>
      </c>
      <c r="B699" s="34" t="inlineStr">
        <is>
          <t>6.4.13</t>
        </is>
      </c>
      <c r="C699" s="79" t="inlineStr">
        <is>
          <t>Площадка под стяжку прямой монтаж МФ 16х23 ЧЕРНАЯ / 100 шт.</t>
        </is>
      </c>
      <c r="D699" s="36" t="inlineStr">
        <is>
          <t xml:space="preserve">уп </t>
        </is>
      </c>
      <c r="E699" s="36" t="n">
        <v>120</v>
      </c>
      <c r="F699" s="146" t="n">
        <v>3500</v>
      </c>
      <c r="G699" s="146" t="n">
        <v>420000</v>
      </c>
      <c r="H699" t="inlineStr">
        <is>
          <t>ФЕР-2020 × 0.75</t>
        </is>
      </c>
    </row>
    <row r="700" ht="27.6" customFormat="1" customHeight="1" s="5">
      <c r="A700" s="33" t="inlineStr">
        <is>
          <t>6 этап</t>
        </is>
      </c>
      <c r="B700" s="34" t="inlineStr">
        <is>
          <t>6.4.14</t>
        </is>
      </c>
      <c r="C700" s="79" t="inlineStr">
        <is>
          <t>Пластиковые кабельные стяжки 8*300 нейлоновый / 100 шт.</t>
        </is>
      </c>
      <c r="D700" s="36" t="inlineStr">
        <is>
          <t xml:space="preserve">уп </t>
        </is>
      </c>
      <c r="E700" s="36" t="n">
        <v>128</v>
      </c>
      <c r="F700" s="146" t="n">
        <v>1600</v>
      </c>
      <c r="G700" s="146" t="n">
        <v>204800</v>
      </c>
      <c r="H700" t="inlineStr">
        <is>
          <t>ФЕР-2020 × 0.75</t>
        </is>
      </c>
    </row>
    <row r="701" ht="14.4" customFormat="1" customHeight="1" s="5">
      <c r="A701" s="33" t="inlineStr">
        <is>
          <t>6 этап</t>
        </is>
      </c>
      <c r="B701" s="34" t="inlineStr">
        <is>
          <t>6.4.15</t>
        </is>
      </c>
      <c r="C701" s="79" t="inlineStr">
        <is>
          <t>Дюбель-гвоздь (чопик) «Orion» 6*40 / 100 шт.</t>
        </is>
      </c>
      <c r="D701" s="36" t="inlineStr">
        <is>
          <t xml:space="preserve">уп </t>
        </is>
      </c>
      <c r="E701" s="36" t="n">
        <v>120</v>
      </c>
      <c r="F701" s="146" t="n">
        <v>10000</v>
      </c>
      <c r="G701" s="146" t="n">
        <v>1200000</v>
      </c>
      <c r="H701" t="inlineStr">
        <is>
          <t>Экспертная оценка</t>
        </is>
      </c>
    </row>
    <row r="702" ht="27.6" customFormat="1" customHeight="1" s="5">
      <c r="A702" s="33" t="inlineStr">
        <is>
          <t>6 этап</t>
        </is>
      </c>
      <c r="B702" s="34" t="inlineStr">
        <is>
          <t>6.4.16</t>
        </is>
      </c>
      <c r="C702" s="79" t="inlineStr">
        <is>
          <t>Лоток перфорированный металлический оцинкованный EKF Zn50х100х3м 0,7мм</t>
        </is>
      </c>
      <c r="D702" s="36" t="inlineStr">
        <is>
          <t>шт.</t>
        </is>
      </c>
      <c r="E702" s="36" t="n">
        <v>39</v>
      </c>
      <c r="F702" s="146" t="n">
        <v>1600</v>
      </c>
      <c r="G702" s="146" t="n">
        <v>62400</v>
      </c>
      <c r="H702" t="inlineStr">
        <is>
          <t>ФЕР-2020 × 0.75</t>
        </is>
      </c>
    </row>
    <row r="703" ht="27.6" customFormat="1" customHeight="1" s="5">
      <c r="A703" s="33" t="inlineStr">
        <is>
          <t>6 этап</t>
        </is>
      </c>
      <c r="B703" s="34" t="inlineStr">
        <is>
          <t>6.4.17</t>
        </is>
      </c>
      <c r="C703" s="79" t="inlineStr">
        <is>
          <t>Лоток неперфорированный металлический оцинкованный EKF Zn50х200х3м 0,7мм</t>
        </is>
      </c>
      <c r="D703" s="36" t="inlineStr">
        <is>
          <t>шт.</t>
        </is>
      </c>
      <c r="E703" s="36" t="n">
        <v>63</v>
      </c>
      <c r="F703" s="146" t="n">
        <v>1600</v>
      </c>
      <c r="G703" s="146" t="n">
        <v>100800</v>
      </c>
      <c r="H703" t="inlineStr">
        <is>
          <t>ФЕР-2020 × 0.75</t>
        </is>
      </c>
    </row>
    <row r="704" ht="27.6" customFormat="1" customHeight="1" s="5">
      <c r="A704" s="33" t="inlineStr">
        <is>
          <t>6 этап</t>
        </is>
      </c>
      <c r="B704" s="34" t="inlineStr">
        <is>
          <t>6.4.18</t>
        </is>
      </c>
      <c r="C704" s="79" t="inlineStr">
        <is>
          <t>Ответвитель Т-образный оцинкованный EKF Zn50х200 0,8мм</t>
        </is>
      </c>
      <c r="D704" s="36" t="inlineStr">
        <is>
          <t>шт.</t>
        </is>
      </c>
      <c r="E704" s="36" t="n">
        <v>4</v>
      </c>
      <c r="F704" s="146" t="n">
        <v>5000</v>
      </c>
      <c r="G704" s="146" t="n">
        <v>20000</v>
      </c>
      <c r="H704" t="inlineStr">
        <is>
          <t>Экспертная оценка</t>
        </is>
      </c>
    </row>
    <row r="705" ht="27.6" customFormat="1" customHeight="1" s="5">
      <c r="A705" s="33" t="inlineStr">
        <is>
          <t>6 этап</t>
        </is>
      </c>
      <c r="B705" s="34" t="inlineStr">
        <is>
          <t>6.4.19</t>
        </is>
      </c>
      <c r="C705" s="79" t="inlineStr">
        <is>
          <t>Ответвитель Т-образный оцинкованный EKF Zn50х100 0,8мм</t>
        </is>
      </c>
      <c r="D705" s="36" t="inlineStr">
        <is>
          <t>шт.</t>
        </is>
      </c>
      <c r="E705" s="36" t="n">
        <v>1</v>
      </c>
      <c r="F705" s="146" t="n">
        <v>5000</v>
      </c>
      <c r="G705" s="146" t="n">
        <v>5000</v>
      </c>
      <c r="H705" t="inlineStr">
        <is>
          <t>Экспертная оценка</t>
        </is>
      </c>
    </row>
    <row r="706" ht="27.6" customFormat="1" customHeight="1" s="5">
      <c r="A706" s="33" t="inlineStr">
        <is>
          <t>6 этап</t>
        </is>
      </c>
      <c r="B706" s="34" t="inlineStr">
        <is>
          <t>6.4.20</t>
        </is>
      </c>
      <c r="C706" s="79" t="inlineStr">
        <is>
          <t>Угол 90 град. горизонтальный оцинкованный EKF Zn90гр. 50х100 0,8мм</t>
        </is>
      </c>
      <c r="D706" s="36" t="inlineStr">
        <is>
          <t>шт.</t>
        </is>
      </c>
      <c r="E706" s="36" t="n">
        <v>4</v>
      </c>
      <c r="F706" s="146" t="n">
        <v>5000</v>
      </c>
      <c r="G706" s="146" t="n">
        <v>20000</v>
      </c>
      <c r="H706" t="inlineStr">
        <is>
          <t>Экспертная оценка</t>
        </is>
      </c>
    </row>
    <row r="707" ht="14.4" customFormat="1" customHeight="1" s="5">
      <c r="A707" s="33" t="inlineStr">
        <is>
          <t>6 этап</t>
        </is>
      </c>
      <c r="B707" s="34" t="inlineStr">
        <is>
          <t>6.4.21</t>
        </is>
      </c>
      <c r="C707" s="79" t="inlineStr">
        <is>
          <t>Подвес С-образный оцинкованный EKF Zn100х180мм</t>
        </is>
      </c>
      <c r="D707" s="36" t="inlineStr">
        <is>
          <t>шт.</t>
        </is>
      </c>
      <c r="E707" s="36" t="n">
        <v>42</v>
      </c>
      <c r="F707" s="146" t="n">
        <v>5000</v>
      </c>
      <c r="G707" s="146" t="n">
        <v>210000</v>
      </c>
      <c r="H707" t="inlineStr">
        <is>
          <t>Экспертная оценка</t>
        </is>
      </c>
    </row>
    <row r="708" ht="14.4" customFormat="1" customHeight="1" s="5">
      <c r="A708" s="33" t="inlineStr">
        <is>
          <t>6 этап</t>
        </is>
      </c>
      <c r="B708" s="34" t="inlineStr">
        <is>
          <t>6.4.22</t>
        </is>
      </c>
      <c r="C708" s="79" t="inlineStr">
        <is>
          <t>Подвес С-образный оцинкованный Zn200х180мм</t>
        </is>
      </c>
      <c r="D708" s="36" t="inlineStr">
        <is>
          <t>шт.</t>
        </is>
      </c>
      <c r="E708" s="36" t="n">
        <v>20</v>
      </c>
      <c r="F708" s="146" t="n">
        <v>5000</v>
      </c>
      <c r="G708" s="146" t="n">
        <v>100000</v>
      </c>
      <c r="H708" t="inlineStr">
        <is>
          <t>Экспертная оценка</t>
        </is>
      </c>
    </row>
    <row r="709" ht="27.6" customFormat="1" customHeight="1" s="5">
      <c r="A709" s="33" t="inlineStr">
        <is>
          <t>6 этап</t>
        </is>
      </c>
      <c r="B709" s="34" t="inlineStr">
        <is>
          <t>6.4.23</t>
        </is>
      </c>
      <c r="C709" s="79" t="inlineStr">
        <is>
          <t>Угол 90 град. вертикальный внешний оцинкованный EKF Zn90гр. 50х100 0,8мм</t>
        </is>
      </c>
      <c r="D709" s="36" t="inlineStr">
        <is>
          <t>шт.</t>
        </is>
      </c>
      <c r="E709" s="36" t="n">
        <v>3</v>
      </c>
      <c r="F709" s="146" t="n">
        <v>5000</v>
      </c>
      <c r="G709" s="146" t="n">
        <v>15000</v>
      </c>
      <c r="H709" t="inlineStr">
        <is>
          <t>Экспертная оценка</t>
        </is>
      </c>
    </row>
    <row r="710" ht="27.6" customFormat="1" customHeight="1" s="5">
      <c r="A710" s="33" t="inlineStr">
        <is>
          <t>6 этап</t>
        </is>
      </c>
      <c r="B710" s="34" t="inlineStr">
        <is>
          <t>6.4.24</t>
        </is>
      </c>
      <c r="C710" s="79" t="inlineStr">
        <is>
          <t>Угол 90 град. вертикальный внешний оцинкованный EKF Zn90гр. 50х200 0,8мм</t>
        </is>
      </c>
      <c r="D710" s="36" t="inlineStr">
        <is>
          <t>шт.</t>
        </is>
      </c>
      <c r="E710" s="36" t="n">
        <v>5</v>
      </c>
      <c r="F710" s="146" t="n">
        <v>5000</v>
      </c>
      <c r="G710" s="146" t="n">
        <v>25000</v>
      </c>
      <c r="H710" t="inlineStr">
        <is>
          <t>Экспертная оценка</t>
        </is>
      </c>
    </row>
    <row r="711" ht="14.4" customFormat="1" customHeight="1" s="5">
      <c r="A711" s="33" t="inlineStr">
        <is>
          <t>6 этап</t>
        </is>
      </c>
      <c r="B711" s="34" t="inlineStr">
        <is>
          <t>6.4.25</t>
        </is>
      </c>
      <c r="C711" s="79" t="inlineStr">
        <is>
          <t>Трубы ПНДнг для защиты кабеля Д32*2.0</t>
        </is>
      </c>
      <c r="D711" s="36" t="inlineStr">
        <is>
          <t>шт.</t>
        </is>
      </c>
      <c r="E711" s="36" t="n">
        <v>100</v>
      </c>
      <c r="F711" s="146" t="n">
        <v>1600</v>
      </c>
      <c r="G711" s="146" t="n">
        <v>160000</v>
      </c>
      <c r="H711" t="inlineStr">
        <is>
          <t>ФЕР-2020 × 0.75</t>
        </is>
      </c>
    </row>
    <row r="712" ht="14.4" customFormat="1" customHeight="1" s="5">
      <c r="A712" s="33" t="inlineStr">
        <is>
          <t>6 этап</t>
        </is>
      </c>
      <c r="B712" s="34" t="inlineStr">
        <is>
          <t>6.4.26</t>
        </is>
      </c>
      <c r="C712" s="79" t="inlineStr">
        <is>
          <t>Труба гофрированная ПВХ d=25мм с зондом (100м) IEK</t>
        </is>
      </c>
      <c r="D712" s="36" t="inlineStr">
        <is>
          <t>шт.</t>
        </is>
      </c>
      <c r="E712" s="36" t="n">
        <v>11280</v>
      </c>
      <c r="F712" s="146" t="n">
        <v>5000</v>
      </c>
      <c r="G712" s="146" t="n">
        <v>56400000</v>
      </c>
      <c r="H712" t="inlineStr">
        <is>
          <t>Экспертная оценка</t>
        </is>
      </c>
    </row>
    <row r="713" ht="69" customFormat="1" customHeight="1" s="5">
      <c r="A713" s="33" t="inlineStr">
        <is>
          <t>6 этап</t>
        </is>
      </c>
      <c r="B713" s="34" t="inlineStr">
        <is>
          <t>6.4.27</t>
        </is>
      </c>
      <c r="C713" s="38" t="inlineStr">
        <is>
      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      </is>
      </c>
      <c r="D713" s="36" t="inlineStr">
        <is>
          <t>компл.</t>
        </is>
      </c>
      <c r="E713" s="144" t="n">
        <v>1</v>
      </c>
      <c r="F713" s="146" t="n">
        <v>750000</v>
      </c>
      <c r="G713" s="146" t="n">
        <v>750000</v>
      </c>
      <c r="H713" t="inlineStr">
        <is>
          <t>Экспертная оценка</t>
        </is>
      </c>
    </row>
    <row r="714" ht="23.4" customFormat="1" customHeight="1" s="7">
      <c r="A714" s="26" t="inlineStr">
        <is>
          <t>6 этап</t>
        </is>
      </c>
      <c r="B714" s="76" t="n"/>
      <c r="C714" s="57" t="inlineStr">
        <is>
          <t xml:space="preserve">ИТОГО 6 ЭТАП </t>
        </is>
      </c>
      <c r="D714" s="77" t="n"/>
      <c r="E714" s="144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  <c r="BP714" s="6" t="n"/>
      <c r="BQ714" s="6" t="n"/>
      <c r="BR714" s="6" t="n"/>
      <c r="BS714" s="6" t="n"/>
      <c r="BT714" s="6" t="n"/>
      <c r="BU714" s="6" t="n"/>
      <c r="BV714" s="6" t="n"/>
      <c r="BW714" s="6" t="n"/>
      <c r="BX714" s="6" t="n"/>
      <c r="BY714" s="6" t="n"/>
      <c r="BZ714" s="6" t="n"/>
      <c r="CA714" s="6" t="n"/>
      <c r="CB714" s="6" t="n"/>
      <c r="CC714" s="6" t="n"/>
      <c r="CD714" s="6" t="n"/>
      <c r="CE714" s="6" t="n"/>
      <c r="CF714" s="6" t="n"/>
      <c r="CG714" s="6" t="n"/>
      <c r="CH714" s="6" t="n"/>
      <c r="CI714" s="6" t="n"/>
      <c r="CJ714" s="6" t="n"/>
      <c r="CK714" s="6" t="n"/>
      <c r="CL714" s="6" t="n"/>
      <c r="CM714" s="6" t="n"/>
      <c r="CN714" s="6" t="n"/>
      <c r="CO714" s="6" t="n"/>
      <c r="CP714" s="6" t="n"/>
      <c r="CQ714" s="6" t="n"/>
      <c r="CR714" s="6" t="n"/>
      <c r="CS714" s="6" t="n"/>
      <c r="CT714" s="6" t="n"/>
      <c r="CU714" s="6" t="n"/>
      <c r="CV714" s="6" t="n"/>
      <c r="CW714" s="6" t="n"/>
      <c r="CX714" s="6" t="n"/>
      <c r="CY714" s="6" t="n"/>
      <c r="CZ714" s="6" t="n"/>
      <c r="DA714" s="6" t="n"/>
      <c r="DB714" s="6" t="n"/>
      <c r="DC714" s="6" t="n"/>
      <c r="DD714" s="6" t="n"/>
      <c r="DE714" s="6" t="n"/>
      <c r="DF714" s="6" t="n"/>
      <c r="DG714" s="6" t="n"/>
      <c r="DH714" s="6" t="n"/>
      <c r="DI714" s="6" t="n"/>
      <c r="DJ714" s="6" t="n"/>
      <c r="DK714" s="6" t="n"/>
      <c r="DL714" s="6" t="n"/>
      <c r="DM714" s="6" t="n"/>
      <c r="DN714" s="6" t="n"/>
      <c r="DO714" s="6" t="n"/>
      <c r="DP714" s="6" t="n"/>
      <c r="DQ714" s="6" t="n"/>
      <c r="DR714" s="6" t="n"/>
      <c r="DS714" s="6" t="n"/>
      <c r="DT714" s="6" t="n"/>
      <c r="DU714" s="6" t="n"/>
      <c r="DV714" s="6" t="n"/>
      <c r="DW714" s="6" t="n"/>
      <c r="DX714" s="6" t="n"/>
      <c r="DY714" s="6" t="n"/>
      <c r="DZ714" s="6" t="n"/>
      <c r="EA714" s="6" t="n"/>
      <c r="EB714" s="6" t="n"/>
      <c r="EC714" s="6" t="n"/>
      <c r="ED714" s="6" t="n"/>
      <c r="EE714" s="6" t="n"/>
      <c r="EF714" s="6" t="n"/>
      <c r="EG714" s="6" t="n"/>
      <c r="EH714" s="6" t="n"/>
      <c r="EI714" s="6" t="n"/>
      <c r="EJ714" s="6" t="n"/>
      <c r="EK714" s="6" t="n"/>
      <c r="EL714" s="6" t="n"/>
      <c r="EM714" s="6" t="n"/>
      <c r="EN714" s="6" t="n"/>
      <c r="EO714" s="6" t="n"/>
      <c r="EP714" s="6" t="n"/>
      <c r="EQ714" s="6" t="n"/>
      <c r="ER714" s="6" t="n"/>
      <c r="ES714" s="6" t="n"/>
      <c r="ET714" s="6" t="n"/>
      <c r="EU714" s="6" t="n"/>
      <c r="EV714" s="6" t="n"/>
      <c r="EW714" s="6" t="n"/>
      <c r="EX714" s="6" t="n"/>
      <c r="EY714" s="6" t="n"/>
      <c r="EZ714" s="6" t="n"/>
      <c r="FA714" s="6" t="n"/>
      <c r="FB714" s="6" t="n"/>
      <c r="FC714" s="6" t="n"/>
      <c r="FD714" s="6" t="n"/>
      <c r="FE714" s="6" t="n"/>
      <c r="FF714" s="6" t="n"/>
      <c r="FG714" s="6" t="n"/>
      <c r="FH714" s="6" t="n"/>
      <c r="FI714" s="6" t="n"/>
      <c r="FJ714" s="6" t="n"/>
      <c r="FK714" s="6" t="n"/>
      <c r="FL714" s="6" t="n"/>
      <c r="FM714" s="6" t="n"/>
      <c r="FN714" s="6" t="n"/>
      <c r="FO714" s="6" t="n"/>
      <c r="FP714" s="6" t="n"/>
      <c r="FQ714" s="6" t="n"/>
      <c r="FR714" s="6" t="n"/>
      <c r="FS714" s="6" t="n"/>
      <c r="FT714" s="6" t="n"/>
      <c r="FU714" s="6" t="n"/>
      <c r="FV714" s="6" t="n"/>
      <c r="FW714" s="6" t="n"/>
      <c r="FX714" s="6" t="n"/>
      <c r="FY714" s="6" t="n"/>
      <c r="FZ714" s="6" t="n"/>
      <c r="GA714" s="6" t="n"/>
      <c r="GB714" s="6" t="n"/>
      <c r="GC714" s="6" t="n"/>
      <c r="GD714" s="6" t="n"/>
      <c r="GE714" s="6" t="n"/>
      <c r="GF714" s="6" t="n"/>
      <c r="GG714" s="6" t="n"/>
      <c r="GH714" s="6" t="n"/>
      <c r="GI714" s="6" t="n"/>
      <c r="GJ714" s="6" t="n"/>
      <c r="GK714" s="6" t="n"/>
      <c r="GL714" s="6" t="n"/>
      <c r="GM714" s="6" t="n"/>
      <c r="GN714" s="6" t="n"/>
      <c r="GO714" s="6" t="n"/>
      <c r="GP714" s="6" t="n"/>
      <c r="GQ714" s="6" t="n"/>
      <c r="GR714" s="6" t="n"/>
      <c r="GS714" s="6" t="n"/>
      <c r="GT714" s="6" t="n"/>
      <c r="GU714" s="6" t="n"/>
      <c r="GV714" s="6" t="n"/>
      <c r="GW714" s="6" t="n"/>
      <c r="GX714" s="6" t="n"/>
      <c r="GY714" s="6" t="n"/>
      <c r="GZ714" s="6" t="n"/>
      <c r="HA714" s="6" t="n"/>
      <c r="HB714" s="6" t="n"/>
      <c r="HC714" s="6" t="n"/>
      <c r="HD714" s="6" t="n"/>
      <c r="HE714" s="6" t="n"/>
      <c r="HF714" s="6" t="n"/>
      <c r="HG714" s="6" t="n"/>
      <c r="HH714" s="6" t="n"/>
      <c r="HI714" s="6" t="n"/>
      <c r="HJ714" s="6" t="n"/>
      <c r="HK714" s="6" t="n"/>
      <c r="HL714" s="6" t="n"/>
    </row>
    <row r="715" ht="18.6" customFormat="1" customHeight="1" s="3">
      <c r="A715" s="62" t="inlineStr">
        <is>
          <t>7 этап</t>
        </is>
      </c>
      <c r="B715" s="63" t="n"/>
      <c r="C715" s="64" t="inlineStr">
        <is>
          <t xml:space="preserve"> 7 ЭТАП</t>
        </is>
      </c>
      <c r="D715" s="152" t="n"/>
      <c r="E715" s="152" t="n"/>
      <c r="F715" s="124" t="n"/>
      <c r="G715" s="124" t="n"/>
      <c r="H715" s="124" t="n"/>
      <c r="I715" s="124" t="n"/>
      <c r="J715" s="124" t="n"/>
      <c r="K715" s="124" t="n"/>
      <c r="L715" s="124" t="n"/>
      <c r="M715" s="124" t="n"/>
      <c r="N715" s="124" t="n"/>
      <c r="O715" s="124" t="n"/>
      <c r="P715" s="124" t="n"/>
      <c r="Q715" s="124" t="n"/>
      <c r="R715" s="124" t="n"/>
      <c r="S715" s="124" t="n"/>
      <c r="T715" s="124" t="n"/>
      <c r="U715" s="124" t="n"/>
      <c r="V715" s="124" t="n"/>
      <c r="W715" s="124" t="n"/>
      <c r="X715" s="124" t="n"/>
      <c r="Y715" s="124" t="n"/>
      <c r="Z715" s="124" t="n"/>
      <c r="AA715" s="124" t="n"/>
      <c r="AB715" s="124" t="n"/>
      <c r="AC715" s="124" t="n"/>
      <c r="AD715" s="124" t="n"/>
      <c r="AE715" s="124" t="n"/>
      <c r="AF715" s="124" t="n"/>
      <c r="AG715" s="124" t="n"/>
      <c r="AH715" s="124" t="n"/>
      <c r="AI715" s="124" t="n"/>
      <c r="AJ715" s="124" t="n"/>
      <c r="AK715" s="124" t="n"/>
      <c r="AL715" s="124" t="n"/>
      <c r="AM715" s="124" t="n"/>
      <c r="AN715" s="124" t="n"/>
      <c r="AO715" s="124" t="n"/>
      <c r="AP715" s="124" t="n"/>
      <c r="AQ715" s="124" t="n"/>
      <c r="AR715" s="124" t="n"/>
      <c r="AS715" s="124" t="n"/>
      <c r="AT715" s="124" t="n"/>
      <c r="AU715" s="124" t="n"/>
      <c r="AV715" s="124" t="n"/>
      <c r="AW715" s="124" t="n"/>
      <c r="AX715" s="124" t="n"/>
      <c r="AY715" s="124" t="n"/>
      <c r="AZ715" s="124" t="n"/>
      <c r="BA715" s="124" t="n"/>
      <c r="BB715" s="124" t="n"/>
      <c r="BC715" s="124" t="n"/>
      <c r="BD715" s="124" t="n"/>
      <c r="BE715" s="124" t="n"/>
      <c r="BF715" s="124" t="n"/>
      <c r="BG715" s="124" t="n"/>
      <c r="BH715" s="124" t="n"/>
      <c r="BI715" s="124" t="n"/>
      <c r="BJ715" s="124" t="n"/>
      <c r="BK715" s="124" t="n"/>
      <c r="BL715" s="124" t="n"/>
      <c r="BM715" s="124" t="n"/>
      <c r="BN715" s="124" t="n"/>
      <c r="BO715" s="124" t="n"/>
      <c r="BP715" s="124" t="n"/>
      <c r="BQ715" s="124" t="n"/>
      <c r="BR715" s="124" t="n"/>
      <c r="BS715" s="124" t="n"/>
      <c r="BT715" s="124" t="n"/>
      <c r="BU715" s="124" t="n"/>
      <c r="BV715" s="124" t="n"/>
      <c r="BW715" s="124" t="n"/>
      <c r="BX715" s="124" t="n"/>
      <c r="BY715" s="124" t="n"/>
      <c r="BZ715" s="124" t="n"/>
      <c r="CA715" s="124" t="n"/>
      <c r="CB715" s="124" t="n"/>
      <c r="CC715" s="124" t="n"/>
      <c r="CD715" s="124" t="n"/>
      <c r="CE715" s="124" t="n"/>
      <c r="CF715" s="124" t="n"/>
      <c r="CG715" s="124" t="n"/>
      <c r="CH715" s="124" t="n"/>
      <c r="CI715" s="124" t="n"/>
      <c r="CJ715" s="124" t="n"/>
      <c r="CK715" s="124" t="n"/>
      <c r="CL715" s="124" t="n"/>
      <c r="CM715" s="124" t="n"/>
      <c r="CN715" s="124" t="n"/>
      <c r="CO715" s="124" t="n"/>
      <c r="CP715" s="124" t="n"/>
      <c r="CQ715" s="124" t="n"/>
      <c r="CR715" s="124" t="n"/>
      <c r="CS715" s="124" t="n"/>
      <c r="CT715" s="124" t="n"/>
      <c r="CU715" s="124" t="n"/>
      <c r="CV715" s="124" t="n"/>
      <c r="CW715" s="124" t="n"/>
      <c r="CX715" s="124" t="n"/>
      <c r="CY715" s="124" t="n"/>
      <c r="CZ715" s="124" t="n"/>
      <c r="DA715" s="124" t="n"/>
      <c r="DB715" s="124" t="n"/>
      <c r="DC715" s="124" t="n"/>
      <c r="DD715" s="124" t="n"/>
      <c r="DE715" s="124" t="n"/>
      <c r="DF715" s="124" t="n"/>
      <c r="DG715" s="124" t="n"/>
      <c r="DH715" s="124" t="n"/>
      <c r="DI715" s="124" t="n"/>
      <c r="DJ715" s="124" t="n"/>
      <c r="DK715" s="124" t="n"/>
      <c r="DL715" s="124" t="n"/>
      <c r="DM715" s="124" t="n"/>
      <c r="DN715" s="124" t="n"/>
      <c r="DO715" s="124" t="n"/>
      <c r="DP715" s="124" t="n"/>
      <c r="DQ715" s="124" t="n"/>
      <c r="DR715" s="124" t="n"/>
      <c r="DS715" s="124" t="n"/>
      <c r="DT715" s="124" t="n"/>
      <c r="DU715" s="124" t="n"/>
      <c r="DV715" s="124" t="n"/>
      <c r="DW715" s="124" t="n"/>
      <c r="DX715" s="124" t="n"/>
      <c r="DY715" s="124" t="n"/>
      <c r="DZ715" s="124" t="n"/>
      <c r="EA715" s="124" t="n"/>
      <c r="EB715" s="124" t="n"/>
      <c r="EC715" s="124" t="n"/>
      <c r="ED715" s="124" t="n"/>
      <c r="EE715" s="124" t="n"/>
      <c r="EF715" s="124" t="n"/>
      <c r="EG715" s="124" t="n"/>
      <c r="EH715" s="124" t="n"/>
      <c r="EI715" s="124" t="n"/>
      <c r="EJ715" s="124" t="n"/>
      <c r="EK715" s="124" t="n"/>
      <c r="EL715" s="124" t="n"/>
      <c r="EM715" s="124" t="n"/>
      <c r="EN715" s="124" t="n"/>
      <c r="EO715" s="124" t="n"/>
      <c r="EP715" s="124" t="n"/>
      <c r="EQ715" s="124" t="n"/>
      <c r="ER715" s="124" t="n"/>
      <c r="ES715" s="124" t="n"/>
      <c r="ET715" s="124" t="n"/>
      <c r="EU715" s="124" t="n"/>
      <c r="EV715" s="124" t="n"/>
      <c r="EW715" s="124" t="n"/>
      <c r="EX715" s="124" t="n"/>
      <c r="EY715" s="124" t="n"/>
      <c r="EZ715" s="124" t="n"/>
      <c r="FA715" s="124" t="n"/>
      <c r="FB715" s="124" t="n"/>
      <c r="FC715" s="124" t="n"/>
      <c r="FD715" s="124" t="n"/>
      <c r="FE715" s="124" t="n"/>
      <c r="FF715" s="124" t="n"/>
      <c r="FG715" s="124" t="n"/>
      <c r="FH715" s="124" t="n"/>
      <c r="FI715" s="124" t="n"/>
      <c r="FJ715" s="124" t="n"/>
      <c r="FK715" s="124" t="n"/>
      <c r="FL715" s="124" t="n"/>
      <c r="FM715" s="124" t="n"/>
      <c r="FN715" s="124" t="n"/>
      <c r="FO715" s="124" t="n"/>
      <c r="FP715" s="124" t="n"/>
      <c r="FQ715" s="124" t="n"/>
      <c r="FR715" s="124" t="n"/>
      <c r="FS715" s="124" t="n"/>
      <c r="FT715" s="124" t="n"/>
      <c r="FU715" s="124" t="n"/>
      <c r="FV715" s="124" t="n"/>
      <c r="FW715" s="124" t="n"/>
      <c r="FX715" s="124" t="n"/>
      <c r="FY715" s="124" t="n"/>
      <c r="FZ715" s="124" t="n"/>
      <c r="GA715" s="124" t="n"/>
      <c r="GB715" s="124" t="n"/>
      <c r="GC715" s="124" t="n"/>
      <c r="GD715" s="124" t="n"/>
      <c r="GE715" s="124" t="n"/>
      <c r="GF715" s="124" t="n"/>
      <c r="GG715" s="124" t="n"/>
      <c r="GH715" s="124" t="n"/>
      <c r="GI715" s="124" t="n"/>
      <c r="GJ715" s="124" t="n"/>
      <c r="GK715" s="124" t="n"/>
      <c r="GL715" s="124" t="n"/>
      <c r="GM715" s="124" t="n"/>
      <c r="GN715" s="124" t="n"/>
      <c r="GO715" s="124" t="n"/>
      <c r="GP715" s="124" t="n"/>
      <c r="GQ715" s="124" t="n"/>
      <c r="GR715" s="124" t="n"/>
      <c r="GS715" s="124" t="n"/>
      <c r="GT715" s="124" t="n"/>
      <c r="GU715" s="124" t="n"/>
      <c r="GV715" s="124" t="n"/>
      <c r="GW715" s="124" t="n"/>
      <c r="GX715" s="124" t="n"/>
      <c r="GY715" s="124" t="n"/>
      <c r="GZ715" s="124" t="n"/>
      <c r="HA715" s="124" t="n"/>
      <c r="HB715" s="124" t="n"/>
      <c r="HC715" s="124" t="n"/>
      <c r="HD715" s="124" t="n"/>
      <c r="HE715" s="124" t="n"/>
      <c r="HF715" s="124" t="n"/>
      <c r="HG715" s="124" t="n"/>
      <c r="HH715" s="124" t="n"/>
      <c r="HI715" s="124" t="n"/>
      <c r="HJ715" s="124" t="n"/>
      <c r="HK715" s="124" t="n"/>
      <c r="HL715" s="124" t="n"/>
    </row>
    <row r="716" ht="14.4" customFormat="1" customHeight="1" s="3">
      <c r="A716" s="106" t="inlineStr">
        <is>
          <t>7 этап</t>
        </is>
      </c>
      <c r="B716" s="22" t="n">
        <v>1</v>
      </c>
      <c r="C716" s="28" t="inlineStr">
        <is>
          <t>Наружный водопровод В1, В2</t>
        </is>
      </c>
      <c r="D716" s="153" t="n"/>
      <c r="E716" s="153" t="n"/>
      <c r="F716" s="124" t="n"/>
      <c r="G716" s="124" t="n"/>
      <c r="H716" s="124" t="n"/>
      <c r="I716" s="124" t="n"/>
      <c r="J716" s="124" t="n"/>
      <c r="K716" s="124" t="n"/>
      <c r="L716" s="124" t="n"/>
      <c r="M716" s="124" t="n"/>
      <c r="N716" s="124" t="n"/>
      <c r="O716" s="124" t="n"/>
      <c r="P716" s="124" t="n"/>
      <c r="Q716" s="124" t="n"/>
      <c r="R716" s="124" t="n"/>
      <c r="S716" s="124" t="n"/>
      <c r="T716" s="124" t="n"/>
      <c r="U716" s="124" t="n"/>
      <c r="V716" s="124" t="n"/>
      <c r="W716" s="124" t="n"/>
      <c r="X716" s="124" t="n"/>
      <c r="Y716" s="124" t="n"/>
      <c r="Z716" s="124" t="n"/>
      <c r="AA716" s="124" t="n"/>
      <c r="AB716" s="124" t="n"/>
      <c r="AC716" s="124" t="n"/>
      <c r="AD716" s="124" t="n"/>
      <c r="AE716" s="124" t="n"/>
      <c r="AF716" s="124" t="n"/>
      <c r="AG716" s="124" t="n"/>
      <c r="AH716" s="124" t="n"/>
      <c r="AI716" s="124" t="n"/>
      <c r="AJ716" s="124" t="n"/>
      <c r="AK716" s="124" t="n"/>
      <c r="AL716" s="124" t="n"/>
      <c r="AM716" s="124" t="n"/>
      <c r="AN716" s="124" t="n"/>
      <c r="AO716" s="124" t="n"/>
      <c r="AP716" s="124" t="n"/>
      <c r="AQ716" s="124" t="n"/>
      <c r="AR716" s="124" t="n"/>
      <c r="AS716" s="124" t="n"/>
      <c r="AT716" s="124" t="n"/>
      <c r="AU716" s="124" t="n"/>
      <c r="AV716" s="124" t="n"/>
      <c r="AW716" s="124" t="n"/>
      <c r="AX716" s="124" t="n"/>
      <c r="AY716" s="124" t="n"/>
      <c r="AZ716" s="124" t="n"/>
      <c r="BA716" s="124" t="n"/>
      <c r="BB716" s="124" t="n"/>
      <c r="BC716" s="124" t="n"/>
      <c r="BD716" s="124" t="n"/>
      <c r="BE716" s="124" t="n"/>
      <c r="BF716" s="124" t="n"/>
      <c r="BG716" s="124" t="n"/>
      <c r="BH716" s="124" t="n"/>
      <c r="BI716" s="124" t="n"/>
      <c r="BJ716" s="124" t="n"/>
      <c r="BK716" s="124" t="n"/>
      <c r="BL716" s="124" t="n"/>
      <c r="BM716" s="124" t="n"/>
      <c r="BN716" s="124" t="n"/>
      <c r="BO716" s="124" t="n"/>
      <c r="BP716" s="124" t="n"/>
      <c r="BQ716" s="124" t="n"/>
      <c r="BR716" s="124" t="n"/>
      <c r="BS716" s="124" t="n"/>
      <c r="BT716" s="124" t="n"/>
      <c r="BU716" s="124" t="n"/>
      <c r="BV716" s="124" t="n"/>
      <c r="BW716" s="124" t="n"/>
      <c r="BX716" s="124" t="n"/>
      <c r="BY716" s="124" t="n"/>
      <c r="BZ716" s="124" t="n"/>
      <c r="CA716" s="124" t="n"/>
      <c r="CB716" s="124" t="n"/>
      <c r="CC716" s="124" t="n"/>
      <c r="CD716" s="124" t="n"/>
      <c r="CE716" s="124" t="n"/>
      <c r="CF716" s="124" t="n"/>
      <c r="CG716" s="124" t="n"/>
      <c r="CH716" s="124" t="n"/>
      <c r="CI716" s="124" t="n"/>
      <c r="CJ716" s="124" t="n"/>
      <c r="CK716" s="124" t="n"/>
      <c r="CL716" s="124" t="n"/>
      <c r="CM716" s="124" t="n"/>
      <c r="CN716" s="124" t="n"/>
      <c r="CO716" s="124" t="n"/>
      <c r="CP716" s="124" t="n"/>
      <c r="CQ716" s="124" t="n"/>
      <c r="CR716" s="124" t="n"/>
      <c r="CS716" s="124" t="n"/>
      <c r="CT716" s="124" t="n"/>
      <c r="CU716" s="124" t="n"/>
      <c r="CV716" s="124" t="n"/>
      <c r="CW716" s="124" t="n"/>
      <c r="CX716" s="124" t="n"/>
      <c r="CY716" s="124" t="n"/>
      <c r="CZ716" s="124" t="n"/>
      <c r="DA716" s="124" t="n"/>
      <c r="DB716" s="124" t="n"/>
      <c r="DC716" s="124" t="n"/>
      <c r="DD716" s="124" t="n"/>
      <c r="DE716" s="124" t="n"/>
      <c r="DF716" s="124" t="n"/>
      <c r="DG716" s="124" t="n"/>
      <c r="DH716" s="124" t="n"/>
      <c r="DI716" s="124" t="n"/>
      <c r="DJ716" s="124" t="n"/>
      <c r="DK716" s="124" t="n"/>
      <c r="DL716" s="124" t="n"/>
      <c r="DM716" s="124" t="n"/>
      <c r="DN716" s="124" t="n"/>
      <c r="DO716" s="124" t="n"/>
      <c r="DP716" s="124" t="n"/>
      <c r="DQ716" s="124" t="n"/>
      <c r="DR716" s="124" t="n"/>
      <c r="DS716" s="124" t="n"/>
      <c r="DT716" s="124" t="n"/>
      <c r="DU716" s="124" t="n"/>
      <c r="DV716" s="124" t="n"/>
      <c r="DW716" s="124" t="n"/>
      <c r="DX716" s="124" t="n"/>
      <c r="DY716" s="124" t="n"/>
      <c r="DZ716" s="124" t="n"/>
      <c r="EA716" s="124" t="n"/>
      <c r="EB716" s="124" t="n"/>
      <c r="EC716" s="124" t="n"/>
      <c r="ED716" s="124" t="n"/>
      <c r="EE716" s="124" t="n"/>
      <c r="EF716" s="124" t="n"/>
      <c r="EG716" s="124" t="n"/>
      <c r="EH716" s="124" t="n"/>
      <c r="EI716" s="124" t="n"/>
      <c r="EJ716" s="124" t="n"/>
      <c r="EK716" s="124" t="n"/>
      <c r="EL716" s="124" t="n"/>
      <c r="EM716" s="124" t="n"/>
      <c r="EN716" s="124" t="n"/>
      <c r="EO716" s="124" t="n"/>
      <c r="EP716" s="124" t="n"/>
      <c r="EQ716" s="124" t="n"/>
      <c r="ER716" s="124" t="n"/>
      <c r="ES716" s="124" t="n"/>
      <c r="ET716" s="124" t="n"/>
      <c r="EU716" s="124" t="n"/>
      <c r="EV716" s="124" t="n"/>
      <c r="EW716" s="124" t="n"/>
      <c r="EX716" s="124" t="n"/>
      <c r="EY716" s="124" t="n"/>
      <c r="EZ716" s="124" t="n"/>
      <c r="FA716" s="124" t="n"/>
      <c r="FB716" s="124" t="n"/>
      <c r="FC716" s="124" t="n"/>
      <c r="FD716" s="124" t="n"/>
      <c r="FE716" s="124" t="n"/>
      <c r="FF716" s="124" t="n"/>
      <c r="FG716" s="124" t="n"/>
      <c r="FH716" s="124" t="n"/>
      <c r="FI716" s="124" t="n"/>
      <c r="FJ716" s="124" t="n"/>
      <c r="FK716" s="124" t="n"/>
      <c r="FL716" s="124" t="n"/>
      <c r="FM716" s="124" t="n"/>
      <c r="FN716" s="124" t="n"/>
      <c r="FO716" s="124" t="n"/>
      <c r="FP716" s="124" t="n"/>
      <c r="FQ716" s="124" t="n"/>
      <c r="FR716" s="124" t="n"/>
      <c r="FS716" s="124" t="n"/>
      <c r="FT716" s="124" t="n"/>
      <c r="FU716" s="124" t="n"/>
      <c r="FV716" s="124" t="n"/>
      <c r="FW716" s="124" t="n"/>
      <c r="FX716" s="124" t="n"/>
      <c r="FY716" s="124" t="n"/>
      <c r="FZ716" s="124" t="n"/>
      <c r="GA716" s="124" t="n"/>
      <c r="GB716" s="124" t="n"/>
      <c r="GC716" s="124" t="n"/>
      <c r="GD716" s="124" t="n"/>
      <c r="GE716" s="124" t="n"/>
      <c r="GF716" s="124" t="n"/>
      <c r="GG716" s="124" t="n"/>
      <c r="GH716" s="124" t="n"/>
      <c r="GI716" s="124" t="n"/>
      <c r="GJ716" s="124" t="n"/>
      <c r="GK716" s="124" t="n"/>
      <c r="GL716" s="124" t="n"/>
      <c r="GM716" s="124" t="n"/>
      <c r="GN716" s="124" t="n"/>
      <c r="GO716" s="124" t="n"/>
      <c r="GP716" s="124" t="n"/>
      <c r="GQ716" s="124" t="n"/>
      <c r="GR716" s="124" t="n"/>
      <c r="GS716" s="124" t="n"/>
      <c r="GT716" s="124" t="n"/>
      <c r="GU716" s="124" t="n"/>
      <c r="GV716" s="124" t="n"/>
      <c r="GW716" s="124" t="n"/>
      <c r="GX716" s="124" t="n"/>
      <c r="GY716" s="124" t="n"/>
      <c r="GZ716" s="124" t="n"/>
      <c r="HA716" s="124" t="n"/>
      <c r="HB716" s="124" t="n"/>
      <c r="HC716" s="124" t="n"/>
      <c r="HD716" s="124" t="n"/>
      <c r="HE716" s="124" t="n"/>
      <c r="HF716" s="124" t="n"/>
      <c r="HG716" s="124" t="n"/>
      <c r="HH716" s="124" t="n"/>
      <c r="HI716" s="124" t="n"/>
      <c r="HJ716" s="124" t="n"/>
      <c r="HK716" s="124" t="n"/>
      <c r="HL716" s="124" t="n"/>
    </row>
    <row r="717" ht="27.6" customFormat="1" customHeight="1" s="3">
      <c r="A717" s="26" t="inlineStr">
        <is>
          <t>7 этап</t>
        </is>
      </c>
      <c r="B717" s="34" t="inlineStr">
        <is>
          <t>1.1</t>
        </is>
      </c>
      <c r="C717" s="38" t="inlineStr">
        <is>
          <t>Разработка грунта для трубопроводов и колодцев, устройство основания, обратная засыпка с уплотнением</t>
        </is>
      </c>
      <c r="D717" s="165" t="n"/>
      <c r="E717" s="165" t="n"/>
      <c r="F717" s="124" t="n"/>
      <c r="G717" s="124" t="n"/>
      <c r="H717" s="124" t="n"/>
      <c r="I717" s="124" t="n"/>
      <c r="J717" s="124" t="n"/>
      <c r="K717" s="124" t="n"/>
      <c r="L717" s="124" t="n"/>
      <c r="M717" s="124" t="n"/>
      <c r="N717" s="124" t="n"/>
      <c r="O717" s="124" t="n"/>
      <c r="P717" s="124" t="n"/>
      <c r="Q717" s="124" t="n"/>
      <c r="R717" s="124" t="n"/>
      <c r="S717" s="124" t="n"/>
      <c r="T717" s="124" t="n"/>
      <c r="U717" s="124" t="n"/>
      <c r="V717" s="124" t="n"/>
      <c r="W717" s="124" t="n"/>
      <c r="X717" s="124" t="n"/>
      <c r="Y717" s="124" t="n"/>
      <c r="Z717" s="124" t="n"/>
      <c r="AA717" s="124" t="n"/>
      <c r="AB717" s="124" t="n"/>
      <c r="AC717" s="124" t="n"/>
      <c r="AD717" s="124" t="n"/>
      <c r="AE717" s="124" t="n"/>
      <c r="AF717" s="124" t="n"/>
      <c r="AG717" s="124" t="n"/>
      <c r="AH717" s="124" t="n"/>
      <c r="AI717" s="124" t="n"/>
      <c r="AJ717" s="124" t="n"/>
      <c r="AK717" s="124" t="n"/>
      <c r="AL717" s="124" t="n"/>
      <c r="AM717" s="124" t="n"/>
      <c r="AN717" s="124" t="n"/>
      <c r="AO717" s="124" t="n"/>
      <c r="AP717" s="124" t="n"/>
      <c r="AQ717" s="124" t="n"/>
      <c r="AR717" s="124" t="n"/>
      <c r="AS717" s="124" t="n"/>
      <c r="AT717" s="124" t="n"/>
      <c r="AU717" s="124" t="n"/>
      <c r="AV717" s="124" t="n"/>
      <c r="AW717" s="124" t="n"/>
      <c r="AX717" s="124" t="n"/>
      <c r="AY717" s="124" t="n"/>
      <c r="AZ717" s="124" t="n"/>
      <c r="BA717" s="124" t="n"/>
      <c r="BB717" s="124" t="n"/>
      <c r="BC717" s="124" t="n"/>
      <c r="BD717" s="124" t="n"/>
      <c r="BE717" s="124" t="n"/>
      <c r="BF717" s="124" t="n"/>
      <c r="BG717" s="124" t="n"/>
      <c r="BH717" s="124" t="n"/>
      <c r="BI717" s="124" t="n"/>
      <c r="BJ717" s="124" t="n"/>
      <c r="BK717" s="124" t="n"/>
      <c r="BL717" s="124" t="n"/>
      <c r="BM717" s="124" t="n"/>
      <c r="BN717" s="124" t="n"/>
      <c r="BO717" s="124" t="n"/>
      <c r="BP717" s="124" t="n"/>
      <c r="BQ717" s="124" t="n"/>
      <c r="BR717" s="124" t="n"/>
      <c r="BS717" s="124" t="n"/>
      <c r="BT717" s="124" t="n"/>
      <c r="BU717" s="124" t="n"/>
      <c r="BV717" s="124" t="n"/>
      <c r="BW717" s="124" t="n"/>
      <c r="BX717" s="124" t="n"/>
      <c r="BY717" s="124" t="n"/>
      <c r="BZ717" s="124" t="n"/>
      <c r="CA717" s="124" t="n"/>
      <c r="CB717" s="124" t="n"/>
      <c r="CC717" s="124" t="n"/>
      <c r="CD717" s="124" t="n"/>
      <c r="CE717" s="124" t="n"/>
      <c r="CF717" s="124" t="n"/>
      <c r="CG717" s="124" t="n"/>
      <c r="CH717" s="124" t="n"/>
      <c r="CI717" s="124" t="n"/>
      <c r="CJ717" s="124" t="n"/>
      <c r="CK717" s="124" t="n"/>
      <c r="CL717" s="124" t="n"/>
      <c r="CM717" s="124" t="n"/>
      <c r="CN717" s="124" t="n"/>
      <c r="CO717" s="124" t="n"/>
      <c r="CP717" s="124" t="n"/>
      <c r="CQ717" s="124" t="n"/>
      <c r="CR717" s="124" t="n"/>
      <c r="CS717" s="124" t="n"/>
      <c r="CT717" s="124" t="n"/>
      <c r="CU717" s="124" t="n"/>
      <c r="CV717" s="124" t="n"/>
      <c r="CW717" s="124" t="n"/>
      <c r="CX717" s="124" t="n"/>
      <c r="CY717" s="124" t="n"/>
      <c r="CZ717" s="124" t="n"/>
      <c r="DA717" s="124" t="n"/>
      <c r="DB717" s="124" t="n"/>
      <c r="DC717" s="124" t="n"/>
      <c r="DD717" s="124" t="n"/>
      <c r="DE717" s="124" t="n"/>
      <c r="DF717" s="124" t="n"/>
      <c r="DG717" s="124" t="n"/>
      <c r="DH717" s="124" t="n"/>
      <c r="DI717" s="124" t="n"/>
      <c r="DJ717" s="124" t="n"/>
      <c r="DK717" s="124" t="n"/>
      <c r="DL717" s="124" t="n"/>
      <c r="DM717" s="124" t="n"/>
      <c r="DN717" s="124" t="n"/>
      <c r="DO717" s="124" t="n"/>
      <c r="DP717" s="124" t="n"/>
      <c r="DQ717" s="124" t="n"/>
      <c r="DR717" s="124" t="n"/>
      <c r="DS717" s="124" t="n"/>
      <c r="DT717" s="124" t="n"/>
      <c r="DU717" s="124" t="n"/>
      <c r="DV717" s="124" t="n"/>
      <c r="DW717" s="124" t="n"/>
      <c r="DX717" s="124" t="n"/>
      <c r="DY717" s="124" t="n"/>
      <c r="DZ717" s="124" t="n"/>
      <c r="EA717" s="124" t="n"/>
      <c r="EB717" s="124" t="n"/>
      <c r="EC717" s="124" t="n"/>
      <c r="ED717" s="124" t="n"/>
      <c r="EE717" s="124" t="n"/>
      <c r="EF717" s="124" t="n"/>
      <c r="EG717" s="124" t="n"/>
      <c r="EH717" s="124" t="n"/>
      <c r="EI717" s="124" t="n"/>
      <c r="EJ717" s="124" t="n"/>
      <c r="EK717" s="124" t="n"/>
      <c r="EL717" s="124" t="n"/>
      <c r="EM717" s="124" t="n"/>
      <c r="EN717" s="124" t="n"/>
      <c r="EO717" s="124" t="n"/>
      <c r="EP717" s="124" t="n"/>
      <c r="EQ717" s="124" t="n"/>
      <c r="ER717" s="124" t="n"/>
      <c r="ES717" s="124" t="n"/>
      <c r="ET717" s="124" t="n"/>
      <c r="EU717" s="124" t="n"/>
      <c r="EV717" s="124" t="n"/>
      <c r="EW717" s="124" t="n"/>
      <c r="EX717" s="124" t="n"/>
      <c r="EY717" s="124" t="n"/>
      <c r="EZ717" s="124" t="n"/>
      <c r="FA717" s="124" t="n"/>
      <c r="FB717" s="124" t="n"/>
      <c r="FC717" s="124" t="n"/>
      <c r="FD717" s="124" t="n"/>
      <c r="FE717" s="124" t="n"/>
      <c r="FF717" s="124" t="n"/>
      <c r="FG717" s="124" t="n"/>
      <c r="FH717" s="124" t="n"/>
      <c r="FI717" s="124" t="n"/>
      <c r="FJ717" s="124" t="n"/>
      <c r="FK717" s="124" t="n"/>
      <c r="FL717" s="124" t="n"/>
      <c r="FM717" s="124" t="n"/>
      <c r="FN717" s="124" t="n"/>
      <c r="FO717" s="124" t="n"/>
      <c r="FP717" s="124" t="n"/>
      <c r="FQ717" s="124" t="n"/>
      <c r="FR717" s="124" t="n"/>
      <c r="FS717" s="124" t="n"/>
      <c r="FT717" s="124" t="n"/>
      <c r="FU717" s="124" t="n"/>
      <c r="FV717" s="124" t="n"/>
      <c r="FW717" s="124" t="n"/>
      <c r="FX717" s="124" t="n"/>
      <c r="FY717" s="124" t="n"/>
      <c r="FZ717" s="124" t="n"/>
      <c r="GA717" s="124" t="n"/>
      <c r="GB717" s="124" t="n"/>
      <c r="GC717" s="124" t="n"/>
      <c r="GD717" s="124" t="n"/>
      <c r="GE717" s="124" t="n"/>
      <c r="GF717" s="124" t="n"/>
      <c r="GG717" s="124" t="n"/>
      <c r="GH717" s="124" t="n"/>
      <c r="GI717" s="124" t="n"/>
      <c r="GJ717" s="124" t="n"/>
      <c r="GK717" s="124" t="n"/>
      <c r="GL717" s="124" t="n"/>
      <c r="GM717" s="124" t="n"/>
      <c r="GN717" s="124" t="n"/>
      <c r="GO717" s="124" t="n"/>
      <c r="GP717" s="124" t="n"/>
      <c r="GQ717" s="124" t="n"/>
      <c r="GR717" s="124" t="n"/>
      <c r="GS717" s="124" t="n"/>
      <c r="GT717" s="124" t="n"/>
      <c r="GU717" s="124" t="n"/>
      <c r="GV717" s="124" t="n"/>
      <c r="GW717" s="124" t="n"/>
      <c r="GX717" s="124" t="n"/>
      <c r="GY717" s="124" t="n"/>
      <c r="GZ717" s="124" t="n"/>
      <c r="HA717" s="124" t="n"/>
      <c r="HB717" s="124" t="n"/>
      <c r="HC717" s="124" t="n"/>
      <c r="HD717" s="124" t="n"/>
      <c r="HE717" s="124" t="n"/>
      <c r="HF717" s="124" t="n"/>
      <c r="HG717" s="124" t="n"/>
      <c r="HH717" s="124" t="n"/>
      <c r="HI717" s="124" t="n"/>
      <c r="HJ717" s="124" t="n"/>
      <c r="HK717" s="124" t="n"/>
      <c r="HL717" s="124" t="n"/>
    </row>
    <row r="718" customFormat="1" s="3">
      <c r="A718" s="33" t="inlineStr">
        <is>
          <t>7 этап</t>
        </is>
      </c>
      <c r="B718" s="34" t="n"/>
      <c r="C718" s="38" t="inlineStr">
        <is>
          <t>Разработка грунта</t>
        </is>
      </c>
      <c r="D718" s="36" t="inlineStr">
        <is>
          <t>м3</t>
        </is>
      </c>
      <c r="E718" s="123" t="n">
        <v>1775.3</v>
      </c>
      <c r="F718" s="124" t="n"/>
      <c r="G718" s="124" t="n"/>
      <c r="H718" s="124" t="n"/>
      <c r="I718" s="124" t="n"/>
      <c r="J718" s="124" t="n"/>
      <c r="K718" s="124" t="n"/>
      <c r="L718" s="124" t="n"/>
      <c r="M718" s="124" t="n"/>
      <c r="N718" s="124" t="n"/>
      <c r="O718" s="124" t="n"/>
      <c r="P718" s="124" t="n"/>
      <c r="Q718" s="124" t="n"/>
      <c r="R718" s="124" t="n"/>
      <c r="S718" s="124" t="n"/>
      <c r="T718" s="124" t="n"/>
      <c r="U718" s="124" t="n"/>
      <c r="V718" s="124" t="n"/>
      <c r="W718" s="124" t="n"/>
      <c r="X718" s="124" t="n"/>
      <c r="Y718" s="124" t="n"/>
      <c r="Z718" s="124" t="n"/>
      <c r="AA718" s="124" t="n"/>
      <c r="AB718" s="124" t="n"/>
      <c r="AC718" s="124" t="n"/>
      <c r="AD718" s="124" t="n"/>
      <c r="AE718" s="124" t="n"/>
      <c r="AF718" s="124" t="n"/>
      <c r="AG718" s="124" t="n"/>
      <c r="AH718" s="124" t="n"/>
      <c r="AI718" s="124" t="n"/>
      <c r="AJ718" s="124" t="n"/>
      <c r="AK718" s="124" t="n"/>
      <c r="AL718" s="124" t="n"/>
      <c r="AM718" s="124" t="n"/>
      <c r="AN718" s="124" t="n"/>
      <c r="AO718" s="124" t="n"/>
      <c r="AP718" s="124" t="n"/>
      <c r="AQ718" s="124" t="n"/>
      <c r="AR718" s="124" t="n"/>
      <c r="AS718" s="124" t="n"/>
      <c r="AT718" s="124" t="n"/>
      <c r="AU718" s="124" t="n"/>
      <c r="AV718" s="124" t="n"/>
      <c r="AW718" s="124" t="n"/>
      <c r="AX718" s="124" t="n"/>
      <c r="AY718" s="124" t="n"/>
      <c r="AZ718" s="124" t="n"/>
      <c r="BA718" s="124" t="n"/>
      <c r="BB718" s="124" t="n"/>
      <c r="BC718" s="124" t="n"/>
      <c r="BD718" s="124" t="n"/>
      <c r="BE718" s="124" t="n"/>
      <c r="BF718" s="124" t="n"/>
      <c r="BG718" s="124" t="n"/>
      <c r="BH718" s="124" t="n"/>
      <c r="BI718" s="124" t="n"/>
      <c r="BJ718" s="124" t="n"/>
      <c r="BK718" s="124" t="n"/>
      <c r="BL718" s="124" t="n"/>
      <c r="BM718" s="124" t="n"/>
      <c r="BN718" s="124" t="n"/>
      <c r="BO718" s="124" t="n"/>
      <c r="BP718" s="124" t="n"/>
      <c r="BQ718" s="124" t="n"/>
      <c r="BR718" s="124" t="n"/>
      <c r="BS718" s="124" t="n"/>
      <c r="BT718" s="124" t="n"/>
      <c r="BU718" s="124" t="n"/>
      <c r="BV718" s="124" t="n"/>
      <c r="BW718" s="124" t="n"/>
      <c r="BX718" s="124" t="n"/>
      <c r="BY718" s="124" t="n"/>
      <c r="BZ718" s="124" t="n"/>
      <c r="CA718" s="124" t="n"/>
      <c r="CB718" s="124" t="n"/>
      <c r="CC718" s="124" t="n"/>
      <c r="CD718" s="124" t="n"/>
      <c r="CE718" s="124" t="n"/>
      <c r="CF718" s="124" t="n"/>
      <c r="CG718" s="124" t="n"/>
      <c r="CH718" s="124" t="n"/>
      <c r="CI718" s="124" t="n"/>
      <c r="CJ718" s="124" t="n"/>
      <c r="CK718" s="124" t="n"/>
      <c r="CL718" s="124" t="n"/>
      <c r="CM718" s="124" t="n"/>
      <c r="CN718" s="124" t="n"/>
      <c r="CO718" s="124" t="n"/>
      <c r="CP718" s="124" t="n"/>
      <c r="CQ718" s="124" t="n"/>
      <c r="CR718" s="124" t="n"/>
      <c r="CS718" s="124" t="n"/>
      <c r="CT718" s="124" t="n"/>
      <c r="CU718" s="124" t="n"/>
      <c r="CV718" s="124" t="n"/>
      <c r="CW718" s="124" t="n"/>
      <c r="CX718" s="124" t="n"/>
      <c r="CY718" s="124" t="n"/>
      <c r="CZ718" s="124" t="n"/>
      <c r="DA718" s="124" t="n"/>
      <c r="DB718" s="124" t="n"/>
      <c r="DC718" s="124" t="n"/>
      <c r="DD718" s="124" t="n"/>
      <c r="DE718" s="124" t="n"/>
      <c r="DF718" s="124" t="n"/>
      <c r="DG718" s="124" t="n"/>
      <c r="DH718" s="124" t="n"/>
      <c r="DI718" s="124" t="n"/>
      <c r="DJ718" s="124" t="n"/>
      <c r="DK718" s="124" t="n"/>
      <c r="DL718" s="124" t="n"/>
      <c r="DM718" s="124" t="n"/>
      <c r="DN718" s="124" t="n"/>
      <c r="DO718" s="124" t="n"/>
      <c r="DP718" s="124" t="n"/>
      <c r="DQ718" s="124" t="n"/>
      <c r="DR718" s="124" t="n"/>
      <c r="DS718" s="124" t="n"/>
      <c r="DT718" s="124" t="n"/>
      <c r="DU718" s="124" t="n"/>
      <c r="DV718" s="124" t="n"/>
      <c r="DW718" s="124" t="n"/>
      <c r="DX718" s="124" t="n"/>
      <c r="DY718" s="124" t="n"/>
      <c r="DZ718" s="124" t="n"/>
      <c r="EA718" s="124" t="n"/>
      <c r="EB718" s="124" t="n"/>
      <c r="EC718" s="124" t="n"/>
      <c r="ED718" s="124" t="n"/>
      <c r="EE718" s="124" t="n"/>
      <c r="EF718" s="124" t="n"/>
      <c r="EG718" s="124" t="n"/>
      <c r="EH718" s="124" t="n"/>
      <c r="EI718" s="124" t="n"/>
      <c r="EJ718" s="124" t="n"/>
      <c r="EK718" s="124" t="n"/>
      <c r="EL718" s="124" t="n"/>
      <c r="EM718" s="124" t="n"/>
      <c r="EN718" s="124" t="n"/>
      <c r="EO718" s="124" t="n"/>
      <c r="EP718" s="124" t="n"/>
      <c r="EQ718" s="124" t="n"/>
      <c r="ER718" s="124" t="n"/>
      <c r="ES718" s="124" t="n"/>
      <c r="ET718" s="124" t="n"/>
      <c r="EU718" s="124" t="n"/>
      <c r="EV718" s="124" t="n"/>
      <c r="EW718" s="124" t="n"/>
      <c r="EX718" s="124" t="n"/>
      <c r="EY718" s="124" t="n"/>
      <c r="EZ718" s="124" t="n"/>
      <c r="FA718" s="124" t="n"/>
      <c r="FB718" s="124" t="n"/>
      <c r="FC718" s="124" t="n"/>
      <c r="FD718" s="124" t="n"/>
      <c r="FE718" s="124" t="n"/>
      <c r="FF718" s="124" t="n"/>
      <c r="FG718" s="124" t="n"/>
      <c r="FH718" s="124" t="n"/>
      <c r="FI718" s="124" t="n"/>
      <c r="FJ718" s="124" t="n"/>
      <c r="FK718" s="124" t="n"/>
      <c r="FL718" s="124" t="n"/>
      <c r="FM718" s="124" t="n"/>
      <c r="FN718" s="124" t="n"/>
      <c r="FO718" s="124" t="n"/>
      <c r="FP718" s="124" t="n"/>
      <c r="FQ718" s="124" t="n"/>
      <c r="FR718" s="124" t="n"/>
      <c r="FS718" s="124" t="n"/>
      <c r="FT718" s="124" t="n"/>
      <c r="FU718" s="124" t="n"/>
      <c r="FV718" s="124" t="n"/>
      <c r="FW718" s="124" t="n"/>
      <c r="FX718" s="124" t="n"/>
      <c r="FY718" s="124" t="n"/>
      <c r="FZ718" s="124" t="n"/>
      <c r="GA718" s="124" t="n"/>
      <c r="GB718" s="124" t="n"/>
      <c r="GC718" s="124" t="n"/>
      <c r="GD718" s="124" t="n"/>
      <c r="GE718" s="124" t="n"/>
      <c r="GF718" s="124" t="n"/>
      <c r="GG718" s="124" t="n"/>
      <c r="GH718" s="124" t="n"/>
      <c r="GI718" s="124" t="n"/>
      <c r="GJ718" s="124" t="n"/>
      <c r="GK718" s="124" t="n"/>
      <c r="GL718" s="124" t="n"/>
      <c r="GM718" s="124" t="n"/>
      <c r="GN718" s="124" t="n"/>
      <c r="GO718" s="124" t="n"/>
      <c r="GP718" s="124" t="n"/>
      <c r="GQ718" s="124" t="n"/>
      <c r="GR718" s="124" t="n"/>
      <c r="GS718" s="124" t="n"/>
      <c r="GT718" s="124" t="n"/>
      <c r="GU718" s="124" t="n"/>
      <c r="GV718" s="124" t="n"/>
      <c r="GW718" s="124" t="n"/>
      <c r="GX718" s="124" t="n"/>
      <c r="GY718" s="124" t="n"/>
      <c r="GZ718" s="124" t="n"/>
      <c r="HA718" s="124" t="n"/>
      <c r="HB718" s="124" t="n"/>
      <c r="HC718" s="124" t="n"/>
      <c r="HD718" s="124" t="n"/>
      <c r="HE718" s="124" t="n"/>
      <c r="HF718" s="124" t="n"/>
      <c r="HG718" s="124" t="n"/>
      <c r="HH718" s="124" t="n"/>
      <c r="HI718" s="124" t="n"/>
      <c r="HJ718" s="124" t="n"/>
      <c r="HK718" s="124" t="n"/>
      <c r="HL718" s="124" t="n"/>
    </row>
    <row r="719" customFormat="1" s="3">
      <c r="A719" s="33" t="inlineStr">
        <is>
          <t>7 этап</t>
        </is>
      </c>
      <c r="B719" s="34" t="n"/>
      <c r="C719" s="38" t="inlineStr">
        <is>
          <t>Устройство песчаного основания</t>
        </is>
      </c>
      <c r="D719" s="36" t="inlineStr">
        <is>
          <t>м3</t>
        </is>
      </c>
      <c r="E719" s="123" t="n">
        <v>51.1</v>
      </c>
      <c r="F719" s="124" t="n"/>
      <c r="G719" s="124" t="n"/>
      <c r="H719" s="124" t="n"/>
      <c r="I719" s="124" t="n"/>
      <c r="J719" s="124" t="n"/>
      <c r="K719" s="124" t="n"/>
      <c r="L719" s="124" t="n"/>
      <c r="M719" s="124" t="n"/>
      <c r="N719" s="124" t="n"/>
      <c r="O719" s="124" t="n"/>
      <c r="P719" s="124" t="n"/>
      <c r="Q719" s="124" t="n"/>
      <c r="R719" s="124" t="n"/>
      <c r="S719" s="124" t="n"/>
      <c r="T719" s="124" t="n"/>
      <c r="U719" s="124" t="n"/>
      <c r="V719" s="124" t="n"/>
      <c r="W719" s="124" t="n"/>
      <c r="X719" s="124" t="n"/>
      <c r="Y719" s="124" t="n"/>
      <c r="Z719" s="124" t="n"/>
      <c r="AA719" s="124" t="n"/>
      <c r="AB719" s="124" t="n"/>
      <c r="AC719" s="124" t="n"/>
      <c r="AD719" s="124" t="n"/>
      <c r="AE719" s="124" t="n"/>
      <c r="AF719" s="124" t="n"/>
      <c r="AG719" s="124" t="n"/>
      <c r="AH719" s="124" t="n"/>
      <c r="AI719" s="124" t="n"/>
      <c r="AJ719" s="124" t="n"/>
      <c r="AK719" s="124" t="n"/>
      <c r="AL719" s="124" t="n"/>
      <c r="AM719" s="124" t="n"/>
      <c r="AN719" s="124" t="n"/>
      <c r="AO719" s="124" t="n"/>
      <c r="AP719" s="124" t="n"/>
      <c r="AQ719" s="124" t="n"/>
      <c r="AR719" s="124" t="n"/>
      <c r="AS719" s="124" t="n"/>
      <c r="AT719" s="124" t="n"/>
      <c r="AU719" s="124" t="n"/>
      <c r="AV719" s="124" t="n"/>
      <c r="AW719" s="124" t="n"/>
      <c r="AX719" s="124" t="n"/>
      <c r="AY719" s="124" t="n"/>
      <c r="AZ719" s="124" t="n"/>
      <c r="BA719" s="124" t="n"/>
      <c r="BB719" s="124" t="n"/>
      <c r="BC719" s="124" t="n"/>
      <c r="BD719" s="124" t="n"/>
      <c r="BE719" s="124" t="n"/>
      <c r="BF719" s="124" t="n"/>
      <c r="BG719" s="124" t="n"/>
      <c r="BH719" s="124" t="n"/>
      <c r="BI719" s="124" t="n"/>
      <c r="BJ719" s="124" t="n"/>
      <c r="BK719" s="124" t="n"/>
      <c r="BL719" s="124" t="n"/>
      <c r="BM719" s="124" t="n"/>
      <c r="BN719" s="124" t="n"/>
      <c r="BO719" s="124" t="n"/>
      <c r="BP719" s="124" t="n"/>
      <c r="BQ719" s="124" t="n"/>
      <c r="BR719" s="124" t="n"/>
      <c r="BS719" s="124" t="n"/>
      <c r="BT719" s="124" t="n"/>
      <c r="BU719" s="124" t="n"/>
      <c r="BV719" s="124" t="n"/>
      <c r="BW719" s="124" t="n"/>
      <c r="BX719" s="124" t="n"/>
      <c r="BY719" s="124" t="n"/>
      <c r="BZ719" s="124" t="n"/>
      <c r="CA719" s="124" t="n"/>
      <c r="CB719" s="124" t="n"/>
      <c r="CC719" s="124" t="n"/>
      <c r="CD719" s="124" t="n"/>
      <c r="CE719" s="124" t="n"/>
      <c r="CF719" s="124" t="n"/>
      <c r="CG719" s="124" t="n"/>
      <c r="CH719" s="124" t="n"/>
      <c r="CI719" s="124" t="n"/>
      <c r="CJ719" s="124" t="n"/>
      <c r="CK719" s="124" t="n"/>
      <c r="CL719" s="124" t="n"/>
      <c r="CM719" s="124" t="n"/>
      <c r="CN719" s="124" t="n"/>
      <c r="CO719" s="124" t="n"/>
      <c r="CP719" s="124" t="n"/>
      <c r="CQ719" s="124" t="n"/>
      <c r="CR719" s="124" t="n"/>
      <c r="CS719" s="124" t="n"/>
      <c r="CT719" s="124" t="n"/>
      <c r="CU719" s="124" t="n"/>
      <c r="CV719" s="124" t="n"/>
      <c r="CW719" s="124" t="n"/>
      <c r="CX719" s="124" t="n"/>
      <c r="CY719" s="124" t="n"/>
      <c r="CZ719" s="124" t="n"/>
      <c r="DA719" s="124" t="n"/>
      <c r="DB719" s="124" t="n"/>
      <c r="DC719" s="124" t="n"/>
      <c r="DD719" s="124" t="n"/>
      <c r="DE719" s="124" t="n"/>
      <c r="DF719" s="124" t="n"/>
      <c r="DG719" s="124" t="n"/>
      <c r="DH719" s="124" t="n"/>
      <c r="DI719" s="124" t="n"/>
      <c r="DJ719" s="124" t="n"/>
      <c r="DK719" s="124" t="n"/>
      <c r="DL719" s="124" t="n"/>
      <c r="DM719" s="124" t="n"/>
      <c r="DN719" s="124" t="n"/>
      <c r="DO719" s="124" t="n"/>
      <c r="DP719" s="124" t="n"/>
      <c r="DQ719" s="124" t="n"/>
      <c r="DR719" s="124" t="n"/>
      <c r="DS719" s="124" t="n"/>
      <c r="DT719" s="124" t="n"/>
      <c r="DU719" s="124" t="n"/>
      <c r="DV719" s="124" t="n"/>
      <c r="DW719" s="124" t="n"/>
      <c r="DX719" s="124" t="n"/>
      <c r="DY719" s="124" t="n"/>
      <c r="DZ719" s="124" t="n"/>
      <c r="EA719" s="124" t="n"/>
      <c r="EB719" s="124" t="n"/>
      <c r="EC719" s="124" t="n"/>
      <c r="ED719" s="124" t="n"/>
      <c r="EE719" s="124" t="n"/>
      <c r="EF719" s="124" t="n"/>
      <c r="EG719" s="124" t="n"/>
      <c r="EH719" s="124" t="n"/>
      <c r="EI719" s="124" t="n"/>
      <c r="EJ719" s="124" t="n"/>
      <c r="EK719" s="124" t="n"/>
      <c r="EL719" s="124" t="n"/>
      <c r="EM719" s="124" t="n"/>
      <c r="EN719" s="124" t="n"/>
      <c r="EO719" s="124" t="n"/>
      <c r="EP719" s="124" t="n"/>
      <c r="EQ719" s="124" t="n"/>
      <c r="ER719" s="124" t="n"/>
      <c r="ES719" s="124" t="n"/>
      <c r="ET719" s="124" t="n"/>
      <c r="EU719" s="124" t="n"/>
      <c r="EV719" s="124" t="n"/>
      <c r="EW719" s="124" t="n"/>
      <c r="EX719" s="124" t="n"/>
      <c r="EY719" s="124" t="n"/>
      <c r="EZ719" s="124" t="n"/>
      <c r="FA719" s="124" t="n"/>
      <c r="FB719" s="124" t="n"/>
      <c r="FC719" s="124" t="n"/>
      <c r="FD719" s="124" t="n"/>
      <c r="FE719" s="124" t="n"/>
      <c r="FF719" s="124" t="n"/>
      <c r="FG719" s="124" t="n"/>
      <c r="FH719" s="124" t="n"/>
      <c r="FI719" s="124" t="n"/>
      <c r="FJ719" s="124" t="n"/>
      <c r="FK719" s="124" t="n"/>
      <c r="FL719" s="124" t="n"/>
      <c r="FM719" s="124" t="n"/>
      <c r="FN719" s="124" t="n"/>
      <c r="FO719" s="124" t="n"/>
      <c r="FP719" s="124" t="n"/>
      <c r="FQ719" s="124" t="n"/>
      <c r="FR719" s="124" t="n"/>
      <c r="FS719" s="124" t="n"/>
      <c r="FT719" s="124" t="n"/>
      <c r="FU719" s="124" t="n"/>
      <c r="FV719" s="124" t="n"/>
      <c r="FW719" s="124" t="n"/>
      <c r="FX719" s="124" t="n"/>
      <c r="FY719" s="124" t="n"/>
      <c r="FZ719" s="124" t="n"/>
      <c r="GA719" s="124" t="n"/>
      <c r="GB719" s="124" t="n"/>
      <c r="GC719" s="124" t="n"/>
      <c r="GD719" s="124" t="n"/>
      <c r="GE719" s="124" t="n"/>
      <c r="GF719" s="124" t="n"/>
      <c r="GG719" s="124" t="n"/>
      <c r="GH719" s="124" t="n"/>
      <c r="GI719" s="124" t="n"/>
      <c r="GJ719" s="124" t="n"/>
      <c r="GK719" s="124" t="n"/>
      <c r="GL719" s="124" t="n"/>
      <c r="GM719" s="124" t="n"/>
      <c r="GN719" s="124" t="n"/>
      <c r="GO719" s="124" t="n"/>
      <c r="GP719" s="124" t="n"/>
      <c r="GQ719" s="124" t="n"/>
      <c r="GR719" s="124" t="n"/>
      <c r="GS719" s="124" t="n"/>
      <c r="GT719" s="124" t="n"/>
      <c r="GU719" s="124" t="n"/>
      <c r="GV719" s="124" t="n"/>
      <c r="GW719" s="124" t="n"/>
      <c r="GX719" s="124" t="n"/>
      <c r="GY719" s="124" t="n"/>
      <c r="GZ719" s="124" t="n"/>
      <c r="HA719" s="124" t="n"/>
      <c r="HB719" s="124" t="n"/>
      <c r="HC719" s="124" t="n"/>
      <c r="HD719" s="124" t="n"/>
      <c r="HE719" s="124" t="n"/>
      <c r="HF719" s="124" t="n"/>
      <c r="HG719" s="124" t="n"/>
      <c r="HH719" s="124" t="n"/>
      <c r="HI719" s="124" t="n"/>
      <c r="HJ719" s="124" t="n"/>
      <c r="HK719" s="124" t="n"/>
      <c r="HL719" s="124" t="n"/>
    </row>
    <row r="720" customFormat="1" s="3">
      <c r="A720" s="33" t="inlineStr">
        <is>
          <t>7 этап</t>
        </is>
      </c>
      <c r="B720" s="34" t="n"/>
      <c r="C720" s="38" t="inlineStr">
        <is>
          <t>Обратная засыпка с уплотнением</t>
        </is>
      </c>
      <c r="D720" s="36" t="inlineStr">
        <is>
          <t>м3</t>
        </is>
      </c>
      <c r="E720" s="123" t="n">
        <v>1149.47</v>
      </c>
      <c r="F720" s="124" t="n"/>
      <c r="G720" s="124" t="n"/>
      <c r="H720" s="124" t="n"/>
      <c r="I720" s="124" t="n"/>
      <c r="J720" s="124" t="n"/>
      <c r="K720" s="124" t="n"/>
      <c r="L720" s="124" t="n"/>
      <c r="M720" s="124" t="n"/>
      <c r="N720" s="124" t="n"/>
      <c r="O720" s="124" t="n"/>
      <c r="P720" s="124" t="n"/>
      <c r="Q720" s="124" t="n"/>
      <c r="R720" s="124" t="n"/>
      <c r="S720" s="124" t="n"/>
      <c r="T720" s="124" t="n"/>
      <c r="U720" s="124" t="n"/>
      <c r="V720" s="124" t="n"/>
      <c r="W720" s="124" t="n"/>
      <c r="X720" s="124" t="n"/>
      <c r="Y720" s="124" t="n"/>
      <c r="Z720" s="124" t="n"/>
      <c r="AA720" s="124" t="n"/>
      <c r="AB720" s="124" t="n"/>
      <c r="AC720" s="124" t="n"/>
      <c r="AD720" s="124" t="n"/>
      <c r="AE720" s="124" t="n"/>
      <c r="AF720" s="124" t="n"/>
      <c r="AG720" s="124" t="n"/>
      <c r="AH720" s="124" t="n"/>
      <c r="AI720" s="124" t="n"/>
      <c r="AJ720" s="124" t="n"/>
      <c r="AK720" s="124" t="n"/>
      <c r="AL720" s="124" t="n"/>
      <c r="AM720" s="124" t="n"/>
      <c r="AN720" s="124" t="n"/>
      <c r="AO720" s="124" t="n"/>
      <c r="AP720" s="124" t="n"/>
      <c r="AQ720" s="124" t="n"/>
      <c r="AR720" s="124" t="n"/>
      <c r="AS720" s="124" t="n"/>
      <c r="AT720" s="124" t="n"/>
      <c r="AU720" s="124" t="n"/>
      <c r="AV720" s="124" t="n"/>
      <c r="AW720" s="124" t="n"/>
      <c r="AX720" s="124" t="n"/>
      <c r="AY720" s="124" t="n"/>
      <c r="AZ720" s="124" t="n"/>
      <c r="BA720" s="124" t="n"/>
      <c r="BB720" s="124" t="n"/>
      <c r="BC720" s="124" t="n"/>
      <c r="BD720" s="124" t="n"/>
      <c r="BE720" s="124" t="n"/>
      <c r="BF720" s="124" t="n"/>
      <c r="BG720" s="124" t="n"/>
      <c r="BH720" s="124" t="n"/>
      <c r="BI720" s="124" t="n"/>
      <c r="BJ720" s="124" t="n"/>
      <c r="BK720" s="124" t="n"/>
      <c r="BL720" s="124" t="n"/>
      <c r="BM720" s="124" t="n"/>
      <c r="BN720" s="124" t="n"/>
      <c r="BO720" s="124" t="n"/>
      <c r="BP720" s="124" t="n"/>
      <c r="BQ720" s="124" t="n"/>
      <c r="BR720" s="124" t="n"/>
      <c r="BS720" s="124" t="n"/>
      <c r="BT720" s="124" t="n"/>
      <c r="BU720" s="124" t="n"/>
      <c r="BV720" s="124" t="n"/>
      <c r="BW720" s="124" t="n"/>
      <c r="BX720" s="124" t="n"/>
      <c r="BY720" s="124" t="n"/>
      <c r="BZ720" s="124" t="n"/>
      <c r="CA720" s="124" t="n"/>
      <c r="CB720" s="124" t="n"/>
      <c r="CC720" s="124" t="n"/>
      <c r="CD720" s="124" t="n"/>
      <c r="CE720" s="124" t="n"/>
      <c r="CF720" s="124" t="n"/>
      <c r="CG720" s="124" t="n"/>
      <c r="CH720" s="124" t="n"/>
      <c r="CI720" s="124" t="n"/>
      <c r="CJ720" s="124" t="n"/>
      <c r="CK720" s="124" t="n"/>
      <c r="CL720" s="124" t="n"/>
      <c r="CM720" s="124" t="n"/>
      <c r="CN720" s="124" t="n"/>
      <c r="CO720" s="124" t="n"/>
      <c r="CP720" s="124" t="n"/>
      <c r="CQ720" s="124" t="n"/>
      <c r="CR720" s="124" t="n"/>
      <c r="CS720" s="124" t="n"/>
      <c r="CT720" s="124" t="n"/>
      <c r="CU720" s="124" t="n"/>
      <c r="CV720" s="124" t="n"/>
      <c r="CW720" s="124" t="n"/>
      <c r="CX720" s="124" t="n"/>
      <c r="CY720" s="124" t="n"/>
      <c r="CZ720" s="124" t="n"/>
      <c r="DA720" s="124" t="n"/>
      <c r="DB720" s="124" t="n"/>
      <c r="DC720" s="124" t="n"/>
      <c r="DD720" s="124" t="n"/>
      <c r="DE720" s="124" t="n"/>
      <c r="DF720" s="124" t="n"/>
      <c r="DG720" s="124" t="n"/>
      <c r="DH720" s="124" t="n"/>
      <c r="DI720" s="124" t="n"/>
      <c r="DJ720" s="124" t="n"/>
      <c r="DK720" s="124" t="n"/>
      <c r="DL720" s="124" t="n"/>
      <c r="DM720" s="124" t="n"/>
      <c r="DN720" s="124" t="n"/>
      <c r="DO720" s="124" t="n"/>
      <c r="DP720" s="124" t="n"/>
      <c r="DQ720" s="124" t="n"/>
      <c r="DR720" s="124" t="n"/>
      <c r="DS720" s="124" t="n"/>
      <c r="DT720" s="124" t="n"/>
      <c r="DU720" s="124" t="n"/>
      <c r="DV720" s="124" t="n"/>
      <c r="DW720" s="124" t="n"/>
      <c r="DX720" s="124" t="n"/>
      <c r="DY720" s="124" t="n"/>
      <c r="DZ720" s="124" t="n"/>
      <c r="EA720" s="124" t="n"/>
      <c r="EB720" s="124" t="n"/>
      <c r="EC720" s="124" t="n"/>
      <c r="ED720" s="124" t="n"/>
      <c r="EE720" s="124" t="n"/>
      <c r="EF720" s="124" t="n"/>
      <c r="EG720" s="124" t="n"/>
      <c r="EH720" s="124" t="n"/>
      <c r="EI720" s="124" t="n"/>
      <c r="EJ720" s="124" t="n"/>
      <c r="EK720" s="124" t="n"/>
      <c r="EL720" s="124" t="n"/>
      <c r="EM720" s="124" t="n"/>
      <c r="EN720" s="124" t="n"/>
      <c r="EO720" s="124" t="n"/>
      <c r="EP720" s="124" t="n"/>
      <c r="EQ720" s="124" t="n"/>
      <c r="ER720" s="124" t="n"/>
      <c r="ES720" s="124" t="n"/>
      <c r="ET720" s="124" t="n"/>
      <c r="EU720" s="124" t="n"/>
      <c r="EV720" s="124" t="n"/>
      <c r="EW720" s="124" t="n"/>
      <c r="EX720" s="124" t="n"/>
      <c r="EY720" s="124" t="n"/>
      <c r="EZ720" s="124" t="n"/>
      <c r="FA720" s="124" t="n"/>
      <c r="FB720" s="124" t="n"/>
      <c r="FC720" s="124" t="n"/>
      <c r="FD720" s="124" t="n"/>
      <c r="FE720" s="124" t="n"/>
      <c r="FF720" s="124" t="n"/>
      <c r="FG720" s="124" t="n"/>
      <c r="FH720" s="124" t="n"/>
      <c r="FI720" s="124" t="n"/>
      <c r="FJ720" s="124" t="n"/>
      <c r="FK720" s="124" t="n"/>
      <c r="FL720" s="124" t="n"/>
      <c r="FM720" s="124" t="n"/>
      <c r="FN720" s="124" t="n"/>
      <c r="FO720" s="124" t="n"/>
      <c r="FP720" s="124" t="n"/>
      <c r="FQ720" s="124" t="n"/>
      <c r="FR720" s="124" t="n"/>
      <c r="FS720" s="124" t="n"/>
      <c r="FT720" s="124" t="n"/>
      <c r="FU720" s="124" t="n"/>
      <c r="FV720" s="124" t="n"/>
      <c r="FW720" s="124" t="n"/>
      <c r="FX720" s="124" t="n"/>
      <c r="FY720" s="124" t="n"/>
      <c r="FZ720" s="124" t="n"/>
      <c r="GA720" s="124" t="n"/>
      <c r="GB720" s="124" t="n"/>
      <c r="GC720" s="124" t="n"/>
      <c r="GD720" s="124" t="n"/>
      <c r="GE720" s="124" t="n"/>
      <c r="GF720" s="124" t="n"/>
      <c r="GG720" s="124" t="n"/>
      <c r="GH720" s="124" t="n"/>
      <c r="GI720" s="124" t="n"/>
      <c r="GJ720" s="124" t="n"/>
      <c r="GK720" s="124" t="n"/>
      <c r="GL720" s="124" t="n"/>
      <c r="GM720" s="124" t="n"/>
      <c r="GN720" s="124" t="n"/>
      <c r="GO720" s="124" t="n"/>
      <c r="GP720" s="124" t="n"/>
      <c r="GQ720" s="124" t="n"/>
      <c r="GR720" s="124" t="n"/>
      <c r="GS720" s="124" t="n"/>
      <c r="GT720" s="124" t="n"/>
      <c r="GU720" s="124" t="n"/>
      <c r="GV720" s="124" t="n"/>
      <c r="GW720" s="124" t="n"/>
      <c r="GX720" s="124" t="n"/>
      <c r="GY720" s="124" t="n"/>
      <c r="GZ720" s="124" t="n"/>
      <c r="HA720" s="124" t="n"/>
      <c r="HB720" s="124" t="n"/>
      <c r="HC720" s="124" t="n"/>
      <c r="HD720" s="124" t="n"/>
      <c r="HE720" s="124" t="n"/>
      <c r="HF720" s="124" t="n"/>
      <c r="HG720" s="124" t="n"/>
      <c r="HH720" s="124" t="n"/>
      <c r="HI720" s="124" t="n"/>
      <c r="HJ720" s="124" t="n"/>
      <c r="HK720" s="124" t="n"/>
      <c r="HL720" s="124" t="n"/>
    </row>
    <row r="721" ht="14.4" customFormat="1" customHeight="1" s="3">
      <c r="A721" s="26" t="inlineStr">
        <is>
          <t>7 этап</t>
        </is>
      </c>
      <c r="B721" s="34" t="inlineStr">
        <is>
          <t>1.2</t>
        </is>
      </c>
      <c r="C721" s="108" t="inlineStr">
        <is>
          <t>Монтаж колодцев в комплекте и прокладка труб В1,В2</t>
        </is>
      </c>
      <c r="D721" s="36" t="inlineStr">
        <is>
          <t>компл.</t>
        </is>
      </c>
      <c r="E721" s="123" t="n">
        <v>0.66</v>
      </c>
      <c r="F721" s="166" t="n">
        <v>4500</v>
      </c>
      <c r="G721" s="166" t="n">
        <v>2970</v>
      </c>
      <c r="H721" s="124" t="inlineStr">
        <is>
          <t>ФЕР-2020 × 0.75</t>
        </is>
      </c>
      <c r="I721" s="124" t="n"/>
      <c r="J721" s="124" t="n"/>
      <c r="K721" s="124" t="n"/>
      <c r="L721" s="124" t="n"/>
      <c r="M721" s="124" t="n"/>
      <c r="N721" s="124" t="n"/>
      <c r="O721" s="124" t="n"/>
      <c r="P721" s="124" t="n"/>
      <c r="Q721" s="124" t="n"/>
      <c r="R721" s="124" t="n"/>
      <c r="S721" s="124" t="n"/>
      <c r="T721" s="124" t="n"/>
      <c r="U721" s="124" t="n"/>
      <c r="V721" s="124" t="n"/>
      <c r="W721" s="124" t="n"/>
      <c r="X721" s="124" t="n"/>
      <c r="Y721" s="124" t="n"/>
      <c r="Z721" s="124" t="n"/>
      <c r="AA721" s="124" t="n"/>
      <c r="AB721" s="124" t="n"/>
      <c r="AC721" s="124" t="n"/>
      <c r="AD721" s="124" t="n"/>
      <c r="AE721" s="124" t="n"/>
      <c r="AF721" s="124" t="n"/>
      <c r="AG721" s="124" t="n"/>
      <c r="AH721" s="124" t="n"/>
      <c r="AI721" s="124" t="n"/>
      <c r="AJ721" s="124" t="n"/>
      <c r="AK721" s="124" t="n"/>
      <c r="AL721" s="124" t="n"/>
      <c r="AM721" s="124" t="n"/>
      <c r="AN721" s="124" t="n"/>
      <c r="AO721" s="124" t="n"/>
      <c r="AP721" s="124" t="n"/>
      <c r="AQ721" s="124" t="n"/>
      <c r="AR721" s="124" t="n"/>
      <c r="AS721" s="124" t="n"/>
      <c r="AT721" s="124" t="n"/>
      <c r="AU721" s="124" t="n"/>
      <c r="AV721" s="124" t="n"/>
      <c r="AW721" s="124" t="n"/>
      <c r="AX721" s="124" t="n"/>
      <c r="AY721" s="124" t="n"/>
      <c r="AZ721" s="124" t="n"/>
      <c r="BA721" s="124" t="n"/>
      <c r="BB721" s="124" t="n"/>
      <c r="BC721" s="124" t="n"/>
      <c r="BD721" s="124" t="n"/>
      <c r="BE721" s="124" t="n"/>
      <c r="BF721" s="124" t="n"/>
      <c r="BG721" s="124" t="n"/>
      <c r="BH721" s="124" t="n"/>
      <c r="BI721" s="124" t="n"/>
      <c r="BJ721" s="124" t="n"/>
      <c r="BK721" s="124" t="n"/>
      <c r="BL721" s="124" t="n"/>
      <c r="BM721" s="124" t="n"/>
      <c r="BN721" s="124" t="n"/>
      <c r="BO721" s="124" t="n"/>
      <c r="BP721" s="124" t="n"/>
      <c r="BQ721" s="124" t="n"/>
      <c r="BR721" s="124" t="n"/>
      <c r="BS721" s="124" t="n"/>
      <c r="BT721" s="124" t="n"/>
      <c r="BU721" s="124" t="n"/>
      <c r="BV721" s="124" t="n"/>
      <c r="BW721" s="124" t="n"/>
      <c r="BX721" s="124" t="n"/>
      <c r="BY721" s="124" t="n"/>
      <c r="BZ721" s="124" t="n"/>
      <c r="CA721" s="124" t="n"/>
      <c r="CB721" s="124" t="n"/>
      <c r="CC721" s="124" t="n"/>
      <c r="CD721" s="124" t="n"/>
      <c r="CE721" s="124" t="n"/>
      <c r="CF721" s="124" t="n"/>
      <c r="CG721" s="124" t="n"/>
      <c r="CH721" s="124" t="n"/>
      <c r="CI721" s="124" t="n"/>
      <c r="CJ721" s="124" t="n"/>
      <c r="CK721" s="124" t="n"/>
      <c r="CL721" s="124" t="n"/>
      <c r="CM721" s="124" t="n"/>
      <c r="CN721" s="124" t="n"/>
      <c r="CO721" s="124" t="n"/>
      <c r="CP721" s="124" t="n"/>
      <c r="CQ721" s="124" t="n"/>
      <c r="CR721" s="124" t="n"/>
      <c r="CS721" s="124" t="n"/>
      <c r="CT721" s="124" t="n"/>
      <c r="CU721" s="124" t="n"/>
      <c r="CV721" s="124" t="n"/>
      <c r="CW721" s="124" t="n"/>
      <c r="CX721" s="124" t="n"/>
      <c r="CY721" s="124" t="n"/>
      <c r="CZ721" s="124" t="n"/>
      <c r="DA721" s="124" t="n"/>
      <c r="DB721" s="124" t="n"/>
      <c r="DC721" s="124" t="n"/>
      <c r="DD721" s="124" t="n"/>
      <c r="DE721" s="124" t="n"/>
      <c r="DF721" s="124" t="n"/>
      <c r="DG721" s="124" t="n"/>
      <c r="DH721" s="124" t="n"/>
      <c r="DI721" s="124" t="n"/>
      <c r="DJ721" s="124" t="n"/>
      <c r="DK721" s="124" t="n"/>
      <c r="DL721" s="124" t="n"/>
      <c r="DM721" s="124" t="n"/>
      <c r="DN721" s="124" t="n"/>
      <c r="DO721" s="124" t="n"/>
      <c r="DP721" s="124" t="n"/>
      <c r="DQ721" s="124" t="n"/>
      <c r="DR721" s="124" t="n"/>
      <c r="DS721" s="124" t="n"/>
      <c r="DT721" s="124" t="n"/>
      <c r="DU721" s="124" t="n"/>
      <c r="DV721" s="124" t="n"/>
      <c r="DW721" s="124" t="n"/>
      <c r="DX721" s="124" t="n"/>
      <c r="DY721" s="124" t="n"/>
      <c r="DZ721" s="124" t="n"/>
      <c r="EA721" s="124" t="n"/>
      <c r="EB721" s="124" t="n"/>
      <c r="EC721" s="124" t="n"/>
      <c r="ED721" s="124" t="n"/>
      <c r="EE721" s="124" t="n"/>
      <c r="EF721" s="124" t="n"/>
      <c r="EG721" s="124" t="n"/>
      <c r="EH721" s="124" t="n"/>
      <c r="EI721" s="124" t="n"/>
      <c r="EJ721" s="124" t="n"/>
      <c r="EK721" s="124" t="n"/>
      <c r="EL721" s="124" t="n"/>
      <c r="EM721" s="124" t="n"/>
      <c r="EN721" s="124" t="n"/>
      <c r="EO721" s="124" t="n"/>
      <c r="EP721" s="124" t="n"/>
      <c r="EQ721" s="124" t="n"/>
      <c r="ER721" s="124" t="n"/>
      <c r="ES721" s="124" t="n"/>
      <c r="ET721" s="124" t="n"/>
      <c r="EU721" s="124" t="n"/>
      <c r="EV721" s="124" t="n"/>
      <c r="EW721" s="124" t="n"/>
      <c r="EX721" s="124" t="n"/>
      <c r="EY721" s="124" t="n"/>
      <c r="EZ721" s="124" t="n"/>
      <c r="FA721" s="124" t="n"/>
      <c r="FB721" s="124" t="n"/>
      <c r="FC721" s="124" t="n"/>
      <c r="FD721" s="124" t="n"/>
      <c r="FE721" s="124" t="n"/>
      <c r="FF721" s="124" t="n"/>
      <c r="FG721" s="124" t="n"/>
      <c r="FH721" s="124" t="n"/>
      <c r="FI721" s="124" t="n"/>
      <c r="FJ721" s="124" t="n"/>
      <c r="FK721" s="124" t="n"/>
      <c r="FL721" s="124" t="n"/>
      <c r="FM721" s="124" t="n"/>
      <c r="FN721" s="124" t="n"/>
      <c r="FO721" s="124" t="n"/>
      <c r="FP721" s="124" t="n"/>
      <c r="FQ721" s="124" t="n"/>
      <c r="FR721" s="124" t="n"/>
      <c r="FS721" s="124" t="n"/>
      <c r="FT721" s="124" t="n"/>
      <c r="FU721" s="124" t="n"/>
      <c r="FV721" s="124" t="n"/>
      <c r="FW721" s="124" t="n"/>
      <c r="FX721" s="124" t="n"/>
      <c r="FY721" s="124" t="n"/>
      <c r="FZ721" s="124" t="n"/>
      <c r="GA721" s="124" t="n"/>
      <c r="GB721" s="124" t="n"/>
      <c r="GC721" s="124" t="n"/>
      <c r="GD721" s="124" t="n"/>
      <c r="GE721" s="124" t="n"/>
      <c r="GF721" s="124" t="n"/>
      <c r="GG721" s="124" t="n"/>
      <c r="GH721" s="124" t="n"/>
      <c r="GI721" s="124" t="n"/>
      <c r="GJ721" s="124" t="n"/>
      <c r="GK721" s="124" t="n"/>
      <c r="GL721" s="124" t="n"/>
      <c r="GM721" s="124" t="n"/>
      <c r="GN721" s="124" t="n"/>
      <c r="GO721" s="124" t="n"/>
      <c r="GP721" s="124" t="n"/>
      <c r="GQ721" s="124" t="n"/>
      <c r="GR721" s="124" t="n"/>
      <c r="GS721" s="124" t="n"/>
      <c r="GT721" s="124" t="n"/>
      <c r="GU721" s="124" t="n"/>
      <c r="GV721" s="124" t="n"/>
      <c r="GW721" s="124" t="n"/>
      <c r="GX721" s="124" t="n"/>
      <c r="GY721" s="124" t="n"/>
      <c r="GZ721" s="124" t="n"/>
      <c r="HA721" s="124" t="n"/>
      <c r="HB721" s="124" t="n"/>
      <c r="HC721" s="124" t="n"/>
      <c r="HD721" s="124" t="n"/>
      <c r="HE721" s="124" t="n"/>
      <c r="HF721" s="124" t="n"/>
      <c r="HG721" s="124" t="n"/>
      <c r="HH721" s="124" t="n"/>
      <c r="HI721" s="124" t="n"/>
      <c r="HJ721" s="124" t="n"/>
      <c r="HK721" s="124" t="n"/>
      <c r="HL721" s="124" t="n"/>
    </row>
    <row r="722" customFormat="1" s="3">
      <c r="A722" s="33" t="inlineStr">
        <is>
          <t>7 этап</t>
        </is>
      </c>
      <c r="B722" s="34" t="n"/>
      <c r="C722" s="108" t="inlineStr">
        <is>
          <t>Колодцы В1,В2</t>
        </is>
      </c>
      <c r="D722" s="36" t="inlineStr">
        <is>
          <t>шт.</t>
        </is>
      </c>
      <c r="E722" s="123" t="n">
        <v>6</v>
      </c>
      <c r="F722" s="124" t="n"/>
      <c r="G722" s="124" t="n"/>
      <c r="H722" s="124" t="n"/>
      <c r="I722" s="124" t="n"/>
      <c r="J722" s="124" t="n"/>
      <c r="K722" s="124" t="n"/>
      <c r="L722" s="124" t="n"/>
      <c r="M722" s="124" t="n"/>
      <c r="N722" s="124" t="n"/>
      <c r="O722" s="124" t="n"/>
      <c r="P722" s="124" t="n"/>
      <c r="Q722" s="124" t="n"/>
      <c r="R722" s="124" t="n"/>
      <c r="S722" s="124" t="n"/>
      <c r="T722" s="124" t="n"/>
      <c r="U722" s="124" t="n"/>
      <c r="V722" s="124" t="n"/>
      <c r="W722" s="124" t="n"/>
      <c r="X722" s="124" t="n"/>
      <c r="Y722" s="124" t="n"/>
      <c r="Z722" s="124" t="n"/>
      <c r="AA722" s="124" t="n"/>
      <c r="AB722" s="124" t="n"/>
      <c r="AC722" s="124" t="n"/>
      <c r="AD722" s="124" t="n"/>
      <c r="AE722" s="124" t="n"/>
      <c r="AF722" s="124" t="n"/>
      <c r="AG722" s="124" t="n"/>
      <c r="AH722" s="124" t="n"/>
      <c r="AI722" s="124" t="n"/>
      <c r="AJ722" s="124" t="n"/>
      <c r="AK722" s="124" t="n"/>
      <c r="AL722" s="124" t="n"/>
      <c r="AM722" s="124" t="n"/>
      <c r="AN722" s="124" t="n"/>
      <c r="AO722" s="124" t="n"/>
      <c r="AP722" s="124" t="n"/>
      <c r="AQ722" s="124" t="n"/>
      <c r="AR722" s="124" t="n"/>
      <c r="AS722" s="124" t="n"/>
      <c r="AT722" s="124" t="n"/>
      <c r="AU722" s="124" t="n"/>
      <c r="AV722" s="124" t="n"/>
      <c r="AW722" s="124" t="n"/>
      <c r="AX722" s="124" t="n"/>
      <c r="AY722" s="124" t="n"/>
      <c r="AZ722" s="124" t="n"/>
      <c r="BA722" s="124" t="n"/>
      <c r="BB722" s="124" t="n"/>
      <c r="BC722" s="124" t="n"/>
      <c r="BD722" s="124" t="n"/>
      <c r="BE722" s="124" t="n"/>
      <c r="BF722" s="124" t="n"/>
      <c r="BG722" s="124" t="n"/>
      <c r="BH722" s="124" t="n"/>
      <c r="BI722" s="124" t="n"/>
      <c r="BJ722" s="124" t="n"/>
      <c r="BK722" s="124" t="n"/>
      <c r="BL722" s="124" t="n"/>
      <c r="BM722" s="124" t="n"/>
      <c r="BN722" s="124" t="n"/>
      <c r="BO722" s="124" t="n"/>
      <c r="BP722" s="124" t="n"/>
      <c r="BQ722" s="124" t="n"/>
      <c r="BR722" s="124" t="n"/>
      <c r="BS722" s="124" t="n"/>
      <c r="BT722" s="124" t="n"/>
      <c r="BU722" s="124" t="n"/>
      <c r="BV722" s="124" t="n"/>
      <c r="BW722" s="124" t="n"/>
      <c r="BX722" s="124" t="n"/>
      <c r="BY722" s="124" t="n"/>
      <c r="BZ722" s="124" t="n"/>
      <c r="CA722" s="124" t="n"/>
      <c r="CB722" s="124" t="n"/>
      <c r="CC722" s="124" t="n"/>
      <c r="CD722" s="124" t="n"/>
      <c r="CE722" s="124" t="n"/>
      <c r="CF722" s="124" t="n"/>
      <c r="CG722" s="124" t="n"/>
      <c r="CH722" s="124" t="n"/>
      <c r="CI722" s="124" t="n"/>
      <c r="CJ722" s="124" t="n"/>
      <c r="CK722" s="124" t="n"/>
      <c r="CL722" s="124" t="n"/>
      <c r="CM722" s="124" t="n"/>
      <c r="CN722" s="124" t="n"/>
      <c r="CO722" s="124" t="n"/>
      <c r="CP722" s="124" t="n"/>
      <c r="CQ722" s="124" t="n"/>
      <c r="CR722" s="124" t="n"/>
      <c r="CS722" s="124" t="n"/>
      <c r="CT722" s="124" t="n"/>
      <c r="CU722" s="124" t="n"/>
      <c r="CV722" s="124" t="n"/>
      <c r="CW722" s="124" t="n"/>
      <c r="CX722" s="124" t="n"/>
      <c r="CY722" s="124" t="n"/>
      <c r="CZ722" s="124" t="n"/>
      <c r="DA722" s="124" t="n"/>
      <c r="DB722" s="124" t="n"/>
      <c r="DC722" s="124" t="n"/>
      <c r="DD722" s="124" t="n"/>
      <c r="DE722" s="124" t="n"/>
      <c r="DF722" s="124" t="n"/>
      <c r="DG722" s="124" t="n"/>
      <c r="DH722" s="124" t="n"/>
      <c r="DI722" s="124" t="n"/>
      <c r="DJ722" s="124" t="n"/>
      <c r="DK722" s="124" t="n"/>
      <c r="DL722" s="124" t="n"/>
      <c r="DM722" s="124" t="n"/>
      <c r="DN722" s="124" t="n"/>
      <c r="DO722" s="124" t="n"/>
      <c r="DP722" s="124" t="n"/>
      <c r="DQ722" s="124" t="n"/>
      <c r="DR722" s="124" t="n"/>
      <c r="DS722" s="124" t="n"/>
      <c r="DT722" s="124" t="n"/>
      <c r="DU722" s="124" t="n"/>
      <c r="DV722" s="124" t="n"/>
      <c r="DW722" s="124" t="n"/>
      <c r="DX722" s="124" t="n"/>
      <c r="DY722" s="124" t="n"/>
      <c r="DZ722" s="124" t="n"/>
      <c r="EA722" s="124" t="n"/>
      <c r="EB722" s="124" t="n"/>
      <c r="EC722" s="124" t="n"/>
      <c r="ED722" s="124" t="n"/>
      <c r="EE722" s="124" t="n"/>
      <c r="EF722" s="124" t="n"/>
      <c r="EG722" s="124" t="n"/>
      <c r="EH722" s="124" t="n"/>
      <c r="EI722" s="124" t="n"/>
      <c r="EJ722" s="124" t="n"/>
      <c r="EK722" s="124" t="n"/>
      <c r="EL722" s="124" t="n"/>
      <c r="EM722" s="124" t="n"/>
      <c r="EN722" s="124" t="n"/>
      <c r="EO722" s="124" t="n"/>
      <c r="EP722" s="124" t="n"/>
      <c r="EQ722" s="124" t="n"/>
      <c r="ER722" s="124" t="n"/>
      <c r="ES722" s="124" t="n"/>
      <c r="ET722" s="124" t="n"/>
      <c r="EU722" s="124" t="n"/>
      <c r="EV722" s="124" t="n"/>
      <c r="EW722" s="124" t="n"/>
      <c r="EX722" s="124" t="n"/>
      <c r="EY722" s="124" t="n"/>
      <c r="EZ722" s="124" t="n"/>
      <c r="FA722" s="124" t="n"/>
      <c r="FB722" s="124" t="n"/>
      <c r="FC722" s="124" t="n"/>
      <c r="FD722" s="124" t="n"/>
      <c r="FE722" s="124" t="n"/>
      <c r="FF722" s="124" t="n"/>
      <c r="FG722" s="124" t="n"/>
      <c r="FH722" s="124" t="n"/>
      <c r="FI722" s="124" t="n"/>
      <c r="FJ722" s="124" t="n"/>
      <c r="FK722" s="124" t="n"/>
      <c r="FL722" s="124" t="n"/>
      <c r="FM722" s="124" t="n"/>
      <c r="FN722" s="124" t="n"/>
      <c r="FO722" s="124" t="n"/>
      <c r="FP722" s="124" t="n"/>
      <c r="FQ722" s="124" t="n"/>
      <c r="FR722" s="124" t="n"/>
      <c r="FS722" s="124" t="n"/>
      <c r="FT722" s="124" t="n"/>
      <c r="FU722" s="124" t="n"/>
      <c r="FV722" s="124" t="n"/>
      <c r="FW722" s="124" t="n"/>
      <c r="FX722" s="124" t="n"/>
      <c r="FY722" s="124" t="n"/>
      <c r="FZ722" s="124" t="n"/>
      <c r="GA722" s="124" t="n"/>
      <c r="GB722" s="124" t="n"/>
      <c r="GC722" s="124" t="n"/>
      <c r="GD722" s="124" t="n"/>
      <c r="GE722" s="124" t="n"/>
      <c r="GF722" s="124" t="n"/>
      <c r="GG722" s="124" t="n"/>
      <c r="GH722" s="124" t="n"/>
      <c r="GI722" s="124" t="n"/>
      <c r="GJ722" s="124" t="n"/>
      <c r="GK722" s="124" t="n"/>
      <c r="GL722" s="124" t="n"/>
      <c r="GM722" s="124" t="n"/>
      <c r="GN722" s="124" t="n"/>
      <c r="GO722" s="124" t="n"/>
      <c r="GP722" s="124" t="n"/>
      <c r="GQ722" s="124" t="n"/>
      <c r="GR722" s="124" t="n"/>
      <c r="GS722" s="124" t="n"/>
      <c r="GT722" s="124" t="n"/>
      <c r="GU722" s="124" t="n"/>
      <c r="GV722" s="124" t="n"/>
      <c r="GW722" s="124" t="n"/>
      <c r="GX722" s="124" t="n"/>
      <c r="GY722" s="124" t="n"/>
      <c r="GZ722" s="124" t="n"/>
      <c r="HA722" s="124" t="n"/>
      <c r="HB722" s="124" t="n"/>
      <c r="HC722" s="124" t="n"/>
      <c r="HD722" s="124" t="n"/>
      <c r="HE722" s="124" t="n"/>
      <c r="HF722" s="124" t="n"/>
      <c r="HG722" s="124" t="n"/>
      <c r="HH722" s="124" t="n"/>
      <c r="HI722" s="124" t="n"/>
      <c r="HJ722" s="124" t="n"/>
      <c r="HK722" s="124" t="n"/>
      <c r="HL722" s="124" t="n"/>
    </row>
    <row r="723" customFormat="1" s="3">
      <c r="A723" s="33" t="inlineStr">
        <is>
          <t>7 этап</t>
        </is>
      </c>
      <c r="B723" s="34" t="n"/>
      <c r="C723" s="108" t="inlineStr">
        <is>
          <t>Труба стальная электросварная Ø57х3 мм</t>
        </is>
      </c>
      <c r="D723" s="36" t="inlineStr">
        <is>
          <t>м</t>
        </is>
      </c>
      <c r="E723" s="123" t="n">
        <v>25</v>
      </c>
      <c r="F723" s="124" t="n"/>
      <c r="G723" s="124" t="n"/>
      <c r="H723" s="124" t="n"/>
      <c r="I723" s="124" t="n"/>
      <c r="J723" s="124" t="n"/>
      <c r="K723" s="124" t="n"/>
      <c r="L723" s="124" t="n"/>
      <c r="M723" s="124" t="n"/>
      <c r="N723" s="124" t="n"/>
      <c r="O723" s="124" t="n"/>
      <c r="P723" s="124" t="n"/>
      <c r="Q723" s="124" t="n"/>
      <c r="R723" s="124" t="n"/>
      <c r="S723" s="124" t="n"/>
      <c r="T723" s="124" t="n"/>
      <c r="U723" s="124" t="n"/>
      <c r="V723" s="124" t="n"/>
      <c r="W723" s="124" t="n"/>
      <c r="X723" s="124" t="n"/>
      <c r="Y723" s="124" t="n"/>
      <c r="Z723" s="124" t="n"/>
      <c r="AA723" s="124" t="n"/>
      <c r="AB723" s="124" t="n"/>
      <c r="AC723" s="124" t="n"/>
      <c r="AD723" s="124" t="n"/>
      <c r="AE723" s="124" t="n"/>
      <c r="AF723" s="124" t="n"/>
      <c r="AG723" s="124" t="n"/>
      <c r="AH723" s="124" t="n"/>
      <c r="AI723" s="124" t="n"/>
      <c r="AJ723" s="124" t="n"/>
      <c r="AK723" s="124" t="n"/>
      <c r="AL723" s="124" t="n"/>
      <c r="AM723" s="124" t="n"/>
      <c r="AN723" s="124" t="n"/>
      <c r="AO723" s="124" t="n"/>
      <c r="AP723" s="124" t="n"/>
      <c r="AQ723" s="124" t="n"/>
      <c r="AR723" s="124" t="n"/>
      <c r="AS723" s="124" t="n"/>
      <c r="AT723" s="124" t="n"/>
      <c r="AU723" s="124" t="n"/>
      <c r="AV723" s="124" t="n"/>
      <c r="AW723" s="124" t="n"/>
      <c r="AX723" s="124" t="n"/>
      <c r="AY723" s="124" t="n"/>
      <c r="AZ723" s="124" t="n"/>
      <c r="BA723" s="124" t="n"/>
      <c r="BB723" s="124" t="n"/>
      <c r="BC723" s="124" t="n"/>
      <c r="BD723" s="124" t="n"/>
      <c r="BE723" s="124" t="n"/>
      <c r="BF723" s="124" t="n"/>
      <c r="BG723" s="124" t="n"/>
      <c r="BH723" s="124" t="n"/>
      <c r="BI723" s="124" t="n"/>
      <c r="BJ723" s="124" t="n"/>
      <c r="BK723" s="124" t="n"/>
      <c r="BL723" s="124" t="n"/>
      <c r="BM723" s="124" t="n"/>
      <c r="BN723" s="124" t="n"/>
      <c r="BO723" s="124" t="n"/>
      <c r="BP723" s="124" t="n"/>
      <c r="BQ723" s="124" t="n"/>
      <c r="BR723" s="124" t="n"/>
      <c r="BS723" s="124" t="n"/>
      <c r="BT723" s="124" t="n"/>
      <c r="BU723" s="124" t="n"/>
      <c r="BV723" s="124" t="n"/>
      <c r="BW723" s="124" t="n"/>
      <c r="BX723" s="124" t="n"/>
      <c r="BY723" s="124" t="n"/>
      <c r="BZ723" s="124" t="n"/>
      <c r="CA723" s="124" t="n"/>
      <c r="CB723" s="124" t="n"/>
      <c r="CC723" s="124" t="n"/>
      <c r="CD723" s="124" t="n"/>
      <c r="CE723" s="124" t="n"/>
      <c r="CF723" s="124" t="n"/>
      <c r="CG723" s="124" t="n"/>
      <c r="CH723" s="124" t="n"/>
      <c r="CI723" s="124" t="n"/>
      <c r="CJ723" s="124" t="n"/>
      <c r="CK723" s="124" t="n"/>
      <c r="CL723" s="124" t="n"/>
      <c r="CM723" s="124" t="n"/>
      <c r="CN723" s="124" t="n"/>
      <c r="CO723" s="124" t="n"/>
      <c r="CP723" s="124" t="n"/>
      <c r="CQ723" s="124" t="n"/>
      <c r="CR723" s="124" t="n"/>
      <c r="CS723" s="124" t="n"/>
      <c r="CT723" s="124" t="n"/>
      <c r="CU723" s="124" t="n"/>
      <c r="CV723" s="124" t="n"/>
      <c r="CW723" s="124" t="n"/>
      <c r="CX723" s="124" t="n"/>
      <c r="CY723" s="124" t="n"/>
      <c r="CZ723" s="124" t="n"/>
      <c r="DA723" s="124" t="n"/>
      <c r="DB723" s="124" t="n"/>
      <c r="DC723" s="124" t="n"/>
      <c r="DD723" s="124" t="n"/>
      <c r="DE723" s="124" t="n"/>
      <c r="DF723" s="124" t="n"/>
      <c r="DG723" s="124" t="n"/>
      <c r="DH723" s="124" t="n"/>
      <c r="DI723" s="124" t="n"/>
      <c r="DJ723" s="124" t="n"/>
      <c r="DK723" s="124" t="n"/>
      <c r="DL723" s="124" t="n"/>
      <c r="DM723" s="124" t="n"/>
      <c r="DN723" s="124" t="n"/>
      <c r="DO723" s="124" t="n"/>
      <c r="DP723" s="124" t="n"/>
      <c r="DQ723" s="124" t="n"/>
      <c r="DR723" s="124" t="n"/>
      <c r="DS723" s="124" t="n"/>
      <c r="DT723" s="124" t="n"/>
      <c r="DU723" s="124" t="n"/>
      <c r="DV723" s="124" t="n"/>
      <c r="DW723" s="124" t="n"/>
      <c r="DX723" s="124" t="n"/>
      <c r="DY723" s="124" t="n"/>
      <c r="DZ723" s="124" t="n"/>
      <c r="EA723" s="124" t="n"/>
      <c r="EB723" s="124" t="n"/>
      <c r="EC723" s="124" t="n"/>
      <c r="ED723" s="124" t="n"/>
      <c r="EE723" s="124" t="n"/>
      <c r="EF723" s="124" t="n"/>
      <c r="EG723" s="124" t="n"/>
      <c r="EH723" s="124" t="n"/>
      <c r="EI723" s="124" t="n"/>
      <c r="EJ723" s="124" t="n"/>
      <c r="EK723" s="124" t="n"/>
      <c r="EL723" s="124" t="n"/>
      <c r="EM723" s="124" t="n"/>
      <c r="EN723" s="124" t="n"/>
      <c r="EO723" s="124" t="n"/>
      <c r="EP723" s="124" t="n"/>
      <c r="EQ723" s="124" t="n"/>
      <c r="ER723" s="124" t="n"/>
      <c r="ES723" s="124" t="n"/>
      <c r="ET723" s="124" t="n"/>
      <c r="EU723" s="124" t="n"/>
      <c r="EV723" s="124" t="n"/>
      <c r="EW723" s="124" t="n"/>
      <c r="EX723" s="124" t="n"/>
      <c r="EY723" s="124" t="n"/>
      <c r="EZ723" s="124" t="n"/>
      <c r="FA723" s="124" t="n"/>
      <c r="FB723" s="124" t="n"/>
      <c r="FC723" s="124" t="n"/>
      <c r="FD723" s="124" t="n"/>
      <c r="FE723" s="124" t="n"/>
      <c r="FF723" s="124" t="n"/>
      <c r="FG723" s="124" t="n"/>
      <c r="FH723" s="124" t="n"/>
      <c r="FI723" s="124" t="n"/>
      <c r="FJ723" s="124" t="n"/>
      <c r="FK723" s="124" t="n"/>
      <c r="FL723" s="124" t="n"/>
      <c r="FM723" s="124" t="n"/>
      <c r="FN723" s="124" t="n"/>
      <c r="FO723" s="124" t="n"/>
      <c r="FP723" s="124" t="n"/>
      <c r="FQ723" s="124" t="n"/>
      <c r="FR723" s="124" t="n"/>
      <c r="FS723" s="124" t="n"/>
      <c r="FT723" s="124" t="n"/>
      <c r="FU723" s="124" t="n"/>
      <c r="FV723" s="124" t="n"/>
      <c r="FW723" s="124" t="n"/>
      <c r="FX723" s="124" t="n"/>
      <c r="FY723" s="124" t="n"/>
      <c r="FZ723" s="124" t="n"/>
      <c r="GA723" s="124" t="n"/>
      <c r="GB723" s="124" t="n"/>
      <c r="GC723" s="124" t="n"/>
      <c r="GD723" s="124" t="n"/>
      <c r="GE723" s="124" t="n"/>
      <c r="GF723" s="124" t="n"/>
      <c r="GG723" s="124" t="n"/>
      <c r="GH723" s="124" t="n"/>
      <c r="GI723" s="124" t="n"/>
      <c r="GJ723" s="124" t="n"/>
      <c r="GK723" s="124" t="n"/>
      <c r="GL723" s="124" t="n"/>
      <c r="GM723" s="124" t="n"/>
      <c r="GN723" s="124" t="n"/>
      <c r="GO723" s="124" t="n"/>
      <c r="GP723" s="124" t="n"/>
      <c r="GQ723" s="124" t="n"/>
      <c r="GR723" s="124" t="n"/>
      <c r="GS723" s="124" t="n"/>
      <c r="GT723" s="124" t="n"/>
      <c r="GU723" s="124" t="n"/>
      <c r="GV723" s="124" t="n"/>
      <c r="GW723" s="124" t="n"/>
      <c r="GX723" s="124" t="n"/>
      <c r="GY723" s="124" t="n"/>
      <c r="GZ723" s="124" t="n"/>
      <c r="HA723" s="124" t="n"/>
      <c r="HB723" s="124" t="n"/>
      <c r="HC723" s="124" t="n"/>
      <c r="HD723" s="124" t="n"/>
      <c r="HE723" s="124" t="n"/>
      <c r="HF723" s="124" t="n"/>
      <c r="HG723" s="124" t="n"/>
      <c r="HH723" s="124" t="n"/>
      <c r="HI723" s="124" t="n"/>
      <c r="HJ723" s="124" t="n"/>
      <c r="HK723" s="124" t="n"/>
      <c r="HL723" s="124" t="n"/>
    </row>
    <row r="724" customFormat="1" s="3">
      <c r="A724" s="33" t="inlineStr">
        <is>
          <t>7 этап</t>
        </is>
      </c>
      <c r="B724" s="34" t="n"/>
      <c r="C724" s="108" t="inlineStr">
        <is>
          <t>Труба стальная электросварная Ø89х4 мм</t>
        </is>
      </c>
      <c r="D724" s="36" t="inlineStr">
        <is>
          <t>м</t>
        </is>
      </c>
      <c r="E724" s="123" t="n">
        <v>92</v>
      </c>
      <c r="F724" s="124" t="n"/>
      <c r="G724" s="124" t="n"/>
      <c r="H724" s="124" t="n"/>
      <c r="I724" s="124" t="n"/>
      <c r="J724" s="124" t="n"/>
      <c r="K724" s="124" t="n"/>
      <c r="L724" s="124" t="n"/>
      <c r="M724" s="124" t="n"/>
      <c r="N724" s="124" t="n"/>
      <c r="O724" s="124" t="n"/>
      <c r="P724" s="124" t="n"/>
      <c r="Q724" s="124" t="n"/>
      <c r="R724" s="124" t="n"/>
      <c r="S724" s="124" t="n"/>
      <c r="T724" s="124" t="n"/>
      <c r="U724" s="124" t="n"/>
      <c r="V724" s="124" t="n"/>
      <c r="W724" s="124" t="n"/>
      <c r="X724" s="124" t="n"/>
      <c r="Y724" s="124" t="n"/>
      <c r="Z724" s="124" t="n"/>
      <c r="AA724" s="124" t="n"/>
      <c r="AB724" s="124" t="n"/>
      <c r="AC724" s="124" t="n"/>
      <c r="AD724" s="124" t="n"/>
      <c r="AE724" s="124" t="n"/>
      <c r="AF724" s="124" t="n"/>
      <c r="AG724" s="124" t="n"/>
      <c r="AH724" s="124" t="n"/>
      <c r="AI724" s="124" t="n"/>
      <c r="AJ724" s="124" t="n"/>
      <c r="AK724" s="124" t="n"/>
      <c r="AL724" s="124" t="n"/>
      <c r="AM724" s="124" t="n"/>
      <c r="AN724" s="124" t="n"/>
      <c r="AO724" s="124" t="n"/>
      <c r="AP724" s="124" t="n"/>
      <c r="AQ724" s="124" t="n"/>
      <c r="AR724" s="124" t="n"/>
      <c r="AS724" s="124" t="n"/>
      <c r="AT724" s="124" t="n"/>
      <c r="AU724" s="124" t="n"/>
      <c r="AV724" s="124" t="n"/>
      <c r="AW724" s="124" t="n"/>
      <c r="AX724" s="124" t="n"/>
      <c r="AY724" s="124" t="n"/>
      <c r="AZ724" s="124" t="n"/>
      <c r="BA724" s="124" t="n"/>
      <c r="BB724" s="124" t="n"/>
      <c r="BC724" s="124" t="n"/>
      <c r="BD724" s="124" t="n"/>
      <c r="BE724" s="124" t="n"/>
      <c r="BF724" s="124" t="n"/>
      <c r="BG724" s="124" t="n"/>
      <c r="BH724" s="124" t="n"/>
      <c r="BI724" s="124" t="n"/>
      <c r="BJ724" s="124" t="n"/>
      <c r="BK724" s="124" t="n"/>
      <c r="BL724" s="124" t="n"/>
      <c r="BM724" s="124" t="n"/>
      <c r="BN724" s="124" t="n"/>
      <c r="BO724" s="124" t="n"/>
      <c r="BP724" s="124" t="n"/>
      <c r="BQ724" s="124" t="n"/>
      <c r="BR724" s="124" t="n"/>
      <c r="BS724" s="124" t="n"/>
      <c r="BT724" s="124" t="n"/>
      <c r="BU724" s="124" t="n"/>
      <c r="BV724" s="124" t="n"/>
      <c r="BW724" s="124" t="n"/>
      <c r="BX724" s="124" t="n"/>
      <c r="BY724" s="124" t="n"/>
      <c r="BZ724" s="124" t="n"/>
      <c r="CA724" s="124" t="n"/>
      <c r="CB724" s="124" t="n"/>
      <c r="CC724" s="124" t="n"/>
      <c r="CD724" s="124" t="n"/>
      <c r="CE724" s="124" t="n"/>
      <c r="CF724" s="124" t="n"/>
      <c r="CG724" s="124" t="n"/>
      <c r="CH724" s="124" t="n"/>
      <c r="CI724" s="124" t="n"/>
      <c r="CJ724" s="124" t="n"/>
      <c r="CK724" s="124" t="n"/>
      <c r="CL724" s="124" t="n"/>
      <c r="CM724" s="124" t="n"/>
      <c r="CN724" s="124" t="n"/>
      <c r="CO724" s="124" t="n"/>
      <c r="CP724" s="124" t="n"/>
      <c r="CQ724" s="124" t="n"/>
      <c r="CR724" s="124" t="n"/>
      <c r="CS724" s="124" t="n"/>
      <c r="CT724" s="124" t="n"/>
      <c r="CU724" s="124" t="n"/>
      <c r="CV724" s="124" t="n"/>
      <c r="CW724" s="124" t="n"/>
      <c r="CX724" s="124" t="n"/>
      <c r="CY724" s="124" t="n"/>
      <c r="CZ724" s="124" t="n"/>
      <c r="DA724" s="124" t="n"/>
      <c r="DB724" s="124" t="n"/>
      <c r="DC724" s="124" t="n"/>
      <c r="DD724" s="124" t="n"/>
      <c r="DE724" s="124" t="n"/>
      <c r="DF724" s="124" t="n"/>
      <c r="DG724" s="124" t="n"/>
      <c r="DH724" s="124" t="n"/>
      <c r="DI724" s="124" t="n"/>
      <c r="DJ724" s="124" t="n"/>
      <c r="DK724" s="124" t="n"/>
      <c r="DL724" s="124" t="n"/>
      <c r="DM724" s="124" t="n"/>
      <c r="DN724" s="124" t="n"/>
      <c r="DO724" s="124" t="n"/>
      <c r="DP724" s="124" t="n"/>
      <c r="DQ724" s="124" t="n"/>
      <c r="DR724" s="124" t="n"/>
      <c r="DS724" s="124" t="n"/>
      <c r="DT724" s="124" t="n"/>
      <c r="DU724" s="124" t="n"/>
      <c r="DV724" s="124" t="n"/>
      <c r="DW724" s="124" t="n"/>
      <c r="DX724" s="124" t="n"/>
      <c r="DY724" s="124" t="n"/>
      <c r="DZ724" s="124" t="n"/>
      <c r="EA724" s="124" t="n"/>
      <c r="EB724" s="124" t="n"/>
      <c r="EC724" s="124" t="n"/>
      <c r="ED724" s="124" t="n"/>
      <c r="EE724" s="124" t="n"/>
      <c r="EF724" s="124" t="n"/>
      <c r="EG724" s="124" t="n"/>
      <c r="EH724" s="124" t="n"/>
      <c r="EI724" s="124" t="n"/>
      <c r="EJ724" s="124" t="n"/>
      <c r="EK724" s="124" t="n"/>
      <c r="EL724" s="124" t="n"/>
      <c r="EM724" s="124" t="n"/>
      <c r="EN724" s="124" t="n"/>
      <c r="EO724" s="124" t="n"/>
      <c r="EP724" s="124" t="n"/>
      <c r="EQ724" s="124" t="n"/>
      <c r="ER724" s="124" t="n"/>
      <c r="ES724" s="124" t="n"/>
      <c r="ET724" s="124" t="n"/>
      <c r="EU724" s="124" t="n"/>
      <c r="EV724" s="124" t="n"/>
      <c r="EW724" s="124" t="n"/>
      <c r="EX724" s="124" t="n"/>
      <c r="EY724" s="124" t="n"/>
      <c r="EZ724" s="124" t="n"/>
      <c r="FA724" s="124" t="n"/>
      <c r="FB724" s="124" t="n"/>
      <c r="FC724" s="124" t="n"/>
      <c r="FD724" s="124" t="n"/>
      <c r="FE724" s="124" t="n"/>
      <c r="FF724" s="124" t="n"/>
      <c r="FG724" s="124" t="n"/>
      <c r="FH724" s="124" t="n"/>
      <c r="FI724" s="124" t="n"/>
      <c r="FJ724" s="124" t="n"/>
      <c r="FK724" s="124" t="n"/>
      <c r="FL724" s="124" t="n"/>
      <c r="FM724" s="124" t="n"/>
      <c r="FN724" s="124" t="n"/>
      <c r="FO724" s="124" t="n"/>
      <c r="FP724" s="124" t="n"/>
      <c r="FQ724" s="124" t="n"/>
      <c r="FR724" s="124" t="n"/>
      <c r="FS724" s="124" t="n"/>
      <c r="FT724" s="124" t="n"/>
      <c r="FU724" s="124" t="n"/>
      <c r="FV724" s="124" t="n"/>
      <c r="FW724" s="124" t="n"/>
      <c r="FX724" s="124" t="n"/>
      <c r="FY724" s="124" t="n"/>
      <c r="FZ724" s="124" t="n"/>
      <c r="GA724" s="124" t="n"/>
      <c r="GB724" s="124" t="n"/>
      <c r="GC724" s="124" t="n"/>
      <c r="GD724" s="124" t="n"/>
      <c r="GE724" s="124" t="n"/>
      <c r="GF724" s="124" t="n"/>
      <c r="GG724" s="124" t="n"/>
      <c r="GH724" s="124" t="n"/>
      <c r="GI724" s="124" t="n"/>
      <c r="GJ724" s="124" t="n"/>
      <c r="GK724" s="124" t="n"/>
      <c r="GL724" s="124" t="n"/>
      <c r="GM724" s="124" t="n"/>
      <c r="GN724" s="124" t="n"/>
      <c r="GO724" s="124" t="n"/>
      <c r="GP724" s="124" t="n"/>
      <c r="GQ724" s="124" t="n"/>
      <c r="GR724" s="124" t="n"/>
      <c r="GS724" s="124" t="n"/>
      <c r="GT724" s="124" t="n"/>
      <c r="GU724" s="124" t="n"/>
      <c r="GV724" s="124" t="n"/>
      <c r="GW724" s="124" t="n"/>
      <c r="GX724" s="124" t="n"/>
      <c r="GY724" s="124" t="n"/>
      <c r="GZ724" s="124" t="n"/>
      <c r="HA724" s="124" t="n"/>
      <c r="HB724" s="124" t="n"/>
      <c r="HC724" s="124" t="n"/>
      <c r="HD724" s="124" t="n"/>
      <c r="HE724" s="124" t="n"/>
      <c r="HF724" s="124" t="n"/>
      <c r="HG724" s="124" t="n"/>
      <c r="HH724" s="124" t="n"/>
      <c r="HI724" s="124" t="n"/>
      <c r="HJ724" s="124" t="n"/>
      <c r="HK724" s="124" t="n"/>
      <c r="HL724" s="124" t="n"/>
    </row>
    <row r="725" customFormat="1" s="3">
      <c r="A725" s="33" t="inlineStr">
        <is>
          <t>7 этап</t>
        </is>
      </c>
      <c r="B725" s="34" t="n"/>
      <c r="C725" s="108" t="inlineStr">
        <is>
          <t>Труба стальная электросварная Ø108х4 мм</t>
        </is>
      </c>
      <c r="D725" s="36" t="inlineStr">
        <is>
          <t>м</t>
        </is>
      </c>
      <c r="E725" s="123" t="n">
        <v>116</v>
      </c>
      <c r="F725" s="124" t="n"/>
      <c r="G725" s="124" t="n"/>
      <c r="H725" s="124" t="n"/>
      <c r="I725" s="124" t="n"/>
      <c r="J725" s="124" t="n"/>
      <c r="K725" s="124" t="n"/>
      <c r="L725" s="124" t="n"/>
      <c r="M725" s="124" t="n"/>
      <c r="N725" s="124" t="n"/>
      <c r="O725" s="124" t="n"/>
      <c r="P725" s="124" t="n"/>
      <c r="Q725" s="124" t="n"/>
      <c r="R725" s="124" t="n"/>
      <c r="S725" s="124" t="n"/>
      <c r="T725" s="124" t="n"/>
      <c r="U725" s="124" t="n"/>
      <c r="V725" s="124" t="n"/>
      <c r="W725" s="124" t="n"/>
      <c r="X725" s="124" t="n"/>
      <c r="Y725" s="124" t="n"/>
      <c r="Z725" s="124" t="n"/>
      <c r="AA725" s="124" t="n"/>
      <c r="AB725" s="124" t="n"/>
      <c r="AC725" s="124" t="n"/>
      <c r="AD725" s="124" t="n"/>
      <c r="AE725" s="124" t="n"/>
      <c r="AF725" s="124" t="n"/>
      <c r="AG725" s="124" t="n"/>
      <c r="AH725" s="124" t="n"/>
      <c r="AI725" s="124" t="n"/>
      <c r="AJ725" s="124" t="n"/>
      <c r="AK725" s="124" t="n"/>
      <c r="AL725" s="124" t="n"/>
      <c r="AM725" s="124" t="n"/>
      <c r="AN725" s="124" t="n"/>
      <c r="AO725" s="124" t="n"/>
      <c r="AP725" s="124" t="n"/>
      <c r="AQ725" s="124" t="n"/>
      <c r="AR725" s="124" t="n"/>
      <c r="AS725" s="124" t="n"/>
      <c r="AT725" s="124" t="n"/>
      <c r="AU725" s="124" t="n"/>
      <c r="AV725" s="124" t="n"/>
      <c r="AW725" s="124" t="n"/>
      <c r="AX725" s="124" t="n"/>
      <c r="AY725" s="124" t="n"/>
      <c r="AZ725" s="124" t="n"/>
      <c r="BA725" s="124" t="n"/>
      <c r="BB725" s="124" t="n"/>
      <c r="BC725" s="124" t="n"/>
      <c r="BD725" s="124" t="n"/>
      <c r="BE725" s="124" t="n"/>
      <c r="BF725" s="124" t="n"/>
      <c r="BG725" s="124" t="n"/>
      <c r="BH725" s="124" t="n"/>
      <c r="BI725" s="124" t="n"/>
      <c r="BJ725" s="124" t="n"/>
      <c r="BK725" s="124" t="n"/>
      <c r="BL725" s="124" t="n"/>
      <c r="BM725" s="124" t="n"/>
      <c r="BN725" s="124" t="n"/>
      <c r="BO725" s="124" t="n"/>
      <c r="BP725" s="124" t="n"/>
      <c r="BQ725" s="124" t="n"/>
      <c r="BR725" s="124" t="n"/>
      <c r="BS725" s="124" t="n"/>
      <c r="BT725" s="124" t="n"/>
      <c r="BU725" s="124" t="n"/>
      <c r="BV725" s="124" t="n"/>
      <c r="BW725" s="124" t="n"/>
      <c r="BX725" s="124" t="n"/>
      <c r="BY725" s="124" t="n"/>
      <c r="BZ725" s="124" t="n"/>
      <c r="CA725" s="124" t="n"/>
      <c r="CB725" s="124" t="n"/>
      <c r="CC725" s="124" t="n"/>
      <c r="CD725" s="124" t="n"/>
      <c r="CE725" s="124" t="n"/>
      <c r="CF725" s="124" t="n"/>
      <c r="CG725" s="124" t="n"/>
      <c r="CH725" s="124" t="n"/>
      <c r="CI725" s="124" t="n"/>
      <c r="CJ725" s="124" t="n"/>
      <c r="CK725" s="124" t="n"/>
      <c r="CL725" s="124" t="n"/>
      <c r="CM725" s="124" t="n"/>
      <c r="CN725" s="124" t="n"/>
      <c r="CO725" s="124" t="n"/>
      <c r="CP725" s="124" t="n"/>
      <c r="CQ725" s="124" t="n"/>
      <c r="CR725" s="124" t="n"/>
      <c r="CS725" s="124" t="n"/>
      <c r="CT725" s="124" t="n"/>
      <c r="CU725" s="124" t="n"/>
      <c r="CV725" s="124" t="n"/>
      <c r="CW725" s="124" t="n"/>
      <c r="CX725" s="124" t="n"/>
      <c r="CY725" s="124" t="n"/>
      <c r="CZ725" s="124" t="n"/>
      <c r="DA725" s="124" t="n"/>
      <c r="DB725" s="124" t="n"/>
      <c r="DC725" s="124" t="n"/>
      <c r="DD725" s="124" t="n"/>
      <c r="DE725" s="124" t="n"/>
      <c r="DF725" s="124" t="n"/>
      <c r="DG725" s="124" t="n"/>
      <c r="DH725" s="124" t="n"/>
      <c r="DI725" s="124" t="n"/>
      <c r="DJ725" s="124" t="n"/>
      <c r="DK725" s="124" t="n"/>
      <c r="DL725" s="124" t="n"/>
      <c r="DM725" s="124" t="n"/>
      <c r="DN725" s="124" t="n"/>
      <c r="DO725" s="124" t="n"/>
      <c r="DP725" s="124" t="n"/>
      <c r="DQ725" s="124" t="n"/>
      <c r="DR725" s="124" t="n"/>
      <c r="DS725" s="124" t="n"/>
      <c r="DT725" s="124" t="n"/>
      <c r="DU725" s="124" t="n"/>
      <c r="DV725" s="124" t="n"/>
      <c r="DW725" s="124" t="n"/>
      <c r="DX725" s="124" t="n"/>
      <c r="DY725" s="124" t="n"/>
      <c r="DZ725" s="124" t="n"/>
      <c r="EA725" s="124" t="n"/>
      <c r="EB725" s="124" t="n"/>
      <c r="EC725" s="124" t="n"/>
      <c r="ED725" s="124" t="n"/>
      <c r="EE725" s="124" t="n"/>
      <c r="EF725" s="124" t="n"/>
      <c r="EG725" s="124" t="n"/>
      <c r="EH725" s="124" t="n"/>
      <c r="EI725" s="124" t="n"/>
      <c r="EJ725" s="124" t="n"/>
      <c r="EK725" s="124" t="n"/>
      <c r="EL725" s="124" t="n"/>
      <c r="EM725" s="124" t="n"/>
      <c r="EN725" s="124" t="n"/>
      <c r="EO725" s="124" t="n"/>
      <c r="EP725" s="124" t="n"/>
      <c r="EQ725" s="124" t="n"/>
      <c r="ER725" s="124" t="n"/>
      <c r="ES725" s="124" t="n"/>
      <c r="ET725" s="124" t="n"/>
      <c r="EU725" s="124" t="n"/>
      <c r="EV725" s="124" t="n"/>
      <c r="EW725" s="124" t="n"/>
      <c r="EX725" s="124" t="n"/>
      <c r="EY725" s="124" t="n"/>
      <c r="EZ725" s="124" t="n"/>
      <c r="FA725" s="124" t="n"/>
      <c r="FB725" s="124" t="n"/>
      <c r="FC725" s="124" t="n"/>
      <c r="FD725" s="124" t="n"/>
      <c r="FE725" s="124" t="n"/>
      <c r="FF725" s="124" t="n"/>
      <c r="FG725" s="124" t="n"/>
      <c r="FH725" s="124" t="n"/>
      <c r="FI725" s="124" t="n"/>
      <c r="FJ725" s="124" t="n"/>
      <c r="FK725" s="124" t="n"/>
      <c r="FL725" s="124" t="n"/>
      <c r="FM725" s="124" t="n"/>
      <c r="FN725" s="124" t="n"/>
      <c r="FO725" s="124" t="n"/>
      <c r="FP725" s="124" t="n"/>
      <c r="FQ725" s="124" t="n"/>
      <c r="FR725" s="124" t="n"/>
      <c r="FS725" s="124" t="n"/>
      <c r="FT725" s="124" t="n"/>
      <c r="FU725" s="124" t="n"/>
      <c r="FV725" s="124" t="n"/>
      <c r="FW725" s="124" t="n"/>
      <c r="FX725" s="124" t="n"/>
      <c r="FY725" s="124" t="n"/>
      <c r="FZ725" s="124" t="n"/>
      <c r="GA725" s="124" t="n"/>
      <c r="GB725" s="124" t="n"/>
      <c r="GC725" s="124" t="n"/>
      <c r="GD725" s="124" t="n"/>
      <c r="GE725" s="124" t="n"/>
      <c r="GF725" s="124" t="n"/>
      <c r="GG725" s="124" t="n"/>
      <c r="GH725" s="124" t="n"/>
      <c r="GI725" s="124" t="n"/>
      <c r="GJ725" s="124" t="n"/>
      <c r="GK725" s="124" t="n"/>
      <c r="GL725" s="124" t="n"/>
      <c r="GM725" s="124" t="n"/>
      <c r="GN725" s="124" t="n"/>
      <c r="GO725" s="124" t="n"/>
      <c r="GP725" s="124" t="n"/>
      <c r="GQ725" s="124" t="n"/>
      <c r="GR725" s="124" t="n"/>
      <c r="GS725" s="124" t="n"/>
      <c r="GT725" s="124" t="n"/>
      <c r="GU725" s="124" t="n"/>
      <c r="GV725" s="124" t="n"/>
      <c r="GW725" s="124" t="n"/>
      <c r="GX725" s="124" t="n"/>
      <c r="GY725" s="124" t="n"/>
      <c r="GZ725" s="124" t="n"/>
      <c r="HA725" s="124" t="n"/>
      <c r="HB725" s="124" t="n"/>
      <c r="HC725" s="124" t="n"/>
      <c r="HD725" s="124" t="n"/>
      <c r="HE725" s="124" t="n"/>
      <c r="HF725" s="124" t="n"/>
      <c r="HG725" s="124" t="n"/>
      <c r="HH725" s="124" t="n"/>
      <c r="HI725" s="124" t="n"/>
      <c r="HJ725" s="124" t="n"/>
      <c r="HK725" s="124" t="n"/>
      <c r="HL725" s="124" t="n"/>
    </row>
    <row r="726" customFormat="1" s="3">
      <c r="A726" s="33" t="inlineStr">
        <is>
          <t>7 этап</t>
        </is>
      </c>
      <c r="B726" s="34" t="n"/>
      <c r="C726" s="108" t="inlineStr">
        <is>
          <t>Футляр стальной  Ø273х4 мм</t>
        </is>
      </c>
      <c r="D726" s="36" t="inlineStr">
        <is>
          <t>м</t>
        </is>
      </c>
      <c r="E726" s="123" t="n">
        <v>134.6</v>
      </c>
      <c r="F726" s="124" t="n"/>
      <c r="G726" s="124" t="n"/>
      <c r="H726" s="124" t="n"/>
      <c r="I726" s="124" t="n"/>
      <c r="J726" s="124" t="n"/>
      <c r="K726" s="124" t="n"/>
      <c r="L726" s="124" t="n"/>
      <c r="M726" s="124" t="n"/>
      <c r="N726" s="124" t="n"/>
      <c r="O726" s="124" t="n"/>
      <c r="P726" s="124" t="n"/>
      <c r="Q726" s="124" t="n"/>
      <c r="R726" s="124" t="n"/>
      <c r="S726" s="124" t="n"/>
      <c r="T726" s="124" t="n"/>
      <c r="U726" s="124" t="n"/>
      <c r="V726" s="124" t="n"/>
      <c r="W726" s="124" t="n"/>
      <c r="X726" s="124" t="n"/>
      <c r="Y726" s="124" t="n"/>
      <c r="Z726" s="124" t="n"/>
      <c r="AA726" s="124" t="n"/>
      <c r="AB726" s="124" t="n"/>
      <c r="AC726" s="124" t="n"/>
      <c r="AD726" s="124" t="n"/>
      <c r="AE726" s="124" t="n"/>
      <c r="AF726" s="124" t="n"/>
      <c r="AG726" s="124" t="n"/>
      <c r="AH726" s="124" t="n"/>
      <c r="AI726" s="124" t="n"/>
      <c r="AJ726" s="124" t="n"/>
      <c r="AK726" s="124" t="n"/>
      <c r="AL726" s="124" t="n"/>
      <c r="AM726" s="124" t="n"/>
      <c r="AN726" s="124" t="n"/>
      <c r="AO726" s="124" t="n"/>
      <c r="AP726" s="124" t="n"/>
      <c r="AQ726" s="124" t="n"/>
      <c r="AR726" s="124" t="n"/>
      <c r="AS726" s="124" t="n"/>
      <c r="AT726" s="124" t="n"/>
      <c r="AU726" s="124" t="n"/>
      <c r="AV726" s="124" t="n"/>
      <c r="AW726" s="124" t="n"/>
      <c r="AX726" s="124" t="n"/>
      <c r="AY726" s="124" t="n"/>
      <c r="AZ726" s="124" t="n"/>
      <c r="BA726" s="124" t="n"/>
      <c r="BB726" s="124" t="n"/>
      <c r="BC726" s="124" t="n"/>
      <c r="BD726" s="124" t="n"/>
      <c r="BE726" s="124" t="n"/>
      <c r="BF726" s="124" t="n"/>
      <c r="BG726" s="124" t="n"/>
      <c r="BH726" s="124" t="n"/>
      <c r="BI726" s="124" t="n"/>
      <c r="BJ726" s="124" t="n"/>
      <c r="BK726" s="124" t="n"/>
      <c r="BL726" s="124" t="n"/>
      <c r="BM726" s="124" t="n"/>
      <c r="BN726" s="124" t="n"/>
      <c r="BO726" s="124" t="n"/>
      <c r="BP726" s="124" t="n"/>
      <c r="BQ726" s="124" t="n"/>
      <c r="BR726" s="124" t="n"/>
      <c r="BS726" s="124" t="n"/>
      <c r="BT726" s="124" t="n"/>
      <c r="BU726" s="124" t="n"/>
      <c r="BV726" s="124" t="n"/>
      <c r="BW726" s="124" t="n"/>
      <c r="BX726" s="124" t="n"/>
      <c r="BY726" s="124" t="n"/>
      <c r="BZ726" s="124" t="n"/>
      <c r="CA726" s="124" t="n"/>
      <c r="CB726" s="124" t="n"/>
      <c r="CC726" s="124" t="n"/>
      <c r="CD726" s="124" t="n"/>
      <c r="CE726" s="124" t="n"/>
      <c r="CF726" s="124" t="n"/>
      <c r="CG726" s="124" t="n"/>
      <c r="CH726" s="124" t="n"/>
      <c r="CI726" s="124" t="n"/>
      <c r="CJ726" s="124" t="n"/>
      <c r="CK726" s="124" t="n"/>
      <c r="CL726" s="124" t="n"/>
      <c r="CM726" s="124" t="n"/>
      <c r="CN726" s="124" t="n"/>
      <c r="CO726" s="124" t="n"/>
      <c r="CP726" s="124" t="n"/>
      <c r="CQ726" s="124" t="n"/>
      <c r="CR726" s="124" t="n"/>
      <c r="CS726" s="124" t="n"/>
      <c r="CT726" s="124" t="n"/>
      <c r="CU726" s="124" t="n"/>
      <c r="CV726" s="124" t="n"/>
      <c r="CW726" s="124" t="n"/>
      <c r="CX726" s="124" t="n"/>
      <c r="CY726" s="124" t="n"/>
      <c r="CZ726" s="124" t="n"/>
      <c r="DA726" s="124" t="n"/>
      <c r="DB726" s="124" t="n"/>
      <c r="DC726" s="124" t="n"/>
      <c r="DD726" s="124" t="n"/>
      <c r="DE726" s="124" t="n"/>
      <c r="DF726" s="124" t="n"/>
      <c r="DG726" s="124" t="n"/>
      <c r="DH726" s="124" t="n"/>
      <c r="DI726" s="124" t="n"/>
      <c r="DJ726" s="124" t="n"/>
      <c r="DK726" s="124" t="n"/>
      <c r="DL726" s="124" t="n"/>
      <c r="DM726" s="124" t="n"/>
      <c r="DN726" s="124" t="n"/>
      <c r="DO726" s="124" t="n"/>
      <c r="DP726" s="124" t="n"/>
      <c r="DQ726" s="124" t="n"/>
      <c r="DR726" s="124" t="n"/>
      <c r="DS726" s="124" t="n"/>
      <c r="DT726" s="124" t="n"/>
      <c r="DU726" s="124" t="n"/>
      <c r="DV726" s="124" t="n"/>
      <c r="DW726" s="124" t="n"/>
      <c r="DX726" s="124" t="n"/>
      <c r="DY726" s="124" t="n"/>
      <c r="DZ726" s="124" t="n"/>
      <c r="EA726" s="124" t="n"/>
      <c r="EB726" s="124" t="n"/>
      <c r="EC726" s="124" t="n"/>
      <c r="ED726" s="124" t="n"/>
      <c r="EE726" s="124" t="n"/>
      <c r="EF726" s="124" t="n"/>
      <c r="EG726" s="124" t="n"/>
      <c r="EH726" s="124" t="n"/>
      <c r="EI726" s="124" t="n"/>
      <c r="EJ726" s="124" t="n"/>
      <c r="EK726" s="124" t="n"/>
      <c r="EL726" s="124" t="n"/>
      <c r="EM726" s="124" t="n"/>
      <c r="EN726" s="124" t="n"/>
      <c r="EO726" s="124" t="n"/>
      <c r="EP726" s="124" t="n"/>
      <c r="EQ726" s="124" t="n"/>
      <c r="ER726" s="124" t="n"/>
      <c r="ES726" s="124" t="n"/>
      <c r="ET726" s="124" t="n"/>
      <c r="EU726" s="124" t="n"/>
      <c r="EV726" s="124" t="n"/>
      <c r="EW726" s="124" t="n"/>
      <c r="EX726" s="124" t="n"/>
      <c r="EY726" s="124" t="n"/>
      <c r="EZ726" s="124" t="n"/>
      <c r="FA726" s="124" t="n"/>
      <c r="FB726" s="124" t="n"/>
      <c r="FC726" s="124" t="n"/>
      <c r="FD726" s="124" t="n"/>
      <c r="FE726" s="124" t="n"/>
      <c r="FF726" s="124" t="n"/>
      <c r="FG726" s="124" t="n"/>
      <c r="FH726" s="124" t="n"/>
      <c r="FI726" s="124" t="n"/>
      <c r="FJ726" s="124" t="n"/>
      <c r="FK726" s="124" t="n"/>
      <c r="FL726" s="124" t="n"/>
      <c r="FM726" s="124" t="n"/>
      <c r="FN726" s="124" t="n"/>
      <c r="FO726" s="124" t="n"/>
      <c r="FP726" s="124" t="n"/>
      <c r="FQ726" s="124" t="n"/>
      <c r="FR726" s="124" t="n"/>
      <c r="FS726" s="124" t="n"/>
      <c r="FT726" s="124" t="n"/>
      <c r="FU726" s="124" t="n"/>
      <c r="FV726" s="124" t="n"/>
      <c r="FW726" s="124" t="n"/>
      <c r="FX726" s="124" t="n"/>
      <c r="FY726" s="124" t="n"/>
      <c r="FZ726" s="124" t="n"/>
      <c r="GA726" s="124" t="n"/>
      <c r="GB726" s="124" t="n"/>
      <c r="GC726" s="124" t="n"/>
      <c r="GD726" s="124" t="n"/>
      <c r="GE726" s="124" t="n"/>
      <c r="GF726" s="124" t="n"/>
      <c r="GG726" s="124" t="n"/>
      <c r="GH726" s="124" t="n"/>
      <c r="GI726" s="124" t="n"/>
      <c r="GJ726" s="124" t="n"/>
      <c r="GK726" s="124" t="n"/>
      <c r="GL726" s="124" t="n"/>
      <c r="GM726" s="124" t="n"/>
      <c r="GN726" s="124" t="n"/>
      <c r="GO726" s="124" t="n"/>
      <c r="GP726" s="124" t="n"/>
      <c r="GQ726" s="124" t="n"/>
      <c r="GR726" s="124" t="n"/>
      <c r="GS726" s="124" t="n"/>
      <c r="GT726" s="124" t="n"/>
      <c r="GU726" s="124" t="n"/>
      <c r="GV726" s="124" t="n"/>
      <c r="GW726" s="124" t="n"/>
      <c r="GX726" s="124" t="n"/>
      <c r="GY726" s="124" t="n"/>
      <c r="GZ726" s="124" t="n"/>
      <c r="HA726" s="124" t="n"/>
      <c r="HB726" s="124" t="n"/>
      <c r="HC726" s="124" t="n"/>
      <c r="HD726" s="124" t="n"/>
      <c r="HE726" s="124" t="n"/>
      <c r="HF726" s="124" t="n"/>
      <c r="HG726" s="124" t="n"/>
      <c r="HH726" s="124" t="n"/>
      <c r="HI726" s="124" t="n"/>
      <c r="HJ726" s="124" t="n"/>
      <c r="HK726" s="124" t="n"/>
      <c r="HL726" s="124" t="n"/>
    </row>
    <row r="727" customFormat="1" s="3">
      <c r="A727" s="33" t="inlineStr">
        <is>
          <t>7 этап</t>
        </is>
      </c>
      <c r="B727" s="34" t="n"/>
      <c r="C727" s="108" t="inlineStr">
        <is>
          <t>Задвижка фланцевая  Ø100мм</t>
        </is>
      </c>
      <c r="D727" s="36" t="inlineStr">
        <is>
          <t>шт.</t>
        </is>
      </c>
      <c r="E727" s="123" t="n">
        <v>5</v>
      </c>
      <c r="F727" s="124" t="n"/>
      <c r="G727" s="124" t="n"/>
      <c r="H727" s="124" t="n"/>
      <c r="I727" s="124" t="n"/>
      <c r="J727" s="124" t="n"/>
      <c r="K727" s="124" t="n"/>
      <c r="L727" s="124" t="n"/>
      <c r="M727" s="124" t="n"/>
      <c r="N727" s="124" t="n"/>
      <c r="O727" s="124" t="n"/>
      <c r="P727" s="124" t="n"/>
      <c r="Q727" s="124" t="n"/>
      <c r="R727" s="124" t="n"/>
      <c r="S727" s="124" t="n"/>
      <c r="T727" s="124" t="n"/>
      <c r="U727" s="124" t="n"/>
      <c r="V727" s="124" t="n"/>
      <c r="W727" s="124" t="n"/>
      <c r="X727" s="124" t="n"/>
      <c r="Y727" s="124" t="n"/>
      <c r="Z727" s="124" t="n"/>
      <c r="AA727" s="124" t="n"/>
      <c r="AB727" s="124" t="n"/>
      <c r="AC727" s="124" t="n"/>
      <c r="AD727" s="124" t="n"/>
      <c r="AE727" s="124" t="n"/>
      <c r="AF727" s="124" t="n"/>
      <c r="AG727" s="124" t="n"/>
      <c r="AH727" s="124" t="n"/>
      <c r="AI727" s="124" t="n"/>
      <c r="AJ727" s="124" t="n"/>
      <c r="AK727" s="124" t="n"/>
      <c r="AL727" s="124" t="n"/>
      <c r="AM727" s="124" t="n"/>
      <c r="AN727" s="124" t="n"/>
      <c r="AO727" s="124" t="n"/>
      <c r="AP727" s="124" t="n"/>
      <c r="AQ727" s="124" t="n"/>
      <c r="AR727" s="124" t="n"/>
      <c r="AS727" s="124" t="n"/>
      <c r="AT727" s="124" t="n"/>
      <c r="AU727" s="124" t="n"/>
      <c r="AV727" s="124" t="n"/>
      <c r="AW727" s="124" t="n"/>
      <c r="AX727" s="124" t="n"/>
      <c r="AY727" s="124" t="n"/>
      <c r="AZ727" s="124" t="n"/>
      <c r="BA727" s="124" t="n"/>
      <c r="BB727" s="124" t="n"/>
      <c r="BC727" s="124" t="n"/>
      <c r="BD727" s="124" t="n"/>
      <c r="BE727" s="124" t="n"/>
      <c r="BF727" s="124" t="n"/>
      <c r="BG727" s="124" t="n"/>
      <c r="BH727" s="124" t="n"/>
      <c r="BI727" s="124" t="n"/>
      <c r="BJ727" s="124" t="n"/>
      <c r="BK727" s="124" t="n"/>
      <c r="BL727" s="124" t="n"/>
      <c r="BM727" s="124" t="n"/>
      <c r="BN727" s="124" t="n"/>
      <c r="BO727" s="124" t="n"/>
      <c r="BP727" s="124" t="n"/>
      <c r="BQ727" s="124" t="n"/>
      <c r="BR727" s="124" t="n"/>
      <c r="BS727" s="124" t="n"/>
      <c r="BT727" s="124" t="n"/>
      <c r="BU727" s="124" t="n"/>
      <c r="BV727" s="124" t="n"/>
      <c r="BW727" s="124" t="n"/>
      <c r="BX727" s="124" t="n"/>
      <c r="BY727" s="124" t="n"/>
      <c r="BZ727" s="124" t="n"/>
      <c r="CA727" s="124" t="n"/>
      <c r="CB727" s="124" t="n"/>
      <c r="CC727" s="124" t="n"/>
      <c r="CD727" s="124" t="n"/>
      <c r="CE727" s="124" t="n"/>
      <c r="CF727" s="124" t="n"/>
      <c r="CG727" s="124" t="n"/>
      <c r="CH727" s="124" t="n"/>
      <c r="CI727" s="124" t="n"/>
      <c r="CJ727" s="124" t="n"/>
      <c r="CK727" s="124" t="n"/>
      <c r="CL727" s="124" t="n"/>
      <c r="CM727" s="124" t="n"/>
      <c r="CN727" s="124" t="n"/>
      <c r="CO727" s="124" t="n"/>
      <c r="CP727" s="124" t="n"/>
      <c r="CQ727" s="124" t="n"/>
      <c r="CR727" s="124" t="n"/>
      <c r="CS727" s="124" t="n"/>
      <c r="CT727" s="124" t="n"/>
      <c r="CU727" s="124" t="n"/>
      <c r="CV727" s="124" t="n"/>
      <c r="CW727" s="124" t="n"/>
      <c r="CX727" s="124" t="n"/>
      <c r="CY727" s="124" t="n"/>
      <c r="CZ727" s="124" t="n"/>
      <c r="DA727" s="124" t="n"/>
      <c r="DB727" s="124" t="n"/>
      <c r="DC727" s="124" t="n"/>
      <c r="DD727" s="124" t="n"/>
      <c r="DE727" s="124" t="n"/>
      <c r="DF727" s="124" t="n"/>
      <c r="DG727" s="124" t="n"/>
      <c r="DH727" s="124" t="n"/>
      <c r="DI727" s="124" t="n"/>
      <c r="DJ727" s="124" t="n"/>
      <c r="DK727" s="124" t="n"/>
      <c r="DL727" s="124" t="n"/>
      <c r="DM727" s="124" t="n"/>
      <c r="DN727" s="124" t="n"/>
      <c r="DO727" s="124" t="n"/>
      <c r="DP727" s="124" t="n"/>
      <c r="DQ727" s="124" t="n"/>
      <c r="DR727" s="124" t="n"/>
      <c r="DS727" s="124" t="n"/>
      <c r="DT727" s="124" t="n"/>
      <c r="DU727" s="124" t="n"/>
      <c r="DV727" s="124" t="n"/>
      <c r="DW727" s="124" t="n"/>
      <c r="DX727" s="124" t="n"/>
      <c r="DY727" s="124" t="n"/>
      <c r="DZ727" s="124" t="n"/>
      <c r="EA727" s="124" t="n"/>
      <c r="EB727" s="124" t="n"/>
      <c r="EC727" s="124" t="n"/>
      <c r="ED727" s="124" t="n"/>
      <c r="EE727" s="124" t="n"/>
      <c r="EF727" s="124" t="n"/>
      <c r="EG727" s="124" t="n"/>
      <c r="EH727" s="124" t="n"/>
      <c r="EI727" s="124" t="n"/>
      <c r="EJ727" s="124" t="n"/>
      <c r="EK727" s="124" t="n"/>
      <c r="EL727" s="124" t="n"/>
      <c r="EM727" s="124" t="n"/>
      <c r="EN727" s="124" t="n"/>
      <c r="EO727" s="124" t="n"/>
      <c r="EP727" s="124" t="n"/>
      <c r="EQ727" s="124" t="n"/>
      <c r="ER727" s="124" t="n"/>
      <c r="ES727" s="124" t="n"/>
      <c r="ET727" s="124" t="n"/>
      <c r="EU727" s="124" t="n"/>
      <c r="EV727" s="124" t="n"/>
      <c r="EW727" s="124" t="n"/>
      <c r="EX727" s="124" t="n"/>
      <c r="EY727" s="124" t="n"/>
      <c r="EZ727" s="124" t="n"/>
      <c r="FA727" s="124" t="n"/>
      <c r="FB727" s="124" t="n"/>
      <c r="FC727" s="124" t="n"/>
      <c r="FD727" s="124" t="n"/>
      <c r="FE727" s="124" t="n"/>
      <c r="FF727" s="124" t="n"/>
      <c r="FG727" s="124" t="n"/>
      <c r="FH727" s="124" t="n"/>
      <c r="FI727" s="124" t="n"/>
      <c r="FJ727" s="124" t="n"/>
      <c r="FK727" s="124" t="n"/>
      <c r="FL727" s="124" t="n"/>
      <c r="FM727" s="124" t="n"/>
      <c r="FN727" s="124" t="n"/>
      <c r="FO727" s="124" t="n"/>
      <c r="FP727" s="124" t="n"/>
      <c r="FQ727" s="124" t="n"/>
      <c r="FR727" s="124" t="n"/>
      <c r="FS727" s="124" t="n"/>
      <c r="FT727" s="124" t="n"/>
      <c r="FU727" s="124" t="n"/>
      <c r="FV727" s="124" t="n"/>
      <c r="FW727" s="124" t="n"/>
      <c r="FX727" s="124" t="n"/>
      <c r="FY727" s="124" t="n"/>
      <c r="FZ727" s="124" t="n"/>
      <c r="GA727" s="124" t="n"/>
      <c r="GB727" s="124" t="n"/>
      <c r="GC727" s="124" t="n"/>
      <c r="GD727" s="124" t="n"/>
      <c r="GE727" s="124" t="n"/>
      <c r="GF727" s="124" t="n"/>
      <c r="GG727" s="124" t="n"/>
      <c r="GH727" s="124" t="n"/>
      <c r="GI727" s="124" t="n"/>
      <c r="GJ727" s="124" t="n"/>
      <c r="GK727" s="124" t="n"/>
      <c r="GL727" s="124" t="n"/>
      <c r="GM727" s="124" t="n"/>
      <c r="GN727" s="124" t="n"/>
      <c r="GO727" s="124" t="n"/>
      <c r="GP727" s="124" t="n"/>
      <c r="GQ727" s="124" t="n"/>
      <c r="GR727" s="124" t="n"/>
      <c r="GS727" s="124" t="n"/>
      <c r="GT727" s="124" t="n"/>
      <c r="GU727" s="124" t="n"/>
      <c r="GV727" s="124" t="n"/>
      <c r="GW727" s="124" t="n"/>
      <c r="GX727" s="124" t="n"/>
      <c r="GY727" s="124" t="n"/>
      <c r="GZ727" s="124" t="n"/>
      <c r="HA727" s="124" t="n"/>
      <c r="HB727" s="124" t="n"/>
      <c r="HC727" s="124" t="n"/>
      <c r="HD727" s="124" t="n"/>
      <c r="HE727" s="124" t="n"/>
      <c r="HF727" s="124" t="n"/>
      <c r="HG727" s="124" t="n"/>
      <c r="HH727" s="124" t="n"/>
      <c r="HI727" s="124" t="n"/>
      <c r="HJ727" s="124" t="n"/>
      <c r="HK727" s="124" t="n"/>
      <c r="HL727" s="124" t="n"/>
    </row>
    <row r="728" customFormat="1" s="3">
      <c r="A728" s="33" t="inlineStr">
        <is>
          <t>7 этап</t>
        </is>
      </c>
      <c r="B728" s="34" t="n"/>
      <c r="C728" s="108" t="inlineStr">
        <is>
          <t>Задвижка фланцевая  Ø80мм</t>
        </is>
      </c>
      <c r="D728" s="36" t="inlineStr">
        <is>
          <t>шт.</t>
        </is>
      </c>
      <c r="E728" s="123" t="n">
        <v>4</v>
      </c>
      <c r="F728" s="124" t="n"/>
      <c r="G728" s="124" t="n"/>
      <c r="H728" s="124" t="n"/>
      <c r="I728" s="124" t="n"/>
      <c r="J728" s="124" t="n"/>
      <c r="K728" s="124" t="n"/>
      <c r="L728" s="124" t="n"/>
      <c r="M728" s="124" t="n"/>
      <c r="N728" s="124" t="n"/>
      <c r="O728" s="124" t="n"/>
      <c r="P728" s="124" t="n"/>
      <c r="Q728" s="124" t="n"/>
      <c r="R728" s="124" t="n"/>
      <c r="S728" s="124" t="n"/>
      <c r="T728" s="124" t="n"/>
      <c r="U728" s="124" t="n"/>
      <c r="V728" s="124" t="n"/>
      <c r="W728" s="124" t="n"/>
      <c r="X728" s="124" t="n"/>
      <c r="Y728" s="124" t="n"/>
      <c r="Z728" s="124" t="n"/>
      <c r="AA728" s="124" t="n"/>
      <c r="AB728" s="124" t="n"/>
      <c r="AC728" s="124" t="n"/>
      <c r="AD728" s="124" t="n"/>
      <c r="AE728" s="124" t="n"/>
      <c r="AF728" s="124" t="n"/>
      <c r="AG728" s="124" t="n"/>
      <c r="AH728" s="124" t="n"/>
      <c r="AI728" s="124" t="n"/>
      <c r="AJ728" s="124" t="n"/>
      <c r="AK728" s="124" t="n"/>
      <c r="AL728" s="124" t="n"/>
      <c r="AM728" s="124" t="n"/>
      <c r="AN728" s="124" t="n"/>
      <c r="AO728" s="124" t="n"/>
      <c r="AP728" s="124" t="n"/>
      <c r="AQ728" s="124" t="n"/>
      <c r="AR728" s="124" t="n"/>
      <c r="AS728" s="124" t="n"/>
      <c r="AT728" s="124" t="n"/>
      <c r="AU728" s="124" t="n"/>
      <c r="AV728" s="124" t="n"/>
      <c r="AW728" s="124" t="n"/>
      <c r="AX728" s="124" t="n"/>
      <c r="AY728" s="124" t="n"/>
      <c r="AZ728" s="124" t="n"/>
      <c r="BA728" s="124" t="n"/>
      <c r="BB728" s="124" t="n"/>
      <c r="BC728" s="124" t="n"/>
      <c r="BD728" s="124" t="n"/>
      <c r="BE728" s="124" t="n"/>
      <c r="BF728" s="124" t="n"/>
      <c r="BG728" s="124" t="n"/>
      <c r="BH728" s="124" t="n"/>
      <c r="BI728" s="124" t="n"/>
      <c r="BJ728" s="124" t="n"/>
      <c r="BK728" s="124" t="n"/>
      <c r="BL728" s="124" t="n"/>
      <c r="BM728" s="124" t="n"/>
      <c r="BN728" s="124" t="n"/>
      <c r="BO728" s="124" t="n"/>
      <c r="BP728" s="124" t="n"/>
      <c r="BQ728" s="124" t="n"/>
      <c r="BR728" s="124" t="n"/>
      <c r="BS728" s="124" t="n"/>
      <c r="BT728" s="124" t="n"/>
      <c r="BU728" s="124" t="n"/>
      <c r="BV728" s="124" t="n"/>
      <c r="BW728" s="124" t="n"/>
      <c r="BX728" s="124" t="n"/>
      <c r="BY728" s="124" t="n"/>
      <c r="BZ728" s="124" t="n"/>
      <c r="CA728" s="124" t="n"/>
      <c r="CB728" s="124" t="n"/>
      <c r="CC728" s="124" t="n"/>
      <c r="CD728" s="124" t="n"/>
      <c r="CE728" s="124" t="n"/>
      <c r="CF728" s="124" t="n"/>
      <c r="CG728" s="124" t="n"/>
      <c r="CH728" s="124" t="n"/>
      <c r="CI728" s="124" t="n"/>
      <c r="CJ728" s="124" t="n"/>
      <c r="CK728" s="124" t="n"/>
      <c r="CL728" s="124" t="n"/>
      <c r="CM728" s="124" t="n"/>
      <c r="CN728" s="124" t="n"/>
      <c r="CO728" s="124" t="n"/>
      <c r="CP728" s="124" t="n"/>
      <c r="CQ728" s="124" t="n"/>
      <c r="CR728" s="124" t="n"/>
      <c r="CS728" s="124" t="n"/>
      <c r="CT728" s="124" t="n"/>
      <c r="CU728" s="124" t="n"/>
      <c r="CV728" s="124" t="n"/>
      <c r="CW728" s="124" t="n"/>
      <c r="CX728" s="124" t="n"/>
      <c r="CY728" s="124" t="n"/>
      <c r="CZ728" s="124" t="n"/>
      <c r="DA728" s="124" t="n"/>
      <c r="DB728" s="124" t="n"/>
      <c r="DC728" s="124" t="n"/>
      <c r="DD728" s="124" t="n"/>
      <c r="DE728" s="124" t="n"/>
      <c r="DF728" s="124" t="n"/>
      <c r="DG728" s="124" t="n"/>
      <c r="DH728" s="124" t="n"/>
      <c r="DI728" s="124" t="n"/>
      <c r="DJ728" s="124" t="n"/>
      <c r="DK728" s="124" t="n"/>
      <c r="DL728" s="124" t="n"/>
      <c r="DM728" s="124" t="n"/>
      <c r="DN728" s="124" t="n"/>
      <c r="DO728" s="124" t="n"/>
      <c r="DP728" s="124" t="n"/>
      <c r="DQ728" s="124" t="n"/>
      <c r="DR728" s="124" t="n"/>
      <c r="DS728" s="124" t="n"/>
      <c r="DT728" s="124" t="n"/>
      <c r="DU728" s="124" t="n"/>
      <c r="DV728" s="124" t="n"/>
      <c r="DW728" s="124" t="n"/>
      <c r="DX728" s="124" t="n"/>
      <c r="DY728" s="124" t="n"/>
      <c r="DZ728" s="124" t="n"/>
      <c r="EA728" s="124" t="n"/>
      <c r="EB728" s="124" t="n"/>
      <c r="EC728" s="124" t="n"/>
      <c r="ED728" s="124" t="n"/>
      <c r="EE728" s="124" t="n"/>
      <c r="EF728" s="124" t="n"/>
      <c r="EG728" s="124" t="n"/>
      <c r="EH728" s="124" t="n"/>
      <c r="EI728" s="124" t="n"/>
      <c r="EJ728" s="124" t="n"/>
      <c r="EK728" s="124" t="n"/>
      <c r="EL728" s="124" t="n"/>
      <c r="EM728" s="124" t="n"/>
      <c r="EN728" s="124" t="n"/>
      <c r="EO728" s="124" t="n"/>
      <c r="EP728" s="124" t="n"/>
      <c r="EQ728" s="124" t="n"/>
      <c r="ER728" s="124" t="n"/>
      <c r="ES728" s="124" t="n"/>
      <c r="ET728" s="124" t="n"/>
      <c r="EU728" s="124" t="n"/>
      <c r="EV728" s="124" t="n"/>
      <c r="EW728" s="124" t="n"/>
      <c r="EX728" s="124" t="n"/>
      <c r="EY728" s="124" t="n"/>
      <c r="EZ728" s="124" t="n"/>
      <c r="FA728" s="124" t="n"/>
      <c r="FB728" s="124" t="n"/>
      <c r="FC728" s="124" t="n"/>
      <c r="FD728" s="124" t="n"/>
      <c r="FE728" s="124" t="n"/>
      <c r="FF728" s="124" t="n"/>
      <c r="FG728" s="124" t="n"/>
      <c r="FH728" s="124" t="n"/>
      <c r="FI728" s="124" t="n"/>
      <c r="FJ728" s="124" t="n"/>
      <c r="FK728" s="124" t="n"/>
      <c r="FL728" s="124" t="n"/>
      <c r="FM728" s="124" t="n"/>
      <c r="FN728" s="124" t="n"/>
      <c r="FO728" s="124" t="n"/>
      <c r="FP728" s="124" t="n"/>
      <c r="FQ728" s="124" t="n"/>
      <c r="FR728" s="124" t="n"/>
      <c r="FS728" s="124" t="n"/>
      <c r="FT728" s="124" t="n"/>
      <c r="FU728" s="124" t="n"/>
      <c r="FV728" s="124" t="n"/>
      <c r="FW728" s="124" t="n"/>
      <c r="FX728" s="124" t="n"/>
      <c r="FY728" s="124" t="n"/>
      <c r="FZ728" s="124" t="n"/>
      <c r="GA728" s="124" t="n"/>
      <c r="GB728" s="124" t="n"/>
      <c r="GC728" s="124" t="n"/>
      <c r="GD728" s="124" t="n"/>
      <c r="GE728" s="124" t="n"/>
      <c r="GF728" s="124" t="n"/>
      <c r="GG728" s="124" t="n"/>
      <c r="GH728" s="124" t="n"/>
      <c r="GI728" s="124" t="n"/>
      <c r="GJ728" s="124" t="n"/>
      <c r="GK728" s="124" t="n"/>
      <c r="GL728" s="124" t="n"/>
      <c r="GM728" s="124" t="n"/>
      <c r="GN728" s="124" t="n"/>
      <c r="GO728" s="124" t="n"/>
      <c r="GP728" s="124" t="n"/>
      <c r="GQ728" s="124" t="n"/>
      <c r="GR728" s="124" t="n"/>
      <c r="GS728" s="124" t="n"/>
      <c r="GT728" s="124" t="n"/>
      <c r="GU728" s="124" t="n"/>
      <c r="GV728" s="124" t="n"/>
      <c r="GW728" s="124" t="n"/>
      <c r="GX728" s="124" t="n"/>
      <c r="GY728" s="124" t="n"/>
      <c r="GZ728" s="124" t="n"/>
      <c r="HA728" s="124" t="n"/>
      <c r="HB728" s="124" t="n"/>
      <c r="HC728" s="124" t="n"/>
      <c r="HD728" s="124" t="n"/>
      <c r="HE728" s="124" t="n"/>
      <c r="HF728" s="124" t="n"/>
      <c r="HG728" s="124" t="n"/>
      <c r="HH728" s="124" t="n"/>
      <c r="HI728" s="124" t="n"/>
      <c r="HJ728" s="124" t="n"/>
      <c r="HK728" s="124" t="n"/>
      <c r="HL728" s="124" t="n"/>
    </row>
    <row r="729" customFormat="1" s="3">
      <c r="A729" s="33" t="inlineStr">
        <is>
          <t>7 этап</t>
        </is>
      </c>
      <c r="B729" s="34" t="n"/>
      <c r="C729" s="108" t="inlineStr">
        <is>
          <t>Задвижка фланцевая  Ø50мм</t>
        </is>
      </c>
      <c r="D729" s="36" t="inlineStr">
        <is>
          <t>шт.</t>
        </is>
      </c>
      <c r="E729" s="123" t="n">
        <v>2</v>
      </c>
      <c r="F729" s="124" t="n"/>
      <c r="G729" s="124" t="n"/>
      <c r="H729" s="124" t="n"/>
      <c r="I729" s="124" t="n"/>
      <c r="J729" s="124" t="n"/>
      <c r="K729" s="124" t="n"/>
      <c r="L729" s="124" t="n"/>
      <c r="M729" s="124" t="n"/>
      <c r="N729" s="124" t="n"/>
      <c r="O729" s="124" t="n"/>
      <c r="P729" s="124" t="n"/>
      <c r="Q729" s="124" t="n"/>
      <c r="R729" s="124" t="n"/>
      <c r="S729" s="124" t="n"/>
      <c r="T729" s="124" t="n"/>
      <c r="U729" s="124" t="n"/>
      <c r="V729" s="124" t="n"/>
      <c r="W729" s="124" t="n"/>
      <c r="X729" s="124" t="n"/>
      <c r="Y729" s="124" t="n"/>
      <c r="Z729" s="124" t="n"/>
      <c r="AA729" s="124" t="n"/>
      <c r="AB729" s="124" t="n"/>
      <c r="AC729" s="124" t="n"/>
      <c r="AD729" s="124" t="n"/>
      <c r="AE729" s="124" t="n"/>
      <c r="AF729" s="124" t="n"/>
      <c r="AG729" s="124" t="n"/>
      <c r="AH729" s="124" t="n"/>
      <c r="AI729" s="124" t="n"/>
      <c r="AJ729" s="124" t="n"/>
      <c r="AK729" s="124" t="n"/>
      <c r="AL729" s="124" t="n"/>
      <c r="AM729" s="124" t="n"/>
      <c r="AN729" s="124" t="n"/>
      <c r="AO729" s="124" t="n"/>
      <c r="AP729" s="124" t="n"/>
      <c r="AQ729" s="124" t="n"/>
      <c r="AR729" s="124" t="n"/>
      <c r="AS729" s="124" t="n"/>
      <c r="AT729" s="124" t="n"/>
      <c r="AU729" s="124" t="n"/>
      <c r="AV729" s="124" t="n"/>
      <c r="AW729" s="124" t="n"/>
      <c r="AX729" s="124" t="n"/>
      <c r="AY729" s="124" t="n"/>
      <c r="AZ729" s="124" t="n"/>
      <c r="BA729" s="124" t="n"/>
      <c r="BB729" s="124" t="n"/>
      <c r="BC729" s="124" t="n"/>
      <c r="BD729" s="124" t="n"/>
      <c r="BE729" s="124" t="n"/>
      <c r="BF729" s="124" t="n"/>
      <c r="BG729" s="124" t="n"/>
      <c r="BH729" s="124" t="n"/>
      <c r="BI729" s="124" t="n"/>
      <c r="BJ729" s="124" t="n"/>
      <c r="BK729" s="124" t="n"/>
      <c r="BL729" s="124" t="n"/>
      <c r="BM729" s="124" t="n"/>
      <c r="BN729" s="124" t="n"/>
      <c r="BO729" s="124" t="n"/>
      <c r="BP729" s="124" t="n"/>
      <c r="BQ729" s="124" t="n"/>
      <c r="BR729" s="124" t="n"/>
      <c r="BS729" s="124" t="n"/>
      <c r="BT729" s="124" t="n"/>
      <c r="BU729" s="124" t="n"/>
      <c r="BV729" s="124" t="n"/>
      <c r="BW729" s="124" t="n"/>
      <c r="BX729" s="124" t="n"/>
      <c r="BY729" s="124" t="n"/>
      <c r="BZ729" s="124" t="n"/>
      <c r="CA729" s="124" t="n"/>
      <c r="CB729" s="124" t="n"/>
      <c r="CC729" s="124" t="n"/>
      <c r="CD729" s="124" t="n"/>
      <c r="CE729" s="124" t="n"/>
      <c r="CF729" s="124" t="n"/>
      <c r="CG729" s="124" t="n"/>
      <c r="CH729" s="124" t="n"/>
      <c r="CI729" s="124" t="n"/>
      <c r="CJ729" s="124" t="n"/>
      <c r="CK729" s="124" t="n"/>
      <c r="CL729" s="124" t="n"/>
      <c r="CM729" s="124" t="n"/>
      <c r="CN729" s="124" t="n"/>
      <c r="CO729" s="124" t="n"/>
      <c r="CP729" s="124" t="n"/>
      <c r="CQ729" s="124" t="n"/>
      <c r="CR729" s="124" t="n"/>
      <c r="CS729" s="124" t="n"/>
      <c r="CT729" s="124" t="n"/>
      <c r="CU729" s="124" t="n"/>
      <c r="CV729" s="124" t="n"/>
      <c r="CW729" s="124" t="n"/>
      <c r="CX729" s="124" t="n"/>
      <c r="CY729" s="124" t="n"/>
      <c r="CZ729" s="124" t="n"/>
      <c r="DA729" s="124" t="n"/>
      <c r="DB729" s="124" t="n"/>
      <c r="DC729" s="124" t="n"/>
      <c r="DD729" s="124" t="n"/>
      <c r="DE729" s="124" t="n"/>
      <c r="DF729" s="124" t="n"/>
      <c r="DG729" s="124" t="n"/>
      <c r="DH729" s="124" t="n"/>
      <c r="DI729" s="124" t="n"/>
      <c r="DJ729" s="124" t="n"/>
      <c r="DK729" s="124" t="n"/>
      <c r="DL729" s="124" t="n"/>
      <c r="DM729" s="124" t="n"/>
      <c r="DN729" s="124" t="n"/>
      <c r="DO729" s="124" t="n"/>
      <c r="DP729" s="124" t="n"/>
      <c r="DQ729" s="124" t="n"/>
      <c r="DR729" s="124" t="n"/>
      <c r="DS729" s="124" t="n"/>
      <c r="DT729" s="124" t="n"/>
      <c r="DU729" s="124" t="n"/>
      <c r="DV729" s="124" t="n"/>
      <c r="DW729" s="124" t="n"/>
      <c r="DX729" s="124" t="n"/>
      <c r="DY729" s="124" t="n"/>
      <c r="DZ729" s="124" t="n"/>
      <c r="EA729" s="124" t="n"/>
      <c r="EB729" s="124" t="n"/>
      <c r="EC729" s="124" t="n"/>
      <c r="ED729" s="124" t="n"/>
      <c r="EE729" s="124" t="n"/>
      <c r="EF729" s="124" t="n"/>
      <c r="EG729" s="124" t="n"/>
      <c r="EH729" s="124" t="n"/>
      <c r="EI729" s="124" t="n"/>
      <c r="EJ729" s="124" t="n"/>
      <c r="EK729" s="124" t="n"/>
      <c r="EL729" s="124" t="n"/>
      <c r="EM729" s="124" t="n"/>
      <c r="EN729" s="124" t="n"/>
      <c r="EO729" s="124" t="n"/>
      <c r="EP729" s="124" t="n"/>
      <c r="EQ729" s="124" t="n"/>
      <c r="ER729" s="124" t="n"/>
      <c r="ES729" s="124" t="n"/>
      <c r="ET729" s="124" t="n"/>
      <c r="EU729" s="124" t="n"/>
      <c r="EV729" s="124" t="n"/>
      <c r="EW729" s="124" t="n"/>
      <c r="EX729" s="124" t="n"/>
      <c r="EY729" s="124" t="n"/>
      <c r="EZ729" s="124" t="n"/>
      <c r="FA729" s="124" t="n"/>
      <c r="FB729" s="124" t="n"/>
      <c r="FC729" s="124" t="n"/>
      <c r="FD729" s="124" t="n"/>
      <c r="FE729" s="124" t="n"/>
      <c r="FF729" s="124" t="n"/>
      <c r="FG729" s="124" t="n"/>
      <c r="FH729" s="124" t="n"/>
      <c r="FI729" s="124" t="n"/>
      <c r="FJ729" s="124" t="n"/>
      <c r="FK729" s="124" t="n"/>
      <c r="FL729" s="124" t="n"/>
      <c r="FM729" s="124" t="n"/>
      <c r="FN729" s="124" t="n"/>
      <c r="FO729" s="124" t="n"/>
      <c r="FP729" s="124" t="n"/>
      <c r="FQ729" s="124" t="n"/>
      <c r="FR729" s="124" t="n"/>
      <c r="FS729" s="124" t="n"/>
      <c r="FT729" s="124" t="n"/>
      <c r="FU729" s="124" t="n"/>
      <c r="FV729" s="124" t="n"/>
      <c r="FW729" s="124" t="n"/>
      <c r="FX729" s="124" t="n"/>
      <c r="FY729" s="124" t="n"/>
      <c r="FZ729" s="124" t="n"/>
      <c r="GA729" s="124" t="n"/>
      <c r="GB729" s="124" t="n"/>
      <c r="GC729" s="124" t="n"/>
      <c r="GD729" s="124" t="n"/>
      <c r="GE729" s="124" t="n"/>
      <c r="GF729" s="124" t="n"/>
      <c r="GG729" s="124" t="n"/>
      <c r="GH729" s="124" t="n"/>
      <c r="GI729" s="124" t="n"/>
      <c r="GJ729" s="124" t="n"/>
      <c r="GK729" s="124" t="n"/>
      <c r="GL729" s="124" t="n"/>
      <c r="GM729" s="124" t="n"/>
      <c r="GN729" s="124" t="n"/>
      <c r="GO729" s="124" t="n"/>
      <c r="GP729" s="124" t="n"/>
      <c r="GQ729" s="124" t="n"/>
      <c r="GR729" s="124" t="n"/>
      <c r="GS729" s="124" t="n"/>
      <c r="GT729" s="124" t="n"/>
      <c r="GU729" s="124" t="n"/>
      <c r="GV729" s="124" t="n"/>
      <c r="GW729" s="124" t="n"/>
      <c r="GX729" s="124" t="n"/>
      <c r="GY729" s="124" t="n"/>
      <c r="GZ729" s="124" t="n"/>
      <c r="HA729" s="124" t="n"/>
      <c r="HB729" s="124" t="n"/>
      <c r="HC729" s="124" t="n"/>
      <c r="HD729" s="124" t="n"/>
      <c r="HE729" s="124" t="n"/>
      <c r="HF729" s="124" t="n"/>
      <c r="HG729" s="124" t="n"/>
      <c r="HH729" s="124" t="n"/>
      <c r="HI729" s="124" t="n"/>
      <c r="HJ729" s="124" t="n"/>
      <c r="HK729" s="124" t="n"/>
      <c r="HL729" s="124" t="n"/>
    </row>
    <row r="730" customFormat="1" s="3">
      <c r="A730" s="33" t="inlineStr">
        <is>
          <t>7 этап</t>
        </is>
      </c>
      <c r="B730" s="34" t="n"/>
      <c r="C730" s="108" t="inlineStr">
        <is>
          <t>Люк водопроводный тяжелые</t>
        </is>
      </c>
      <c r="D730" s="36" t="inlineStr">
        <is>
          <t>шт.</t>
        </is>
      </c>
      <c r="E730" s="123" t="n">
        <v>6</v>
      </c>
      <c r="F730" s="124" t="n"/>
      <c r="G730" s="124" t="n"/>
      <c r="H730" s="124" t="n"/>
      <c r="I730" s="124" t="n"/>
      <c r="J730" s="124" t="n"/>
      <c r="K730" s="124" t="n"/>
      <c r="L730" s="124" t="n"/>
      <c r="M730" s="124" t="n"/>
      <c r="N730" s="124" t="n"/>
      <c r="O730" s="124" t="n"/>
      <c r="P730" s="124" t="n"/>
      <c r="Q730" s="124" t="n"/>
      <c r="R730" s="124" t="n"/>
      <c r="S730" s="124" t="n"/>
      <c r="T730" s="124" t="n"/>
      <c r="U730" s="124" t="n"/>
      <c r="V730" s="124" t="n"/>
      <c r="W730" s="124" t="n"/>
      <c r="X730" s="124" t="n"/>
      <c r="Y730" s="124" t="n"/>
      <c r="Z730" s="124" t="n"/>
      <c r="AA730" s="124" t="n"/>
      <c r="AB730" s="124" t="n"/>
      <c r="AC730" s="124" t="n"/>
      <c r="AD730" s="124" t="n"/>
      <c r="AE730" s="124" t="n"/>
      <c r="AF730" s="124" t="n"/>
      <c r="AG730" s="124" t="n"/>
      <c r="AH730" s="124" t="n"/>
      <c r="AI730" s="124" t="n"/>
      <c r="AJ730" s="124" t="n"/>
      <c r="AK730" s="124" t="n"/>
      <c r="AL730" s="124" t="n"/>
      <c r="AM730" s="124" t="n"/>
      <c r="AN730" s="124" t="n"/>
      <c r="AO730" s="124" t="n"/>
      <c r="AP730" s="124" t="n"/>
      <c r="AQ730" s="124" t="n"/>
      <c r="AR730" s="124" t="n"/>
      <c r="AS730" s="124" t="n"/>
      <c r="AT730" s="124" t="n"/>
      <c r="AU730" s="124" t="n"/>
      <c r="AV730" s="124" t="n"/>
      <c r="AW730" s="124" t="n"/>
      <c r="AX730" s="124" t="n"/>
      <c r="AY730" s="124" t="n"/>
      <c r="AZ730" s="124" t="n"/>
      <c r="BA730" s="124" t="n"/>
      <c r="BB730" s="124" t="n"/>
      <c r="BC730" s="124" t="n"/>
      <c r="BD730" s="124" t="n"/>
      <c r="BE730" s="124" t="n"/>
      <c r="BF730" s="124" t="n"/>
      <c r="BG730" s="124" t="n"/>
      <c r="BH730" s="124" t="n"/>
      <c r="BI730" s="124" t="n"/>
      <c r="BJ730" s="124" t="n"/>
      <c r="BK730" s="124" t="n"/>
      <c r="BL730" s="124" t="n"/>
      <c r="BM730" s="124" t="n"/>
      <c r="BN730" s="124" t="n"/>
      <c r="BO730" s="124" t="n"/>
      <c r="BP730" s="124" t="n"/>
      <c r="BQ730" s="124" t="n"/>
      <c r="BR730" s="124" t="n"/>
      <c r="BS730" s="124" t="n"/>
      <c r="BT730" s="124" t="n"/>
      <c r="BU730" s="124" t="n"/>
      <c r="BV730" s="124" t="n"/>
      <c r="BW730" s="124" t="n"/>
      <c r="BX730" s="124" t="n"/>
      <c r="BY730" s="124" t="n"/>
      <c r="BZ730" s="124" t="n"/>
      <c r="CA730" s="124" t="n"/>
      <c r="CB730" s="124" t="n"/>
      <c r="CC730" s="124" t="n"/>
      <c r="CD730" s="124" t="n"/>
      <c r="CE730" s="124" t="n"/>
      <c r="CF730" s="124" t="n"/>
      <c r="CG730" s="124" t="n"/>
      <c r="CH730" s="124" t="n"/>
      <c r="CI730" s="124" t="n"/>
      <c r="CJ730" s="124" t="n"/>
      <c r="CK730" s="124" t="n"/>
      <c r="CL730" s="124" t="n"/>
      <c r="CM730" s="124" t="n"/>
      <c r="CN730" s="124" t="n"/>
      <c r="CO730" s="124" t="n"/>
      <c r="CP730" s="124" t="n"/>
      <c r="CQ730" s="124" t="n"/>
      <c r="CR730" s="124" t="n"/>
      <c r="CS730" s="124" t="n"/>
      <c r="CT730" s="124" t="n"/>
      <c r="CU730" s="124" t="n"/>
      <c r="CV730" s="124" t="n"/>
      <c r="CW730" s="124" t="n"/>
      <c r="CX730" s="124" t="n"/>
      <c r="CY730" s="124" t="n"/>
      <c r="CZ730" s="124" t="n"/>
      <c r="DA730" s="124" t="n"/>
      <c r="DB730" s="124" t="n"/>
      <c r="DC730" s="124" t="n"/>
      <c r="DD730" s="124" t="n"/>
      <c r="DE730" s="124" t="n"/>
      <c r="DF730" s="124" t="n"/>
      <c r="DG730" s="124" t="n"/>
      <c r="DH730" s="124" t="n"/>
      <c r="DI730" s="124" t="n"/>
      <c r="DJ730" s="124" t="n"/>
      <c r="DK730" s="124" t="n"/>
      <c r="DL730" s="124" t="n"/>
      <c r="DM730" s="124" t="n"/>
      <c r="DN730" s="124" t="n"/>
      <c r="DO730" s="124" t="n"/>
      <c r="DP730" s="124" t="n"/>
      <c r="DQ730" s="124" t="n"/>
      <c r="DR730" s="124" t="n"/>
      <c r="DS730" s="124" t="n"/>
      <c r="DT730" s="124" t="n"/>
      <c r="DU730" s="124" t="n"/>
      <c r="DV730" s="124" t="n"/>
      <c r="DW730" s="124" t="n"/>
      <c r="DX730" s="124" t="n"/>
      <c r="DY730" s="124" t="n"/>
      <c r="DZ730" s="124" t="n"/>
      <c r="EA730" s="124" t="n"/>
      <c r="EB730" s="124" t="n"/>
      <c r="EC730" s="124" t="n"/>
      <c r="ED730" s="124" t="n"/>
      <c r="EE730" s="124" t="n"/>
      <c r="EF730" s="124" t="n"/>
      <c r="EG730" s="124" t="n"/>
      <c r="EH730" s="124" t="n"/>
      <c r="EI730" s="124" t="n"/>
      <c r="EJ730" s="124" t="n"/>
      <c r="EK730" s="124" t="n"/>
      <c r="EL730" s="124" t="n"/>
      <c r="EM730" s="124" t="n"/>
      <c r="EN730" s="124" t="n"/>
      <c r="EO730" s="124" t="n"/>
      <c r="EP730" s="124" t="n"/>
      <c r="EQ730" s="124" t="n"/>
      <c r="ER730" s="124" t="n"/>
      <c r="ES730" s="124" t="n"/>
      <c r="ET730" s="124" t="n"/>
      <c r="EU730" s="124" t="n"/>
      <c r="EV730" s="124" t="n"/>
      <c r="EW730" s="124" t="n"/>
      <c r="EX730" s="124" t="n"/>
      <c r="EY730" s="124" t="n"/>
      <c r="EZ730" s="124" t="n"/>
      <c r="FA730" s="124" t="n"/>
      <c r="FB730" s="124" t="n"/>
      <c r="FC730" s="124" t="n"/>
      <c r="FD730" s="124" t="n"/>
      <c r="FE730" s="124" t="n"/>
      <c r="FF730" s="124" t="n"/>
      <c r="FG730" s="124" t="n"/>
      <c r="FH730" s="124" t="n"/>
      <c r="FI730" s="124" t="n"/>
      <c r="FJ730" s="124" t="n"/>
      <c r="FK730" s="124" t="n"/>
      <c r="FL730" s="124" t="n"/>
      <c r="FM730" s="124" t="n"/>
      <c r="FN730" s="124" t="n"/>
      <c r="FO730" s="124" t="n"/>
      <c r="FP730" s="124" t="n"/>
      <c r="FQ730" s="124" t="n"/>
      <c r="FR730" s="124" t="n"/>
      <c r="FS730" s="124" t="n"/>
      <c r="FT730" s="124" t="n"/>
      <c r="FU730" s="124" t="n"/>
      <c r="FV730" s="124" t="n"/>
      <c r="FW730" s="124" t="n"/>
      <c r="FX730" s="124" t="n"/>
      <c r="FY730" s="124" t="n"/>
      <c r="FZ730" s="124" t="n"/>
      <c r="GA730" s="124" t="n"/>
      <c r="GB730" s="124" t="n"/>
      <c r="GC730" s="124" t="n"/>
      <c r="GD730" s="124" t="n"/>
      <c r="GE730" s="124" t="n"/>
      <c r="GF730" s="124" t="n"/>
      <c r="GG730" s="124" t="n"/>
      <c r="GH730" s="124" t="n"/>
      <c r="GI730" s="124" t="n"/>
      <c r="GJ730" s="124" t="n"/>
      <c r="GK730" s="124" t="n"/>
      <c r="GL730" s="124" t="n"/>
      <c r="GM730" s="124" t="n"/>
      <c r="GN730" s="124" t="n"/>
      <c r="GO730" s="124" t="n"/>
      <c r="GP730" s="124" t="n"/>
      <c r="GQ730" s="124" t="n"/>
      <c r="GR730" s="124" t="n"/>
      <c r="GS730" s="124" t="n"/>
      <c r="GT730" s="124" t="n"/>
      <c r="GU730" s="124" t="n"/>
      <c r="GV730" s="124" t="n"/>
      <c r="GW730" s="124" t="n"/>
      <c r="GX730" s="124" t="n"/>
      <c r="GY730" s="124" t="n"/>
      <c r="GZ730" s="124" t="n"/>
      <c r="HA730" s="124" t="n"/>
      <c r="HB730" s="124" t="n"/>
      <c r="HC730" s="124" t="n"/>
      <c r="HD730" s="124" t="n"/>
      <c r="HE730" s="124" t="n"/>
      <c r="HF730" s="124" t="n"/>
      <c r="HG730" s="124" t="n"/>
      <c r="HH730" s="124" t="n"/>
      <c r="HI730" s="124" t="n"/>
      <c r="HJ730" s="124" t="n"/>
      <c r="HK730" s="124" t="n"/>
      <c r="HL730" s="124" t="n"/>
    </row>
    <row r="731" customFormat="1" s="3">
      <c r="A731" s="124" t="n"/>
      <c r="B731" s="34" t="n"/>
      <c r="C731" s="108" t="inlineStr">
        <is>
          <t>Противопожарный гидрант</t>
        </is>
      </c>
      <c r="D731" s="36" t="inlineStr">
        <is>
          <t>шт.</t>
        </is>
      </c>
      <c r="E731" s="123" t="n">
        <v>1</v>
      </c>
      <c r="F731" s="124" t="n"/>
      <c r="G731" s="124" t="n"/>
      <c r="H731" s="124" t="n"/>
      <c r="I731" s="124" t="n"/>
      <c r="J731" s="124" t="n"/>
      <c r="K731" s="124" t="n"/>
      <c r="L731" s="124" t="n"/>
      <c r="M731" s="124" t="n"/>
      <c r="N731" s="124" t="n"/>
      <c r="O731" s="124" t="n"/>
      <c r="P731" s="124" t="n"/>
      <c r="Q731" s="124" t="n"/>
      <c r="R731" s="124" t="n"/>
      <c r="S731" s="124" t="n"/>
      <c r="T731" s="124" t="n"/>
      <c r="U731" s="124" t="n"/>
      <c r="V731" s="124" t="n"/>
      <c r="W731" s="124" t="n"/>
      <c r="X731" s="124" t="n"/>
      <c r="Y731" s="124" t="n"/>
      <c r="Z731" s="124" t="n"/>
      <c r="AA731" s="124" t="n"/>
      <c r="AB731" s="124" t="n"/>
      <c r="AC731" s="124" t="n"/>
      <c r="AD731" s="124" t="n"/>
      <c r="AE731" s="124" t="n"/>
      <c r="AF731" s="124" t="n"/>
      <c r="AG731" s="124" t="n"/>
      <c r="AH731" s="124" t="n"/>
      <c r="AI731" s="124" t="n"/>
      <c r="AJ731" s="124" t="n"/>
      <c r="AK731" s="124" t="n"/>
      <c r="AL731" s="124" t="n"/>
      <c r="AM731" s="124" t="n"/>
      <c r="AN731" s="124" t="n"/>
      <c r="AO731" s="124" t="n"/>
      <c r="AP731" s="124" t="n"/>
      <c r="AQ731" s="124" t="n"/>
      <c r="AR731" s="124" t="n"/>
      <c r="AS731" s="124" t="n"/>
      <c r="AT731" s="124" t="n"/>
      <c r="AU731" s="124" t="n"/>
      <c r="AV731" s="124" t="n"/>
      <c r="AW731" s="124" t="n"/>
      <c r="AX731" s="124" t="n"/>
      <c r="AY731" s="124" t="n"/>
      <c r="AZ731" s="124" t="n"/>
      <c r="BA731" s="124" t="n"/>
      <c r="BB731" s="124" t="n"/>
      <c r="BC731" s="124" t="n"/>
      <c r="BD731" s="124" t="n"/>
      <c r="BE731" s="124" t="n"/>
      <c r="BF731" s="124" t="n"/>
      <c r="BG731" s="124" t="n"/>
      <c r="BH731" s="124" t="n"/>
      <c r="BI731" s="124" t="n"/>
      <c r="BJ731" s="124" t="n"/>
      <c r="BK731" s="124" t="n"/>
      <c r="BL731" s="124" t="n"/>
      <c r="BM731" s="124" t="n"/>
      <c r="BN731" s="124" t="n"/>
      <c r="BO731" s="124" t="n"/>
      <c r="BP731" s="124" t="n"/>
      <c r="BQ731" s="124" t="n"/>
      <c r="BR731" s="124" t="n"/>
      <c r="BS731" s="124" t="n"/>
      <c r="BT731" s="124" t="n"/>
      <c r="BU731" s="124" t="n"/>
      <c r="BV731" s="124" t="n"/>
      <c r="BW731" s="124" t="n"/>
      <c r="BX731" s="124" t="n"/>
      <c r="BY731" s="124" t="n"/>
      <c r="BZ731" s="124" t="n"/>
      <c r="CA731" s="124" t="n"/>
      <c r="CB731" s="124" t="n"/>
      <c r="CC731" s="124" t="n"/>
      <c r="CD731" s="124" t="n"/>
      <c r="CE731" s="124" t="n"/>
      <c r="CF731" s="124" t="n"/>
      <c r="CG731" s="124" t="n"/>
      <c r="CH731" s="124" t="n"/>
      <c r="CI731" s="124" t="n"/>
      <c r="CJ731" s="124" t="n"/>
      <c r="CK731" s="124" t="n"/>
      <c r="CL731" s="124" t="n"/>
      <c r="CM731" s="124" t="n"/>
      <c r="CN731" s="124" t="n"/>
      <c r="CO731" s="124" t="n"/>
      <c r="CP731" s="124" t="n"/>
      <c r="CQ731" s="124" t="n"/>
      <c r="CR731" s="124" t="n"/>
      <c r="CS731" s="124" t="n"/>
      <c r="CT731" s="124" t="n"/>
      <c r="CU731" s="124" t="n"/>
      <c r="CV731" s="124" t="n"/>
      <c r="CW731" s="124" t="n"/>
      <c r="CX731" s="124" t="n"/>
      <c r="CY731" s="124" t="n"/>
      <c r="CZ731" s="124" t="n"/>
      <c r="DA731" s="124" t="n"/>
      <c r="DB731" s="124" t="n"/>
      <c r="DC731" s="124" t="n"/>
      <c r="DD731" s="124" t="n"/>
      <c r="DE731" s="124" t="n"/>
      <c r="DF731" s="124" t="n"/>
      <c r="DG731" s="124" t="n"/>
      <c r="DH731" s="124" t="n"/>
      <c r="DI731" s="124" t="n"/>
      <c r="DJ731" s="124" t="n"/>
      <c r="DK731" s="124" t="n"/>
      <c r="DL731" s="124" t="n"/>
      <c r="DM731" s="124" t="n"/>
      <c r="DN731" s="124" t="n"/>
      <c r="DO731" s="124" t="n"/>
      <c r="DP731" s="124" t="n"/>
      <c r="DQ731" s="124" t="n"/>
      <c r="DR731" s="124" t="n"/>
      <c r="DS731" s="124" t="n"/>
      <c r="DT731" s="124" t="n"/>
      <c r="DU731" s="124" t="n"/>
      <c r="DV731" s="124" t="n"/>
      <c r="DW731" s="124" t="n"/>
      <c r="DX731" s="124" t="n"/>
      <c r="DY731" s="124" t="n"/>
      <c r="DZ731" s="124" t="n"/>
      <c r="EA731" s="124" t="n"/>
      <c r="EB731" s="124" t="n"/>
      <c r="EC731" s="124" t="n"/>
      <c r="ED731" s="124" t="n"/>
      <c r="EE731" s="124" t="n"/>
      <c r="EF731" s="124" t="n"/>
      <c r="EG731" s="124" t="n"/>
      <c r="EH731" s="124" t="n"/>
      <c r="EI731" s="124" t="n"/>
      <c r="EJ731" s="124" t="n"/>
      <c r="EK731" s="124" t="n"/>
      <c r="EL731" s="124" t="n"/>
      <c r="EM731" s="124" t="n"/>
      <c r="EN731" s="124" t="n"/>
      <c r="EO731" s="124" t="n"/>
      <c r="EP731" s="124" t="n"/>
      <c r="EQ731" s="124" t="n"/>
      <c r="ER731" s="124" t="n"/>
      <c r="ES731" s="124" t="n"/>
      <c r="ET731" s="124" t="n"/>
      <c r="EU731" s="124" t="n"/>
      <c r="EV731" s="124" t="n"/>
      <c r="EW731" s="124" t="n"/>
      <c r="EX731" s="124" t="n"/>
      <c r="EY731" s="124" t="n"/>
      <c r="EZ731" s="124" t="n"/>
      <c r="FA731" s="124" t="n"/>
      <c r="FB731" s="124" t="n"/>
      <c r="FC731" s="124" t="n"/>
      <c r="FD731" s="124" t="n"/>
      <c r="FE731" s="124" t="n"/>
      <c r="FF731" s="124" t="n"/>
      <c r="FG731" s="124" t="n"/>
      <c r="FH731" s="124" t="n"/>
      <c r="FI731" s="124" t="n"/>
      <c r="FJ731" s="124" t="n"/>
      <c r="FK731" s="124" t="n"/>
      <c r="FL731" s="124" t="n"/>
      <c r="FM731" s="124" t="n"/>
      <c r="FN731" s="124" t="n"/>
      <c r="FO731" s="124" t="n"/>
      <c r="FP731" s="124" t="n"/>
      <c r="FQ731" s="124" t="n"/>
      <c r="FR731" s="124" t="n"/>
      <c r="FS731" s="124" t="n"/>
      <c r="FT731" s="124" t="n"/>
      <c r="FU731" s="124" t="n"/>
      <c r="FV731" s="124" t="n"/>
      <c r="FW731" s="124" t="n"/>
      <c r="FX731" s="124" t="n"/>
      <c r="FY731" s="124" t="n"/>
      <c r="FZ731" s="124" t="n"/>
      <c r="GA731" s="124" t="n"/>
      <c r="GB731" s="124" t="n"/>
      <c r="GC731" s="124" t="n"/>
      <c r="GD731" s="124" t="n"/>
      <c r="GE731" s="124" t="n"/>
      <c r="GF731" s="124" t="n"/>
      <c r="GG731" s="124" t="n"/>
      <c r="GH731" s="124" t="n"/>
      <c r="GI731" s="124" t="n"/>
      <c r="GJ731" s="124" t="n"/>
      <c r="GK731" s="124" t="n"/>
      <c r="GL731" s="124" t="n"/>
      <c r="GM731" s="124" t="n"/>
      <c r="GN731" s="124" t="n"/>
      <c r="GO731" s="124" t="n"/>
      <c r="GP731" s="124" t="n"/>
      <c r="GQ731" s="124" t="n"/>
      <c r="GR731" s="124" t="n"/>
      <c r="GS731" s="124" t="n"/>
      <c r="GT731" s="124" t="n"/>
      <c r="GU731" s="124" t="n"/>
      <c r="GV731" s="124" t="n"/>
      <c r="GW731" s="124" t="n"/>
      <c r="GX731" s="124" t="n"/>
      <c r="GY731" s="124" t="n"/>
      <c r="GZ731" s="124" t="n"/>
      <c r="HA731" s="124" t="n"/>
      <c r="HB731" s="124" t="n"/>
      <c r="HC731" s="124" t="n"/>
      <c r="HD731" s="124" t="n"/>
      <c r="HE731" s="124" t="n"/>
      <c r="HF731" s="124" t="n"/>
      <c r="HG731" s="124" t="n"/>
      <c r="HH731" s="124" t="n"/>
      <c r="HI731" s="124" t="n"/>
      <c r="HJ731" s="124" t="n"/>
      <c r="HK731" s="124" t="n"/>
      <c r="HL731" s="124" t="n"/>
    </row>
    <row r="732" customFormat="1" s="3">
      <c r="A732" s="33" t="inlineStr">
        <is>
          <t>7 этап</t>
        </is>
      </c>
      <c r="B732" s="34" t="n"/>
      <c r="C732" s="108" t="inlineStr">
        <is>
          <t>Кран сливной ф25</t>
        </is>
      </c>
      <c r="D732" s="36" t="inlineStr">
        <is>
          <t>шт.</t>
        </is>
      </c>
      <c r="E732" s="123" t="n">
        <v>10</v>
      </c>
      <c r="F732" s="124" t="n"/>
      <c r="G732" s="124" t="n"/>
      <c r="H732" s="124" t="n"/>
      <c r="I732" s="124" t="n"/>
      <c r="J732" s="124" t="n"/>
      <c r="K732" s="124" t="n"/>
      <c r="L732" s="124" t="n"/>
      <c r="M732" s="124" t="n"/>
      <c r="N732" s="124" t="n"/>
      <c r="O732" s="124" t="n"/>
      <c r="P732" s="124" t="n"/>
      <c r="Q732" s="124" t="n"/>
      <c r="R732" s="124" t="n"/>
      <c r="S732" s="124" t="n"/>
      <c r="T732" s="124" t="n"/>
      <c r="U732" s="124" t="n"/>
      <c r="V732" s="124" t="n"/>
      <c r="W732" s="124" t="n"/>
      <c r="X732" s="124" t="n"/>
      <c r="Y732" s="124" t="n"/>
      <c r="Z732" s="124" t="n"/>
      <c r="AA732" s="124" t="n"/>
      <c r="AB732" s="124" t="n"/>
      <c r="AC732" s="124" t="n"/>
      <c r="AD732" s="124" t="n"/>
      <c r="AE732" s="124" t="n"/>
      <c r="AF732" s="124" t="n"/>
      <c r="AG732" s="124" t="n"/>
      <c r="AH732" s="124" t="n"/>
      <c r="AI732" s="124" t="n"/>
      <c r="AJ732" s="124" t="n"/>
      <c r="AK732" s="124" t="n"/>
      <c r="AL732" s="124" t="n"/>
      <c r="AM732" s="124" t="n"/>
      <c r="AN732" s="124" t="n"/>
      <c r="AO732" s="124" t="n"/>
      <c r="AP732" s="124" t="n"/>
      <c r="AQ732" s="124" t="n"/>
      <c r="AR732" s="124" t="n"/>
      <c r="AS732" s="124" t="n"/>
      <c r="AT732" s="124" t="n"/>
      <c r="AU732" s="124" t="n"/>
      <c r="AV732" s="124" t="n"/>
      <c r="AW732" s="124" t="n"/>
      <c r="AX732" s="124" t="n"/>
      <c r="AY732" s="124" t="n"/>
      <c r="AZ732" s="124" t="n"/>
      <c r="BA732" s="124" t="n"/>
      <c r="BB732" s="124" t="n"/>
      <c r="BC732" s="124" t="n"/>
      <c r="BD732" s="124" t="n"/>
      <c r="BE732" s="124" t="n"/>
      <c r="BF732" s="124" t="n"/>
      <c r="BG732" s="124" t="n"/>
      <c r="BH732" s="124" t="n"/>
      <c r="BI732" s="124" t="n"/>
      <c r="BJ732" s="124" t="n"/>
      <c r="BK732" s="124" t="n"/>
      <c r="BL732" s="124" t="n"/>
      <c r="BM732" s="124" t="n"/>
      <c r="BN732" s="124" t="n"/>
      <c r="BO732" s="124" t="n"/>
      <c r="BP732" s="124" t="n"/>
      <c r="BQ732" s="124" t="n"/>
      <c r="BR732" s="124" t="n"/>
      <c r="BS732" s="124" t="n"/>
      <c r="BT732" s="124" t="n"/>
      <c r="BU732" s="124" t="n"/>
      <c r="BV732" s="124" t="n"/>
      <c r="BW732" s="124" t="n"/>
      <c r="BX732" s="124" t="n"/>
      <c r="BY732" s="124" t="n"/>
      <c r="BZ732" s="124" t="n"/>
      <c r="CA732" s="124" t="n"/>
      <c r="CB732" s="124" t="n"/>
      <c r="CC732" s="124" t="n"/>
      <c r="CD732" s="124" t="n"/>
      <c r="CE732" s="124" t="n"/>
      <c r="CF732" s="124" t="n"/>
      <c r="CG732" s="124" t="n"/>
      <c r="CH732" s="124" t="n"/>
      <c r="CI732" s="124" t="n"/>
      <c r="CJ732" s="124" t="n"/>
      <c r="CK732" s="124" t="n"/>
      <c r="CL732" s="124" t="n"/>
      <c r="CM732" s="124" t="n"/>
      <c r="CN732" s="124" t="n"/>
      <c r="CO732" s="124" t="n"/>
      <c r="CP732" s="124" t="n"/>
      <c r="CQ732" s="124" t="n"/>
      <c r="CR732" s="124" t="n"/>
      <c r="CS732" s="124" t="n"/>
      <c r="CT732" s="124" t="n"/>
      <c r="CU732" s="124" t="n"/>
      <c r="CV732" s="124" t="n"/>
      <c r="CW732" s="124" t="n"/>
      <c r="CX732" s="124" t="n"/>
      <c r="CY732" s="124" t="n"/>
      <c r="CZ732" s="124" t="n"/>
      <c r="DA732" s="124" t="n"/>
      <c r="DB732" s="124" t="n"/>
      <c r="DC732" s="124" t="n"/>
      <c r="DD732" s="124" t="n"/>
      <c r="DE732" s="124" t="n"/>
      <c r="DF732" s="124" t="n"/>
      <c r="DG732" s="124" t="n"/>
      <c r="DH732" s="124" t="n"/>
      <c r="DI732" s="124" t="n"/>
      <c r="DJ732" s="124" t="n"/>
      <c r="DK732" s="124" t="n"/>
      <c r="DL732" s="124" t="n"/>
      <c r="DM732" s="124" t="n"/>
      <c r="DN732" s="124" t="n"/>
      <c r="DO732" s="124" t="n"/>
      <c r="DP732" s="124" t="n"/>
      <c r="DQ732" s="124" t="n"/>
      <c r="DR732" s="124" t="n"/>
      <c r="DS732" s="124" t="n"/>
      <c r="DT732" s="124" t="n"/>
      <c r="DU732" s="124" t="n"/>
      <c r="DV732" s="124" t="n"/>
      <c r="DW732" s="124" t="n"/>
      <c r="DX732" s="124" t="n"/>
      <c r="DY732" s="124" t="n"/>
      <c r="DZ732" s="124" t="n"/>
      <c r="EA732" s="124" t="n"/>
      <c r="EB732" s="124" t="n"/>
      <c r="EC732" s="124" t="n"/>
      <c r="ED732" s="124" t="n"/>
      <c r="EE732" s="124" t="n"/>
      <c r="EF732" s="124" t="n"/>
      <c r="EG732" s="124" t="n"/>
      <c r="EH732" s="124" t="n"/>
      <c r="EI732" s="124" t="n"/>
      <c r="EJ732" s="124" t="n"/>
      <c r="EK732" s="124" t="n"/>
      <c r="EL732" s="124" t="n"/>
      <c r="EM732" s="124" t="n"/>
      <c r="EN732" s="124" t="n"/>
      <c r="EO732" s="124" t="n"/>
      <c r="EP732" s="124" t="n"/>
      <c r="EQ732" s="124" t="n"/>
      <c r="ER732" s="124" t="n"/>
      <c r="ES732" s="124" t="n"/>
      <c r="ET732" s="124" t="n"/>
      <c r="EU732" s="124" t="n"/>
      <c r="EV732" s="124" t="n"/>
      <c r="EW732" s="124" t="n"/>
      <c r="EX732" s="124" t="n"/>
      <c r="EY732" s="124" t="n"/>
      <c r="EZ732" s="124" t="n"/>
      <c r="FA732" s="124" t="n"/>
      <c r="FB732" s="124" t="n"/>
      <c r="FC732" s="124" t="n"/>
      <c r="FD732" s="124" t="n"/>
      <c r="FE732" s="124" t="n"/>
      <c r="FF732" s="124" t="n"/>
      <c r="FG732" s="124" t="n"/>
      <c r="FH732" s="124" t="n"/>
      <c r="FI732" s="124" t="n"/>
      <c r="FJ732" s="124" t="n"/>
      <c r="FK732" s="124" t="n"/>
      <c r="FL732" s="124" t="n"/>
      <c r="FM732" s="124" t="n"/>
      <c r="FN732" s="124" t="n"/>
      <c r="FO732" s="124" t="n"/>
      <c r="FP732" s="124" t="n"/>
      <c r="FQ732" s="124" t="n"/>
      <c r="FR732" s="124" t="n"/>
      <c r="FS732" s="124" t="n"/>
      <c r="FT732" s="124" t="n"/>
      <c r="FU732" s="124" t="n"/>
      <c r="FV732" s="124" t="n"/>
      <c r="FW732" s="124" t="n"/>
      <c r="FX732" s="124" t="n"/>
      <c r="FY732" s="124" t="n"/>
      <c r="FZ732" s="124" t="n"/>
      <c r="GA732" s="124" t="n"/>
      <c r="GB732" s="124" t="n"/>
      <c r="GC732" s="124" t="n"/>
      <c r="GD732" s="124" t="n"/>
      <c r="GE732" s="124" t="n"/>
      <c r="GF732" s="124" t="n"/>
      <c r="GG732" s="124" t="n"/>
      <c r="GH732" s="124" t="n"/>
      <c r="GI732" s="124" t="n"/>
      <c r="GJ732" s="124" t="n"/>
      <c r="GK732" s="124" t="n"/>
      <c r="GL732" s="124" t="n"/>
      <c r="GM732" s="124" t="n"/>
      <c r="GN732" s="124" t="n"/>
      <c r="GO732" s="124" t="n"/>
      <c r="GP732" s="124" t="n"/>
      <c r="GQ732" s="124" t="n"/>
      <c r="GR732" s="124" t="n"/>
      <c r="GS732" s="124" t="n"/>
      <c r="GT732" s="124" t="n"/>
      <c r="GU732" s="124" t="n"/>
      <c r="GV732" s="124" t="n"/>
      <c r="GW732" s="124" t="n"/>
      <c r="GX732" s="124" t="n"/>
      <c r="GY732" s="124" t="n"/>
      <c r="GZ732" s="124" t="n"/>
      <c r="HA732" s="124" t="n"/>
      <c r="HB732" s="124" t="n"/>
      <c r="HC732" s="124" t="n"/>
      <c r="HD732" s="124" t="n"/>
      <c r="HE732" s="124" t="n"/>
      <c r="HF732" s="124" t="n"/>
      <c r="HG732" s="124" t="n"/>
      <c r="HH732" s="124" t="n"/>
      <c r="HI732" s="124" t="n"/>
      <c r="HJ732" s="124" t="n"/>
      <c r="HK732" s="124" t="n"/>
      <c r="HL732" s="124" t="n"/>
    </row>
    <row r="733" ht="14.4" customFormat="1" customHeight="1" s="3">
      <c r="A733" s="106" t="inlineStr">
        <is>
          <t>7 этап</t>
        </is>
      </c>
      <c r="B733" s="27" t="n">
        <v>2</v>
      </c>
      <c r="C733" s="28" t="inlineStr">
        <is>
          <t>Наружная канализация К1</t>
        </is>
      </c>
      <c r="D733" s="54" t="inlineStr">
        <is>
          <t>компл.</t>
        </is>
      </c>
      <c r="E733" s="125" t="n">
        <v>1</v>
      </c>
      <c r="F733" s="166" t="n">
        <v>2400</v>
      </c>
      <c r="G733" s="166" t="n">
        <v>2400</v>
      </c>
      <c r="H733" s="124" t="inlineStr">
        <is>
          <t>ФЕР-2020 × 0.75</t>
        </is>
      </c>
      <c r="I733" s="124" t="n"/>
      <c r="J733" s="124" t="n"/>
      <c r="K733" s="124" t="n"/>
      <c r="L733" s="124" t="n"/>
      <c r="M733" s="124" t="n"/>
      <c r="N733" s="124" t="n"/>
      <c r="O733" s="124" t="n"/>
      <c r="P733" s="124" t="n"/>
      <c r="Q733" s="124" t="n"/>
      <c r="R733" s="124" t="n"/>
      <c r="S733" s="124" t="n"/>
      <c r="T733" s="124" t="n"/>
      <c r="U733" s="124" t="n"/>
      <c r="V733" s="124" t="n"/>
      <c r="W733" s="124" t="n"/>
      <c r="X733" s="124" t="n"/>
      <c r="Y733" s="124" t="n"/>
      <c r="Z733" s="124" t="n"/>
      <c r="AA733" s="124" t="n"/>
      <c r="AB733" s="124" t="n"/>
      <c r="AC733" s="124" t="n"/>
      <c r="AD733" s="124" t="n"/>
      <c r="AE733" s="124" t="n"/>
      <c r="AF733" s="124" t="n"/>
      <c r="AG733" s="124" t="n"/>
      <c r="AH733" s="124" t="n"/>
      <c r="AI733" s="124" t="n"/>
      <c r="AJ733" s="124" t="n"/>
      <c r="AK733" s="124" t="n"/>
      <c r="AL733" s="124" t="n"/>
      <c r="AM733" s="124" t="n"/>
      <c r="AN733" s="124" t="n"/>
      <c r="AO733" s="124" t="n"/>
      <c r="AP733" s="124" t="n"/>
      <c r="AQ733" s="124" t="n"/>
      <c r="AR733" s="124" t="n"/>
      <c r="AS733" s="124" t="n"/>
      <c r="AT733" s="124" t="n"/>
      <c r="AU733" s="124" t="n"/>
      <c r="AV733" s="124" t="n"/>
      <c r="AW733" s="124" t="n"/>
      <c r="AX733" s="124" t="n"/>
      <c r="AY733" s="124" t="n"/>
      <c r="AZ733" s="124" t="n"/>
      <c r="BA733" s="124" t="n"/>
      <c r="BB733" s="124" t="n"/>
      <c r="BC733" s="124" t="n"/>
      <c r="BD733" s="124" t="n"/>
      <c r="BE733" s="124" t="n"/>
      <c r="BF733" s="124" t="n"/>
      <c r="BG733" s="124" t="n"/>
      <c r="BH733" s="124" t="n"/>
      <c r="BI733" s="124" t="n"/>
      <c r="BJ733" s="124" t="n"/>
      <c r="BK733" s="124" t="n"/>
      <c r="BL733" s="124" t="n"/>
      <c r="BM733" s="124" t="n"/>
      <c r="BN733" s="124" t="n"/>
      <c r="BO733" s="124" t="n"/>
      <c r="BP733" s="124" t="n"/>
      <c r="BQ733" s="124" t="n"/>
      <c r="BR733" s="124" t="n"/>
      <c r="BS733" s="124" t="n"/>
      <c r="BT733" s="124" t="n"/>
      <c r="BU733" s="124" t="n"/>
      <c r="BV733" s="124" t="n"/>
      <c r="BW733" s="124" t="n"/>
      <c r="BX733" s="124" t="n"/>
      <c r="BY733" s="124" t="n"/>
      <c r="BZ733" s="124" t="n"/>
      <c r="CA733" s="124" t="n"/>
      <c r="CB733" s="124" t="n"/>
      <c r="CC733" s="124" t="n"/>
      <c r="CD733" s="124" t="n"/>
      <c r="CE733" s="124" t="n"/>
      <c r="CF733" s="124" t="n"/>
      <c r="CG733" s="124" t="n"/>
      <c r="CH733" s="124" t="n"/>
      <c r="CI733" s="124" t="n"/>
      <c r="CJ733" s="124" t="n"/>
      <c r="CK733" s="124" t="n"/>
      <c r="CL733" s="124" t="n"/>
      <c r="CM733" s="124" t="n"/>
      <c r="CN733" s="124" t="n"/>
      <c r="CO733" s="124" t="n"/>
      <c r="CP733" s="124" t="n"/>
      <c r="CQ733" s="124" t="n"/>
      <c r="CR733" s="124" t="n"/>
      <c r="CS733" s="124" t="n"/>
      <c r="CT733" s="124" t="n"/>
      <c r="CU733" s="124" t="n"/>
      <c r="CV733" s="124" t="n"/>
      <c r="CW733" s="124" t="n"/>
      <c r="CX733" s="124" t="n"/>
      <c r="CY733" s="124" t="n"/>
      <c r="CZ733" s="124" t="n"/>
      <c r="DA733" s="124" t="n"/>
      <c r="DB733" s="124" t="n"/>
      <c r="DC733" s="124" t="n"/>
      <c r="DD733" s="124" t="n"/>
      <c r="DE733" s="124" t="n"/>
      <c r="DF733" s="124" t="n"/>
      <c r="DG733" s="124" t="n"/>
      <c r="DH733" s="124" t="n"/>
      <c r="DI733" s="124" t="n"/>
      <c r="DJ733" s="124" t="n"/>
      <c r="DK733" s="124" t="n"/>
      <c r="DL733" s="124" t="n"/>
      <c r="DM733" s="124" t="n"/>
      <c r="DN733" s="124" t="n"/>
      <c r="DO733" s="124" t="n"/>
      <c r="DP733" s="124" t="n"/>
      <c r="DQ733" s="124" t="n"/>
      <c r="DR733" s="124" t="n"/>
      <c r="DS733" s="124" t="n"/>
      <c r="DT733" s="124" t="n"/>
      <c r="DU733" s="124" t="n"/>
      <c r="DV733" s="124" t="n"/>
      <c r="DW733" s="124" t="n"/>
      <c r="DX733" s="124" t="n"/>
      <c r="DY733" s="124" t="n"/>
      <c r="DZ733" s="124" t="n"/>
      <c r="EA733" s="124" t="n"/>
      <c r="EB733" s="124" t="n"/>
      <c r="EC733" s="124" t="n"/>
      <c r="ED733" s="124" t="n"/>
      <c r="EE733" s="124" t="n"/>
      <c r="EF733" s="124" t="n"/>
      <c r="EG733" s="124" t="n"/>
      <c r="EH733" s="124" t="n"/>
      <c r="EI733" s="124" t="n"/>
      <c r="EJ733" s="124" t="n"/>
      <c r="EK733" s="124" t="n"/>
      <c r="EL733" s="124" t="n"/>
      <c r="EM733" s="124" t="n"/>
      <c r="EN733" s="124" t="n"/>
      <c r="EO733" s="124" t="n"/>
      <c r="EP733" s="124" t="n"/>
      <c r="EQ733" s="124" t="n"/>
      <c r="ER733" s="124" t="n"/>
      <c r="ES733" s="124" t="n"/>
      <c r="ET733" s="124" t="n"/>
      <c r="EU733" s="124" t="n"/>
      <c r="EV733" s="124" t="n"/>
      <c r="EW733" s="124" t="n"/>
      <c r="EX733" s="124" t="n"/>
      <c r="EY733" s="124" t="n"/>
      <c r="EZ733" s="124" t="n"/>
      <c r="FA733" s="124" t="n"/>
      <c r="FB733" s="124" t="n"/>
      <c r="FC733" s="124" t="n"/>
      <c r="FD733" s="124" t="n"/>
      <c r="FE733" s="124" t="n"/>
      <c r="FF733" s="124" t="n"/>
      <c r="FG733" s="124" t="n"/>
      <c r="FH733" s="124" t="n"/>
      <c r="FI733" s="124" t="n"/>
      <c r="FJ733" s="124" t="n"/>
      <c r="FK733" s="124" t="n"/>
      <c r="FL733" s="124" t="n"/>
      <c r="FM733" s="124" t="n"/>
      <c r="FN733" s="124" t="n"/>
      <c r="FO733" s="124" t="n"/>
      <c r="FP733" s="124" t="n"/>
      <c r="FQ733" s="124" t="n"/>
      <c r="FR733" s="124" t="n"/>
      <c r="FS733" s="124" t="n"/>
      <c r="FT733" s="124" t="n"/>
      <c r="FU733" s="124" t="n"/>
      <c r="FV733" s="124" t="n"/>
      <c r="FW733" s="124" t="n"/>
      <c r="FX733" s="124" t="n"/>
      <c r="FY733" s="124" t="n"/>
      <c r="FZ733" s="124" t="n"/>
      <c r="GA733" s="124" t="n"/>
      <c r="GB733" s="124" t="n"/>
      <c r="GC733" s="124" t="n"/>
      <c r="GD733" s="124" t="n"/>
      <c r="GE733" s="124" t="n"/>
      <c r="GF733" s="124" t="n"/>
      <c r="GG733" s="124" t="n"/>
      <c r="GH733" s="124" t="n"/>
      <c r="GI733" s="124" t="n"/>
      <c r="GJ733" s="124" t="n"/>
      <c r="GK733" s="124" t="n"/>
      <c r="GL733" s="124" t="n"/>
      <c r="GM733" s="124" t="n"/>
      <c r="GN733" s="124" t="n"/>
      <c r="GO733" s="124" t="n"/>
      <c r="GP733" s="124" t="n"/>
      <c r="GQ733" s="124" t="n"/>
      <c r="GR733" s="124" t="n"/>
      <c r="GS733" s="124" t="n"/>
      <c r="GT733" s="124" t="n"/>
      <c r="GU733" s="124" t="n"/>
      <c r="GV733" s="124" t="n"/>
      <c r="GW733" s="124" t="n"/>
      <c r="GX733" s="124" t="n"/>
      <c r="GY733" s="124" t="n"/>
      <c r="GZ733" s="124" t="n"/>
      <c r="HA733" s="124" t="n"/>
      <c r="HB733" s="124" t="n"/>
      <c r="HC733" s="124" t="n"/>
      <c r="HD733" s="124" t="n"/>
      <c r="HE733" s="124" t="n"/>
      <c r="HF733" s="124" t="n"/>
      <c r="HG733" s="124" t="n"/>
      <c r="HH733" s="124" t="n"/>
      <c r="HI733" s="124" t="n"/>
      <c r="HJ733" s="124" t="n"/>
      <c r="HK733" s="124" t="n"/>
      <c r="HL733" s="124" t="n"/>
    </row>
    <row r="734" ht="43.2" customFormat="1" customHeight="1" s="3">
      <c r="A734" s="26" t="inlineStr">
        <is>
          <t>7 этап</t>
        </is>
      </c>
      <c r="B734" s="27" t="inlineStr">
        <is>
          <t>2.1</t>
        </is>
      </c>
      <c r="C734" s="60" t="inlineStr">
        <is>
          <t>Разработка грунта для трубопроводов и колодцев, устройство основания, обратная засыпка с уплотнением</t>
        </is>
      </c>
      <c r="D734" s="54" t="inlineStr">
        <is>
          <t>компл.</t>
        </is>
      </c>
      <c r="E734" s="126" t="n">
        <v>0.34</v>
      </c>
      <c r="F734" s="166" t="n">
        <v>2400</v>
      </c>
      <c r="G734" s="166" t="n">
        <v>816</v>
      </c>
      <c r="H734" s="124" t="inlineStr">
        <is>
          <t>ФЕР-2020 × 0.75</t>
        </is>
      </c>
      <c r="I734" s="124" t="n"/>
      <c r="J734" s="124" t="n"/>
      <c r="K734" s="124" t="n"/>
      <c r="L734" s="124" t="n"/>
      <c r="M734" s="124" t="n"/>
      <c r="N734" s="124" t="n"/>
      <c r="O734" s="124" t="n"/>
      <c r="P734" s="124" t="n"/>
      <c r="Q734" s="124" t="n"/>
      <c r="R734" s="124" t="n"/>
      <c r="S734" s="124" t="n"/>
      <c r="T734" s="124" t="n"/>
      <c r="U734" s="124" t="n"/>
      <c r="V734" s="124" t="n"/>
      <c r="W734" s="124" t="n"/>
      <c r="X734" s="124" t="n"/>
      <c r="Y734" s="124" t="n"/>
      <c r="Z734" s="124" t="n"/>
      <c r="AA734" s="124" t="n"/>
      <c r="AB734" s="124" t="n"/>
      <c r="AC734" s="124" t="n"/>
      <c r="AD734" s="124" t="n"/>
      <c r="AE734" s="124" t="n"/>
      <c r="AF734" s="124" t="n"/>
      <c r="AG734" s="124" t="n"/>
      <c r="AH734" s="124" t="n"/>
      <c r="AI734" s="124" t="n"/>
      <c r="AJ734" s="124" t="n"/>
      <c r="AK734" s="124" t="n"/>
      <c r="AL734" s="124" t="n"/>
      <c r="AM734" s="124" t="n"/>
      <c r="AN734" s="124" t="n"/>
      <c r="AO734" s="124" t="n"/>
      <c r="AP734" s="124" t="n"/>
      <c r="AQ734" s="124" t="n"/>
      <c r="AR734" s="124" t="n"/>
      <c r="AS734" s="124" t="n"/>
      <c r="AT734" s="124" t="n"/>
      <c r="AU734" s="124" t="n"/>
      <c r="AV734" s="124" t="n"/>
      <c r="AW734" s="124" t="n"/>
      <c r="AX734" s="124" t="n"/>
      <c r="AY734" s="124" t="n"/>
      <c r="AZ734" s="124" t="n"/>
      <c r="BA734" s="124" t="n"/>
      <c r="BB734" s="124" t="n"/>
      <c r="BC734" s="124" t="n"/>
      <c r="BD734" s="124" t="n"/>
      <c r="BE734" s="124" t="n"/>
      <c r="BF734" s="124" t="n"/>
      <c r="BG734" s="124" t="n"/>
      <c r="BH734" s="124" t="n"/>
      <c r="BI734" s="124" t="n"/>
      <c r="BJ734" s="124" t="n"/>
      <c r="BK734" s="124" t="n"/>
      <c r="BL734" s="124" t="n"/>
      <c r="BM734" s="124" t="n"/>
      <c r="BN734" s="124" t="n"/>
      <c r="BO734" s="124" t="n"/>
      <c r="BP734" s="124" t="n"/>
      <c r="BQ734" s="124" t="n"/>
      <c r="BR734" s="124" t="n"/>
      <c r="BS734" s="124" t="n"/>
      <c r="BT734" s="124" t="n"/>
      <c r="BU734" s="124" t="n"/>
      <c r="BV734" s="124" t="n"/>
      <c r="BW734" s="124" t="n"/>
      <c r="BX734" s="124" t="n"/>
      <c r="BY734" s="124" t="n"/>
      <c r="BZ734" s="124" t="n"/>
      <c r="CA734" s="124" t="n"/>
      <c r="CB734" s="124" t="n"/>
      <c r="CC734" s="124" t="n"/>
      <c r="CD734" s="124" t="n"/>
      <c r="CE734" s="124" t="n"/>
      <c r="CF734" s="124" t="n"/>
      <c r="CG734" s="124" t="n"/>
      <c r="CH734" s="124" t="n"/>
      <c r="CI734" s="124" t="n"/>
      <c r="CJ734" s="124" t="n"/>
      <c r="CK734" s="124" t="n"/>
      <c r="CL734" s="124" t="n"/>
      <c r="CM734" s="124" t="n"/>
      <c r="CN734" s="124" t="n"/>
      <c r="CO734" s="124" t="n"/>
      <c r="CP734" s="124" t="n"/>
      <c r="CQ734" s="124" t="n"/>
      <c r="CR734" s="124" t="n"/>
      <c r="CS734" s="124" t="n"/>
      <c r="CT734" s="124" t="n"/>
      <c r="CU734" s="124" t="n"/>
      <c r="CV734" s="124" t="n"/>
      <c r="CW734" s="124" t="n"/>
      <c r="CX734" s="124" t="n"/>
      <c r="CY734" s="124" t="n"/>
      <c r="CZ734" s="124" t="n"/>
      <c r="DA734" s="124" t="n"/>
      <c r="DB734" s="124" t="n"/>
      <c r="DC734" s="124" t="n"/>
      <c r="DD734" s="124" t="n"/>
      <c r="DE734" s="124" t="n"/>
      <c r="DF734" s="124" t="n"/>
      <c r="DG734" s="124" t="n"/>
      <c r="DH734" s="124" t="n"/>
      <c r="DI734" s="124" t="n"/>
      <c r="DJ734" s="124" t="n"/>
      <c r="DK734" s="124" t="n"/>
      <c r="DL734" s="124" t="n"/>
      <c r="DM734" s="124" t="n"/>
      <c r="DN734" s="124" t="n"/>
      <c r="DO734" s="124" t="n"/>
      <c r="DP734" s="124" t="n"/>
      <c r="DQ734" s="124" t="n"/>
      <c r="DR734" s="124" t="n"/>
      <c r="DS734" s="124" t="n"/>
      <c r="DT734" s="124" t="n"/>
      <c r="DU734" s="124" t="n"/>
      <c r="DV734" s="124" t="n"/>
      <c r="DW734" s="124" t="n"/>
      <c r="DX734" s="124" t="n"/>
      <c r="DY734" s="124" t="n"/>
      <c r="DZ734" s="124" t="n"/>
      <c r="EA734" s="124" t="n"/>
      <c r="EB734" s="124" t="n"/>
      <c r="EC734" s="124" t="n"/>
      <c r="ED734" s="124" t="n"/>
      <c r="EE734" s="124" t="n"/>
      <c r="EF734" s="124" t="n"/>
      <c r="EG734" s="124" t="n"/>
      <c r="EH734" s="124" t="n"/>
      <c r="EI734" s="124" t="n"/>
      <c r="EJ734" s="124" t="n"/>
      <c r="EK734" s="124" t="n"/>
      <c r="EL734" s="124" t="n"/>
      <c r="EM734" s="124" t="n"/>
      <c r="EN734" s="124" t="n"/>
      <c r="EO734" s="124" t="n"/>
      <c r="EP734" s="124" t="n"/>
      <c r="EQ734" s="124" t="n"/>
      <c r="ER734" s="124" t="n"/>
      <c r="ES734" s="124" t="n"/>
      <c r="ET734" s="124" t="n"/>
      <c r="EU734" s="124" t="n"/>
      <c r="EV734" s="124" t="n"/>
      <c r="EW734" s="124" t="n"/>
      <c r="EX734" s="124" t="n"/>
      <c r="EY734" s="124" t="n"/>
      <c r="EZ734" s="124" t="n"/>
      <c r="FA734" s="124" t="n"/>
      <c r="FB734" s="124" t="n"/>
      <c r="FC734" s="124" t="n"/>
      <c r="FD734" s="124" t="n"/>
      <c r="FE734" s="124" t="n"/>
      <c r="FF734" s="124" t="n"/>
      <c r="FG734" s="124" t="n"/>
      <c r="FH734" s="124" t="n"/>
      <c r="FI734" s="124" t="n"/>
      <c r="FJ734" s="124" t="n"/>
      <c r="FK734" s="124" t="n"/>
      <c r="FL734" s="124" t="n"/>
      <c r="FM734" s="124" t="n"/>
      <c r="FN734" s="124" t="n"/>
      <c r="FO734" s="124" t="n"/>
      <c r="FP734" s="124" t="n"/>
      <c r="FQ734" s="124" t="n"/>
      <c r="FR734" s="124" t="n"/>
      <c r="FS734" s="124" t="n"/>
      <c r="FT734" s="124" t="n"/>
      <c r="FU734" s="124" t="n"/>
      <c r="FV734" s="124" t="n"/>
      <c r="FW734" s="124" t="n"/>
      <c r="FX734" s="124" t="n"/>
      <c r="FY734" s="124" t="n"/>
      <c r="FZ734" s="124" t="n"/>
      <c r="GA734" s="124" t="n"/>
      <c r="GB734" s="124" t="n"/>
      <c r="GC734" s="124" t="n"/>
      <c r="GD734" s="124" t="n"/>
      <c r="GE734" s="124" t="n"/>
      <c r="GF734" s="124" t="n"/>
      <c r="GG734" s="124" t="n"/>
      <c r="GH734" s="124" t="n"/>
      <c r="GI734" s="124" t="n"/>
      <c r="GJ734" s="124" t="n"/>
      <c r="GK734" s="124" t="n"/>
      <c r="GL734" s="124" t="n"/>
      <c r="GM734" s="124" t="n"/>
      <c r="GN734" s="124" t="n"/>
      <c r="GO734" s="124" t="n"/>
      <c r="GP734" s="124" t="n"/>
      <c r="GQ734" s="124" t="n"/>
      <c r="GR734" s="124" t="n"/>
      <c r="GS734" s="124" t="n"/>
      <c r="GT734" s="124" t="n"/>
      <c r="GU734" s="124" t="n"/>
      <c r="GV734" s="124" t="n"/>
      <c r="GW734" s="124" t="n"/>
      <c r="GX734" s="124" t="n"/>
      <c r="GY734" s="124" t="n"/>
      <c r="GZ734" s="124" t="n"/>
      <c r="HA734" s="124" t="n"/>
      <c r="HB734" s="124" t="n"/>
      <c r="HC734" s="124" t="n"/>
      <c r="HD734" s="124" t="n"/>
      <c r="HE734" s="124" t="n"/>
      <c r="HF734" s="124" t="n"/>
      <c r="HG734" s="124" t="n"/>
      <c r="HH734" s="124" t="n"/>
      <c r="HI734" s="124" t="n"/>
      <c r="HJ734" s="124" t="n"/>
      <c r="HK734" s="124" t="n"/>
      <c r="HL734" s="124" t="n"/>
    </row>
    <row r="735" customFormat="1" s="3">
      <c r="A735" s="33" t="inlineStr">
        <is>
          <t>7 этап</t>
        </is>
      </c>
      <c r="B735" s="34" t="n"/>
      <c r="C735" s="38" t="inlineStr">
        <is>
          <t>Разработка грунта</t>
        </is>
      </c>
      <c r="D735" s="36" t="inlineStr">
        <is>
          <t>м3</t>
        </is>
      </c>
      <c r="E735" s="123" t="n">
        <v>887.7</v>
      </c>
      <c r="F735" s="124" t="n"/>
      <c r="G735" s="124" t="n"/>
      <c r="H735" s="124" t="n"/>
      <c r="I735" s="124" t="n"/>
      <c r="J735" s="124" t="n"/>
      <c r="K735" s="124" t="n"/>
      <c r="L735" s="124" t="n"/>
      <c r="M735" s="124" t="n"/>
      <c r="N735" s="124" t="n"/>
      <c r="O735" s="124" t="n"/>
      <c r="P735" s="124" t="n"/>
      <c r="Q735" s="124" t="n"/>
      <c r="R735" s="124" t="n"/>
      <c r="S735" s="124" t="n"/>
      <c r="T735" s="124" t="n"/>
      <c r="U735" s="124" t="n"/>
      <c r="V735" s="124" t="n"/>
      <c r="W735" s="124" t="n"/>
      <c r="X735" s="124" t="n"/>
      <c r="Y735" s="124" t="n"/>
      <c r="Z735" s="124" t="n"/>
      <c r="AA735" s="124" t="n"/>
      <c r="AB735" s="124" t="n"/>
      <c r="AC735" s="124" t="n"/>
      <c r="AD735" s="124" t="n"/>
      <c r="AE735" s="124" t="n"/>
      <c r="AF735" s="124" t="n"/>
      <c r="AG735" s="124" t="n"/>
      <c r="AH735" s="124" t="n"/>
      <c r="AI735" s="124" t="n"/>
      <c r="AJ735" s="124" t="n"/>
      <c r="AK735" s="124" t="n"/>
      <c r="AL735" s="124" t="n"/>
      <c r="AM735" s="124" t="n"/>
      <c r="AN735" s="124" t="n"/>
      <c r="AO735" s="124" t="n"/>
      <c r="AP735" s="124" t="n"/>
      <c r="AQ735" s="124" t="n"/>
      <c r="AR735" s="124" t="n"/>
      <c r="AS735" s="124" t="n"/>
      <c r="AT735" s="124" t="n"/>
      <c r="AU735" s="124" t="n"/>
      <c r="AV735" s="124" t="n"/>
      <c r="AW735" s="124" t="n"/>
      <c r="AX735" s="124" t="n"/>
      <c r="AY735" s="124" t="n"/>
      <c r="AZ735" s="124" t="n"/>
      <c r="BA735" s="124" t="n"/>
      <c r="BB735" s="124" t="n"/>
      <c r="BC735" s="124" t="n"/>
      <c r="BD735" s="124" t="n"/>
      <c r="BE735" s="124" t="n"/>
      <c r="BF735" s="124" t="n"/>
      <c r="BG735" s="124" t="n"/>
      <c r="BH735" s="124" t="n"/>
      <c r="BI735" s="124" t="n"/>
      <c r="BJ735" s="124" t="n"/>
      <c r="BK735" s="124" t="n"/>
      <c r="BL735" s="124" t="n"/>
      <c r="BM735" s="124" t="n"/>
      <c r="BN735" s="124" t="n"/>
      <c r="BO735" s="124" t="n"/>
      <c r="BP735" s="124" t="n"/>
      <c r="BQ735" s="124" t="n"/>
      <c r="BR735" s="124" t="n"/>
      <c r="BS735" s="124" t="n"/>
      <c r="BT735" s="124" t="n"/>
      <c r="BU735" s="124" t="n"/>
      <c r="BV735" s="124" t="n"/>
      <c r="BW735" s="124" t="n"/>
      <c r="BX735" s="124" t="n"/>
      <c r="BY735" s="124" t="n"/>
      <c r="BZ735" s="124" t="n"/>
      <c r="CA735" s="124" t="n"/>
      <c r="CB735" s="124" t="n"/>
      <c r="CC735" s="124" t="n"/>
      <c r="CD735" s="124" t="n"/>
      <c r="CE735" s="124" t="n"/>
      <c r="CF735" s="124" t="n"/>
      <c r="CG735" s="124" t="n"/>
      <c r="CH735" s="124" t="n"/>
      <c r="CI735" s="124" t="n"/>
      <c r="CJ735" s="124" t="n"/>
      <c r="CK735" s="124" t="n"/>
      <c r="CL735" s="124" t="n"/>
      <c r="CM735" s="124" t="n"/>
      <c r="CN735" s="124" t="n"/>
      <c r="CO735" s="124" t="n"/>
      <c r="CP735" s="124" t="n"/>
      <c r="CQ735" s="124" t="n"/>
      <c r="CR735" s="124" t="n"/>
      <c r="CS735" s="124" t="n"/>
      <c r="CT735" s="124" t="n"/>
      <c r="CU735" s="124" t="n"/>
      <c r="CV735" s="124" t="n"/>
      <c r="CW735" s="124" t="n"/>
      <c r="CX735" s="124" t="n"/>
      <c r="CY735" s="124" t="n"/>
      <c r="CZ735" s="124" t="n"/>
      <c r="DA735" s="124" t="n"/>
      <c r="DB735" s="124" t="n"/>
      <c r="DC735" s="124" t="n"/>
      <c r="DD735" s="124" t="n"/>
      <c r="DE735" s="124" t="n"/>
      <c r="DF735" s="124" t="n"/>
      <c r="DG735" s="124" t="n"/>
      <c r="DH735" s="124" t="n"/>
      <c r="DI735" s="124" t="n"/>
      <c r="DJ735" s="124" t="n"/>
      <c r="DK735" s="124" t="n"/>
      <c r="DL735" s="124" t="n"/>
      <c r="DM735" s="124" t="n"/>
      <c r="DN735" s="124" t="n"/>
      <c r="DO735" s="124" t="n"/>
      <c r="DP735" s="124" t="n"/>
      <c r="DQ735" s="124" t="n"/>
      <c r="DR735" s="124" t="n"/>
      <c r="DS735" s="124" t="n"/>
      <c r="DT735" s="124" t="n"/>
      <c r="DU735" s="124" t="n"/>
      <c r="DV735" s="124" t="n"/>
      <c r="DW735" s="124" t="n"/>
      <c r="DX735" s="124" t="n"/>
      <c r="DY735" s="124" t="n"/>
      <c r="DZ735" s="124" t="n"/>
      <c r="EA735" s="124" t="n"/>
      <c r="EB735" s="124" t="n"/>
      <c r="EC735" s="124" t="n"/>
      <c r="ED735" s="124" t="n"/>
      <c r="EE735" s="124" t="n"/>
      <c r="EF735" s="124" t="n"/>
      <c r="EG735" s="124" t="n"/>
      <c r="EH735" s="124" t="n"/>
      <c r="EI735" s="124" t="n"/>
      <c r="EJ735" s="124" t="n"/>
      <c r="EK735" s="124" t="n"/>
      <c r="EL735" s="124" t="n"/>
      <c r="EM735" s="124" t="n"/>
      <c r="EN735" s="124" t="n"/>
      <c r="EO735" s="124" t="n"/>
      <c r="EP735" s="124" t="n"/>
      <c r="EQ735" s="124" t="n"/>
      <c r="ER735" s="124" t="n"/>
      <c r="ES735" s="124" t="n"/>
      <c r="ET735" s="124" t="n"/>
      <c r="EU735" s="124" t="n"/>
      <c r="EV735" s="124" t="n"/>
      <c r="EW735" s="124" t="n"/>
      <c r="EX735" s="124" t="n"/>
      <c r="EY735" s="124" t="n"/>
      <c r="EZ735" s="124" t="n"/>
      <c r="FA735" s="124" t="n"/>
      <c r="FB735" s="124" t="n"/>
      <c r="FC735" s="124" t="n"/>
      <c r="FD735" s="124" t="n"/>
      <c r="FE735" s="124" t="n"/>
      <c r="FF735" s="124" t="n"/>
      <c r="FG735" s="124" t="n"/>
      <c r="FH735" s="124" t="n"/>
      <c r="FI735" s="124" t="n"/>
      <c r="FJ735" s="124" t="n"/>
      <c r="FK735" s="124" t="n"/>
      <c r="FL735" s="124" t="n"/>
      <c r="FM735" s="124" t="n"/>
      <c r="FN735" s="124" t="n"/>
      <c r="FO735" s="124" t="n"/>
      <c r="FP735" s="124" t="n"/>
      <c r="FQ735" s="124" t="n"/>
      <c r="FR735" s="124" t="n"/>
      <c r="FS735" s="124" t="n"/>
      <c r="FT735" s="124" t="n"/>
      <c r="FU735" s="124" t="n"/>
      <c r="FV735" s="124" t="n"/>
      <c r="FW735" s="124" t="n"/>
      <c r="FX735" s="124" t="n"/>
      <c r="FY735" s="124" t="n"/>
      <c r="FZ735" s="124" t="n"/>
      <c r="GA735" s="124" t="n"/>
      <c r="GB735" s="124" t="n"/>
      <c r="GC735" s="124" t="n"/>
      <c r="GD735" s="124" t="n"/>
      <c r="GE735" s="124" t="n"/>
      <c r="GF735" s="124" t="n"/>
      <c r="GG735" s="124" t="n"/>
      <c r="GH735" s="124" t="n"/>
      <c r="GI735" s="124" t="n"/>
      <c r="GJ735" s="124" t="n"/>
      <c r="GK735" s="124" t="n"/>
      <c r="GL735" s="124" t="n"/>
      <c r="GM735" s="124" t="n"/>
      <c r="GN735" s="124" t="n"/>
      <c r="GO735" s="124" t="n"/>
      <c r="GP735" s="124" t="n"/>
      <c r="GQ735" s="124" t="n"/>
      <c r="GR735" s="124" t="n"/>
      <c r="GS735" s="124" t="n"/>
      <c r="GT735" s="124" t="n"/>
      <c r="GU735" s="124" t="n"/>
      <c r="GV735" s="124" t="n"/>
      <c r="GW735" s="124" t="n"/>
      <c r="GX735" s="124" t="n"/>
      <c r="GY735" s="124" t="n"/>
      <c r="GZ735" s="124" t="n"/>
      <c r="HA735" s="124" t="n"/>
      <c r="HB735" s="124" t="n"/>
      <c r="HC735" s="124" t="n"/>
      <c r="HD735" s="124" t="n"/>
      <c r="HE735" s="124" t="n"/>
      <c r="HF735" s="124" t="n"/>
      <c r="HG735" s="124" t="n"/>
      <c r="HH735" s="124" t="n"/>
      <c r="HI735" s="124" t="n"/>
      <c r="HJ735" s="124" t="n"/>
      <c r="HK735" s="124" t="n"/>
      <c r="HL735" s="124" t="n"/>
    </row>
    <row r="736" customFormat="1" s="3">
      <c r="A736" s="33" t="inlineStr">
        <is>
          <t>7 этап</t>
        </is>
      </c>
      <c r="B736" s="34" t="n"/>
      <c r="C736" s="38" t="inlineStr">
        <is>
          <t>Устройство песчаного основания</t>
        </is>
      </c>
      <c r="D736" s="36" t="inlineStr">
        <is>
          <t>м3</t>
        </is>
      </c>
      <c r="E736" s="123" t="n">
        <v>25.6</v>
      </c>
      <c r="F736" s="124" t="n"/>
      <c r="G736" s="124" t="n"/>
      <c r="H736" s="124" t="n"/>
      <c r="I736" s="124" t="n"/>
      <c r="J736" s="124" t="n"/>
      <c r="K736" s="124" t="n"/>
      <c r="L736" s="124" t="n"/>
      <c r="M736" s="124" t="n"/>
      <c r="N736" s="124" t="n"/>
      <c r="O736" s="124" t="n"/>
      <c r="P736" s="124" t="n"/>
      <c r="Q736" s="124" t="n"/>
      <c r="R736" s="124" t="n"/>
      <c r="S736" s="124" t="n"/>
      <c r="T736" s="124" t="n"/>
      <c r="U736" s="124" t="n"/>
      <c r="V736" s="124" t="n"/>
      <c r="W736" s="124" t="n"/>
      <c r="X736" s="124" t="n"/>
      <c r="Y736" s="124" t="n"/>
      <c r="Z736" s="124" t="n"/>
      <c r="AA736" s="124" t="n"/>
      <c r="AB736" s="124" t="n"/>
      <c r="AC736" s="124" t="n"/>
      <c r="AD736" s="124" t="n"/>
      <c r="AE736" s="124" t="n"/>
      <c r="AF736" s="124" t="n"/>
      <c r="AG736" s="124" t="n"/>
      <c r="AH736" s="124" t="n"/>
      <c r="AI736" s="124" t="n"/>
      <c r="AJ736" s="124" t="n"/>
      <c r="AK736" s="124" t="n"/>
      <c r="AL736" s="124" t="n"/>
      <c r="AM736" s="124" t="n"/>
      <c r="AN736" s="124" t="n"/>
      <c r="AO736" s="124" t="n"/>
      <c r="AP736" s="124" t="n"/>
      <c r="AQ736" s="124" t="n"/>
      <c r="AR736" s="124" t="n"/>
      <c r="AS736" s="124" t="n"/>
      <c r="AT736" s="124" t="n"/>
      <c r="AU736" s="124" t="n"/>
      <c r="AV736" s="124" t="n"/>
      <c r="AW736" s="124" t="n"/>
      <c r="AX736" s="124" t="n"/>
      <c r="AY736" s="124" t="n"/>
      <c r="AZ736" s="124" t="n"/>
      <c r="BA736" s="124" t="n"/>
      <c r="BB736" s="124" t="n"/>
      <c r="BC736" s="124" t="n"/>
      <c r="BD736" s="124" t="n"/>
      <c r="BE736" s="124" t="n"/>
      <c r="BF736" s="124" t="n"/>
      <c r="BG736" s="124" t="n"/>
      <c r="BH736" s="124" t="n"/>
      <c r="BI736" s="124" t="n"/>
      <c r="BJ736" s="124" t="n"/>
      <c r="BK736" s="124" t="n"/>
      <c r="BL736" s="124" t="n"/>
      <c r="BM736" s="124" t="n"/>
      <c r="BN736" s="124" t="n"/>
      <c r="BO736" s="124" t="n"/>
      <c r="BP736" s="124" t="n"/>
      <c r="BQ736" s="124" t="n"/>
      <c r="BR736" s="124" t="n"/>
      <c r="BS736" s="124" t="n"/>
      <c r="BT736" s="124" t="n"/>
      <c r="BU736" s="124" t="n"/>
      <c r="BV736" s="124" t="n"/>
      <c r="BW736" s="124" t="n"/>
      <c r="BX736" s="124" t="n"/>
      <c r="BY736" s="124" t="n"/>
      <c r="BZ736" s="124" t="n"/>
      <c r="CA736" s="124" t="n"/>
      <c r="CB736" s="124" t="n"/>
      <c r="CC736" s="124" t="n"/>
      <c r="CD736" s="124" t="n"/>
      <c r="CE736" s="124" t="n"/>
      <c r="CF736" s="124" t="n"/>
      <c r="CG736" s="124" t="n"/>
      <c r="CH736" s="124" t="n"/>
      <c r="CI736" s="124" t="n"/>
      <c r="CJ736" s="124" t="n"/>
      <c r="CK736" s="124" t="n"/>
      <c r="CL736" s="124" t="n"/>
      <c r="CM736" s="124" t="n"/>
      <c r="CN736" s="124" t="n"/>
      <c r="CO736" s="124" t="n"/>
      <c r="CP736" s="124" t="n"/>
      <c r="CQ736" s="124" t="n"/>
      <c r="CR736" s="124" t="n"/>
      <c r="CS736" s="124" t="n"/>
      <c r="CT736" s="124" t="n"/>
      <c r="CU736" s="124" t="n"/>
      <c r="CV736" s="124" t="n"/>
      <c r="CW736" s="124" t="n"/>
      <c r="CX736" s="124" t="n"/>
      <c r="CY736" s="124" t="n"/>
      <c r="CZ736" s="124" t="n"/>
      <c r="DA736" s="124" t="n"/>
      <c r="DB736" s="124" t="n"/>
      <c r="DC736" s="124" t="n"/>
      <c r="DD736" s="124" t="n"/>
      <c r="DE736" s="124" t="n"/>
      <c r="DF736" s="124" t="n"/>
      <c r="DG736" s="124" t="n"/>
      <c r="DH736" s="124" t="n"/>
      <c r="DI736" s="124" t="n"/>
      <c r="DJ736" s="124" t="n"/>
      <c r="DK736" s="124" t="n"/>
      <c r="DL736" s="124" t="n"/>
      <c r="DM736" s="124" t="n"/>
      <c r="DN736" s="124" t="n"/>
      <c r="DO736" s="124" t="n"/>
      <c r="DP736" s="124" t="n"/>
      <c r="DQ736" s="124" t="n"/>
      <c r="DR736" s="124" t="n"/>
      <c r="DS736" s="124" t="n"/>
      <c r="DT736" s="124" t="n"/>
      <c r="DU736" s="124" t="n"/>
      <c r="DV736" s="124" t="n"/>
      <c r="DW736" s="124" t="n"/>
      <c r="DX736" s="124" t="n"/>
      <c r="DY736" s="124" t="n"/>
      <c r="DZ736" s="124" t="n"/>
      <c r="EA736" s="124" t="n"/>
      <c r="EB736" s="124" t="n"/>
      <c r="EC736" s="124" t="n"/>
      <c r="ED736" s="124" t="n"/>
      <c r="EE736" s="124" t="n"/>
      <c r="EF736" s="124" t="n"/>
      <c r="EG736" s="124" t="n"/>
      <c r="EH736" s="124" t="n"/>
      <c r="EI736" s="124" t="n"/>
      <c r="EJ736" s="124" t="n"/>
      <c r="EK736" s="124" t="n"/>
      <c r="EL736" s="124" t="n"/>
      <c r="EM736" s="124" t="n"/>
      <c r="EN736" s="124" t="n"/>
      <c r="EO736" s="124" t="n"/>
      <c r="EP736" s="124" t="n"/>
      <c r="EQ736" s="124" t="n"/>
      <c r="ER736" s="124" t="n"/>
      <c r="ES736" s="124" t="n"/>
      <c r="ET736" s="124" t="n"/>
      <c r="EU736" s="124" t="n"/>
      <c r="EV736" s="124" t="n"/>
      <c r="EW736" s="124" t="n"/>
      <c r="EX736" s="124" t="n"/>
      <c r="EY736" s="124" t="n"/>
      <c r="EZ736" s="124" t="n"/>
      <c r="FA736" s="124" t="n"/>
      <c r="FB736" s="124" t="n"/>
      <c r="FC736" s="124" t="n"/>
      <c r="FD736" s="124" t="n"/>
      <c r="FE736" s="124" t="n"/>
      <c r="FF736" s="124" t="n"/>
      <c r="FG736" s="124" t="n"/>
      <c r="FH736" s="124" t="n"/>
      <c r="FI736" s="124" t="n"/>
      <c r="FJ736" s="124" t="n"/>
      <c r="FK736" s="124" t="n"/>
      <c r="FL736" s="124" t="n"/>
      <c r="FM736" s="124" t="n"/>
      <c r="FN736" s="124" t="n"/>
      <c r="FO736" s="124" t="n"/>
      <c r="FP736" s="124" t="n"/>
      <c r="FQ736" s="124" t="n"/>
      <c r="FR736" s="124" t="n"/>
      <c r="FS736" s="124" t="n"/>
      <c r="FT736" s="124" t="n"/>
      <c r="FU736" s="124" t="n"/>
      <c r="FV736" s="124" t="n"/>
      <c r="FW736" s="124" t="n"/>
      <c r="FX736" s="124" t="n"/>
      <c r="FY736" s="124" t="n"/>
      <c r="FZ736" s="124" t="n"/>
      <c r="GA736" s="124" t="n"/>
      <c r="GB736" s="124" t="n"/>
      <c r="GC736" s="124" t="n"/>
      <c r="GD736" s="124" t="n"/>
      <c r="GE736" s="124" t="n"/>
      <c r="GF736" s="124" t="n"/>
      <c r="GG736" s="124" t="n"/>
      <c r="GH736" s="124" t="n"/>
      <c r="GI736" s="124" t="n"/>
      <c r="GJ736" s="124" t="n"/>
      <c r="GK736" s="124" t="n"/>
      <c r="GL736" s="124" t="n"/>
      <c r="GM736" s="124" t="n"/>
      <c r="GN736" s="124" t="n"/>
      <c r="GO736" s="124" t="n"/>
      <c r="GP736" s="124" t="n"/>
      <c r="GQ736" s="124" t="n"/>
      <c r="GR736" s="124" t="n"/>
      <c r="GS736" s="124" t="n"/>
      <c r="GT736" s="124" t="n"/>
      <c r="GU736" s="124" t="n"/>
      <c r="GV736" s="124" t="n"/>
      <c r="GW736" s="124" t="n"/>
      <c r="GX736" s="124" t="n"/>
      <c r="GY736" s="124" t="n"/>
      <c r="GZ736" s="124" t="n"/>
      <c r="HA736" s="124" t="n"/>
      <c r="HB736" s="124" t="n"/>
      <c r="HC736" s="124" t="n"/>
      <c r="HD736" s="124" t="n"/>
      <c r="HE736" s="124" t="n"/>
      <c r="HF736" s="124" t="n"/>
      <c r="HG736" s="124" t="n"/>
      <c r="HH736" s="124" t="n"/>
      <c r="HI736" s="124" t="n"/>
      <c r="HJ736" s="124" t="n"/>
      <c r="HK736" s="124" t="n"/>
      <c r="HL736" s="124" t="n"/>
    </row>
    <row r="737" customFormat="1" s="3">
      <c r="A737" s="33" t="inlineStr">
        <is>
          <t>7 этап</t>
        </is>
      </c>
      <c r="B737" s="34" t="n"/>
      <c r="C737" s="38" t="inlineStr">
        <is>
          <t>Обратная засыпка с уплотнением</t>
        </is>
      </c>
      <c r="D737" s="36" t="inlineStr">
        <is>
          <t>м3</t>
        </is>
      </c>
      <c r="E737" s="123" t="n">
        <v>862.1</v>
      </c>
      <c r="F737" s="124" t="n"/>
      <c r="G737" s="124" t="n"/>
      <c r="H737" s="124" t="n"/>
      <c r="I737" s="124" t="n"/>
      <c r="J737" s="124" t="n"/>
      <c r="K737" s="124" t="n"/>
      <c r="L737" s="124" t="n"/>
      <c r="M737" s="124" t="n"/>
      <c r="N737" s="124" t="n"/>
      <c r="O737" s="124" t="n"/>
      <c r="P737" s="124" t="n"/>
      <c r="Q737" s="124" t="n"/>
      <c r="R737" s="124" t="n"/>
      <c r="S737" s="124" t="n"/>
      <c r="T737" s="124" t="n"/>
      <c r="U737" s="124" t="n"/>
      <c r="V737" s="124" t="n"/>
      <c r="W737" s="124" t="n"/>
      <c r="X737" s="124" t="n"/>
      <c r="Y737" s="124" t="n"/>
      <c r="Z737" s="124" t="n"/>
      <c r="AA737" s="124" t="n"/>
      <c r="AB737" s="124" t="n"/>
      <c r="AC737" s="124" t="n"/>
      <c r="AD737" s="124" t="n"/>
      <c r="AE737" s="124" t="n"/>
      <c r="AF737" s="124" t="n"/>
      <c r="AG737" s="124" t="n"/>
      <c r="AH737" s="124" t="n"/>
      <c r="AI737" s="124" t="n"/>
      <c r="AJ737" s="124" t="n"/>
      <c r="AK737" s="124" t="n"/>
      <c r="AL737" s="124" t="n"/>
      <c r="AM737" s="124" t="n"/>
      <c r="AN737" s="124" t="n"/>
      <c r="AO737" s="124" t="n"/>
      <c r="AP737" s="124" t="n"/>
      <c r="AQ737" s="124" t="n"/>
      <c r="AR737" s="124" t="n"/>
      <c r="AS737" s="124" t="n"/>
      <c r="AT737" s="124" t="n"/>
      <c r="AU737" s="124" t="n"/>
      <c r="AV737" s="124" t="n"/>
      <c r="AW737" s="124" t="n"/>
      <c r="AX737" s="124" t="n"/>
      <c r="AY737" s="124" t="n"/>
      <c r="AZ737" s="124" t="n"/>
      <c r="BA737" s="124" t="n"/>
      <c r="BB737" s="124" t="n"/>
      <c r="BC737" s="124" t="n"/>
      <c r="BD737" s="124" t="n"/>
      <c r="BE737" s="124" t="n"/>
      <c r="BF737" s="124" t="n"/>
      <c r="BG737" s="124" t="n"/>
      <c r="BH737" s="124" t="n"/>
      <c r="BI737" s="124" t="n"/>
      <c r="BJ737" s="124" t="n"/>
      <c r="BK737" s="124" t="n"/>
      <c r="BL737" s="124" t="n"/>
      <c r="BM737" s="124" t="n"/>
      <c r="BN737" s="124" t="n"/>
      <c r="BO737" s="124" t="n"/>
      <c r="BP737" s="124" t="n"/>
      <c r="BQ737" s="124" t="n"/>
      <c r="BR737" s="124" t="n"/>
      <c r="BS737" s="124" t="n"/>
      <c r="BT737" s="124" t="n"/>
      <c r="BU737" s="124" t="n"/>
      <c r="BV737" s="124" t="n"/>
      <c r="BW737" s="124" t="n"/>
      <c r="BX737" s="124" t="n"/>
      <c r="BY737" s="124" t="n"/>
      <c r="BZ737" s="124" t="n"/>
      <c r="CA737" s="124" t="n"/>
      <c r="CB737" s="124" t="n"/>
      <c r="CC737" s="124" t="n"/>
      <c r="CD737" s="124" t="n"/>
      <c r="CE737" s="124" t="n"/>
      <c r="CF737" s="124" t="n"/>
      <c r="CG737" s="124" t="n"/>
      <c r="CH737" s="124" t="n"/>
      <c r="CI737" s="124" t="n"/>
      <c r="CJ737" s="124" t="n"/>
      <c r="CK737" s="124" t="n"/>
      <c r="CL737" s="124" t="n"/>
      <c r="CM737" s="124" t="n"/>
      <c r="CN737" s="124" t="n"/>
      <c r="CO737" s="124" t="n"/>
      <c r="CP737" s="124" t="n"/>
      <c r="CQ737" s="124" t="n"/>
      <c r="CR737" s="124" t="n"/>
      <c r="CS737" s="124" t="n"/>
      <c r="CT737" s="124" t="n"/>
      <c r="CU737" s="124" t="n"/>
      <c r="CV737" s="124" t="n"/>
      <c r="CW737" s="124" t="n"/>
      <c r="CX737" s="124" t="n"/>
      <c r="CY737" s="124" t="n"/>
      <c r="CZ737" s="124" t="n"/>
      <c r="DA737" s="124" t="n"/>
      <c r="DB737" s="124" t="n"/>
      <c r="DC737" s="124" t="n"/>
      <c r="DD737" s="124" t="n"/>
      <c r="DE737" s="124" t="n"/>
      <c r="DF737" s="124" t="n"/>
      <c r="DG737" s="124" t="n"/>
      <c r="DH737" s="124" t="n"/>
      <c r="DI737" s="124" t="n"/>
      <c r="DJ737" s="124" t="n"/>
      <c r="DK737" s="124" t="n"/>
      <c r="DL737" s="124" t="n"/>
      <c r="DM737" s="124" t="n"/>
      <c r="DN737" s="124" t="n"/>
      <c r="DO737" s="124" t="n"/>
      <c r="DP737" s="124" t="n"/>
      <c r="DQ737" s="124" t="n"/>
      <c r="DR737" s="124" t="n"/>
      <c r="DS737" s="124" t="n"/>
      <c r="DT737" s="124" t="n"/>
      <c r="DU737" s="124" t="n"/>
      <c r="DV737" s="124" t="n"/>
      <c r="DW737" s="124" t="n"/>
      <c r="DX737" s="124" t="n"/>
      <c r="DY737" s="124" t="n"/>
      <c r="DZ737" s="124" t="n"/>
      <c r="EA737" s="124" t="n"/>
      <c r="EB737" s="124" t="n"/>
      <c r="EC737" s="124" t="n"/>
      <c r="ED737" s="124" t="n"/>
      <c r="EE737" s="124" t="n"/>
      <c r="EF737" s="124" t="n"/>
      <c r="EG737" s="124" t="n"/>
      <c r="EH737" s="124" t="n"/>
      <c r="EI737" s="124" t="n"/>
      <c r="EJ737" s="124" t="n"/>
      <c r="EK737" s="124" t="n"/>
      <c r="EL737" s="124" t="n"/>
      <c r="EM737" s="124" t="n"/>
      <c r="EN737" s="124" t="n"/>
      <c r="EO737" s="124" t="n"/>
      <c r="EP737" s="124" t="n"/>
      <c r="EQ737" s="124" t="n"/>
      <c r="ER737" s="124" t="n"/>
      <c r="ES737" s="124" t="n"/>
      <c r="ET737" s="124" t="n"/>
      <c r="EU737" s="124" t="n"/>
      <c r="EV737" s="124" t="n"/>
      <c r="EW737" s="124" t="n"/>
      <c r="EX737" s="124" t="n"/>
      <c r="EY737" s="124" t="n"/>
      <c r="EZ737" s="124" t="n"/>
      <c r="FA737" s="124" t="n"/>
      <c r="FB737" s="124" t="n"/>
      <c r="FC737" s="124" t="n"/>
      <c r="FD737" s="124" t="n"/>
      <c r="FE737" s="124" t="n"/>
      <c r="FF737" s="124" t="n"/>
      <c r="FG737" s="124" t="n"/>
      <c r="FH737" s="124" t="n"/>
      <c r="FI737" s="124" t="n"/>
      <c r="FJ737" s="124" t="n"/>
      <c r="FK737" s="124" t="n"/>
      <c r="FL737" s="124" t="n"/>
      <c r="FM737" s="124" t="n"/>
      <c r="FN737" s="124" t="n"/>
      <c r="FO737" s="124" t="n"/>
      <c r="FP737" s="124" t="n"/>
      <c r="FQ737" s="124" t="n"/>
      <c r="FR737" s="124" t="n"/>
      <c r="FS737" s="124" t="n"/>
      <c r="FT737" s="124" t="n"/>
      <c r="FU737" s="124" t="n"/>
      <c r="FV737" s="124" t="n"/>
      <c r="FW737" s="124" t="n"/>
      <c r="FX737" s="124" t="n"/>
      <c r="FY737" s="124" t="n"/>
      <c r="FZ737" s="124" t="n"/>
      <c r="GA737" s="124" t="n"/>
      <c r="GB737" s="124" t="n"/>
      <c r="GC737" s="124" t="n"/>
      <c r="GD737" s="124" t="n"/>
      <c r="GE737" s="124" t="n"/>
      <c r="GF737" s="124" t="n"/>
      <c r="GG737" s="124" t="n"/>
      <c r="GH737" s="124" t="n"/>
      <c r="GI737" s="124" t="n"/>
      <c r="GJ737" s="124" t="n"/>
      <c r="GK737" s="124" t="n"/>
      <c r="GL737" s="124" t="n"/>
      <c r="GM737" s="124" t="n"/>
      <c r="GN737" s="124" t="n"/>
      <c r="GO737" s="124" t="n"/>
      <c r="GP737" s="124" t="n"/>
      <c r="GQ737" s="124" t="n"/>
      <c r="GR737" s="124" t="n"/>
      <c r="GS737" s="124" t="n"/>
      <c r="GT737" s="124" t="n"/>
      <c r="GU737" s="124" t="n"/>
      <c r="GV737" s="124" t="n"/>
      <c r="GW737" s="124" t="n"/>
      <c r="GX737" s="124" t="n"/>
      <c r="GY737" s="124" t="n"/>
      <c r="GZ737" s="124" t="n"/>
      <c r="HA737" s="124" t="n"/>
      <c r="HB737" s="124" t="n"/>
      <c r="HC737" s="124" t="n"/>
      <c r="HD737" s="124" t="n"/>
      <c r="HE737" s="124" t="n"/>
      <c r="HF737" s="124" t="n"/>
      <c r="HG737" s="124" t="n"/>
      <c r="HH737" s="124" t="n"/>
      <c r="HI737" s="124" t="n"/>
      <c r="HJ737" s="124" t="n"/>
      <c r="HK737" s="124" t="n"/>
      <c r="HL737" s="124" t="n"/>
    </row>
    <row r="738" customFormat="1" s="3">
      <c r="A738" s="33" t="inlineStr">
        <is>
          <t>7 этап</t>
        </is>
      </c>
      <c r="B738" s="34" t="inlineStr">
        <is>
          <t>2.2</t>
        </is>
      </c>
      <c r="C738" s="108" t="inlineStr">
        <is>
          <t>Монтаж колодцев в комплекте и прокладка труб К1</t>
        </is>
      </c>
      <c r="D738" s="36" t="inlineStr">
        <is>
          <t>компл.</t>
        </is>
      </c>
      <c r="E738" s="123" t="n">
        <v>0.66</v>
      </c>
      <c r="F738" s="166" t="n">
        <v>4500</v>
      </c>
      <c r="G738" s="166" t="n">
        <v>2970</v>
      </c>
      <c r="H738" s="124" t="inlineStr">
        <is>
          <t>ФЕР-2020 × 0.75</t>
        </is>
      </c>
      <c r="I738" s="124" t="n"/>
      <c r="J738" s="124" t="n"/>
      <c r="K738" s="124" t="n"/>
      <c r="L738" s="124" t="n"/>
      <c r="M738" s="124" t="n"/>
      <c r="N738" s="124" t="n"/>
      <c r="O738" s="124" t="n"/>
      <c r="P738" s="124" t="n"/>
      <c r="Q738" s="124" t="n"/>
      <c r="R738" s="124" t="n"/>
      <c r="S738" s="124" t="n"/>
      <c r="T738" s="124" t="n"/>
      <c r="U738" s="124" t="n"/>
      <c r="V738" s="124" t="n"/>
      <c r="W738" s="124" t="n"/>
      <c r="X738" s="124" t="n"/>
      <c r="Y738" s="124" t="n"/>
      <c r="Z738" s="124" t="n"/>
      <c r="AA738" s="124" t="n"/>
      <c r="AB738" s="124" t="n"/>
      <c r="AC738" s="124" t="n"/>
      <c r="AD738" s="124" t="n"/>
      <c r="AE738" s="124" t="n"/>
      <c r="AF738" s="124" t="n"/>
      <c r="AG738" s="124" t="n"/>
      <c r="AH738" s="124" t="n"/>
      <c r="AI738" s="124" t="n"/>
      <c r="AJ738" s="124" t="n"/>
      <c r="AK738" s="124" t="n"/>
      <c r="AL738" s="124" t="n"/>
      <c r="AM738" s="124" t="n"/>
      <c r="AN738" s="124" t="n"/>
      <c r="AO738" s="124" t="n"/>
      <c r="AP738" s="124" t="n"/>
      <c r="AQ738" s="124" t="n"/>
      <c r="AR738" s="124" t="n"/>
      <c r="AS738" s="124" t="n"/>
      <c r="AT738" s="124" t="n"/>
      <c r="AU738" s="124" t="n"/>
      <c r="AV738" s="124" t="n"/>
      <c r="AW738" s="124" t="n"/>
      <c r="AX738" s="124" t="n"/>
      <c r="AY738" s="124" t="n"/>
      <c r="AZ738" s="124" t="n"/>
      <c r="BA738" s="124" t="n"/>
      <c r="BB738" s="124" t="n"/>
      <c r="BC738" s="124" t="n"/>
      <c r="BD738" s="124" t="n"/>
      <c r="BE738" s="124" t="n"/>
      <c r="BF738" s="124" t="n"/>
      <c r="BG738" s="124" t="n"/>
      <c r="BH738" s="124" t="n"/>
      <c r="BI738" s="124" t="n"/>
      <c r="BJ738" s="124" t="n"/>
      <c r="BK738" s="124" t="n"/>
      <c r="BL738" s="124" t="n"/>
      <c r="BM738" s="124" t="n"/>
      <c r="BN738" s="124" t="n"/>
      <c r="BO738" s="124" t="n"/>
      <c r="BP738" s="124" t="n"/>
      <c r="BQ738" s="124" t="n"/>
      <c r="BR738" s="124" t="n"/>
      <c r="BS738" s="124" t="n"/>
      <c r="BT738" s="124" t="n"/>
      <c r="BU738" s="124" t="n"/>
      <c r="BV738" s="124" t="n"/>
      <c r="BW738" s="124" t="n"/>
      <c r="BX738" s="124" t="n"/>
      <c r="BY738" s="124" t="n"/>
      <c r="BZ738" s="124" t="n"/>
      <c r="CA738" s="124" t="n"/>
      <c r="CB738" s="124" t="n"/>
      <c r="CC738" s="124" t="n"/>
      <c r="CD738" s="124" t="n"/>
      <c r="CE738" s="124" t="n"/>
      <c r="CF738" s="124" t="n"/>
      <c r="CG738" s="124" t="n"/>
      <c r="CH738" s="124" t="n"/>
      <c r="CI738" s="124" t="n"/>
      <c r="CJ738" s="124" t="n"/>
      <c r="CK738" s="124" t="n"/>
      <c r="CL738" s="124" t="n"/>
      <c r="CM738" s="124" t="n"/>
      <c r="CN738" s="124" t="n"/>
      <c r="CO738" s="124" t="n"/>
      <c r="CP738" s="124" t="n"/>
      <c r="CQ738" s="124" t="n"/>
      <c r="CR738" s="124" t="n"/>
      <c r="CS738" s="124" t="n"/>
      <c r="CT738" s="124" t="n"/>
      <c r="CU738" s="124" t="n"/>
      <c r="CV738" s="124" t="n"/>
      <c r="CW738" s="124" t="n"/>
      <c r="CX738" s="124" t="n"/>
      <c r="CY738" s="124" t="n"/>
      <c r="CZ738" s="124" t="n"/>
      <c r="DA738" s="124" t="n"/>
      <c r="DB738" s="124" t="n"/>
      <c r="DC738" s="124" t="n"/>
      <c r="DD738" s="124" t="n"/>
      <c r="DE738" s="124" t="n"/>
      <c r="DF738" s="124" t="n"/>
      <c r="DG738" s="124" t="n"/>
      <c r="DH738" s="124" t="n"/>
      <c r="DI738" s="124" t="n"/>
      <c r="DJ738" s="124" t="n"/>
      <c r="DK738" s="124" t="n"/>
      <c r="DL738" s="124" t="n"/>
      <c r="DM738" s="124" t="n"/>
      <c r="DN738" s="124" t="n"/>
      <c r="DO738" s="124" t="n"/>
      <c r="DP738" s="124" t="n"/>
      <c r="DQ738" s="124" t="n"/>
      <c r="DR738" s="124" t="n"/>
      <c r="DS738" s="124" t="n"/>
      <c r="DT738" s="124" t="n"/>
      <c r="DU738" s="124" t="n"/>
      <c r="DV738" s="124" t="n"/>
      <c r="DW738" s="124" t="n"/>
      <c r="DX738" s="124" t="n"/>
      <c r="DY738" s="124" t="n"/>
      <c r="DZ738" s="124" t="n"/>
      <c r="EA738" s="124" t="n"/>
      <c r="EB738" s="124" t="n"/>
      <c r="EC738" s="124" t="n"/>
      <c r="ED738" s="124" t="n"/>
      <c r="EE738" s="124" t="n"/>
      <c r="EF738" s="124" t="n"/>
      <c r="EG738" s="124" t="n"/>
      <c r="EH738" s="124" t="n"/>
      <c r="EI738" s="124" t="n"/>
      <c r="EJ738" s="124" t="n"/>
      <c r="EK738" s="124" t="n"/>
      <c r="EL738" s="124" t="n"/>
      <c r="EM738" s="124" t="n"/>
      <c r="EN738" s="124" t="n"/>
      <c r="EO738" s="124" t="n"/>
      <c r="EP738" s="124" t="n"/>
      <c r="EQ738" s="124" t="n"/>
      <c r="ER738" s="124" t="n"/>
      <c r="ES738" s="124" t="n"/>
      <c r="ET738" s="124" t="n"/>
      <c r="EU738" s="124" t="n"/>
      <c r="EV738" s="124" t="n"/>
      <c r="EW738" s="124" t="n"/>
      <c r="EX738" s="124" t="n"/>
      <c r="EY738" s="124" t="n"/>
      <c r="EZ738" s="124" t="n"/>
      <c r="FA738" s="124" t="n"/>
      <c r="FB738" s="124" t="n"/>
      <c r="FC738" s="124" t="n"/>
      <c r="FD738" s="124" t="n"/>
      <c r="FE738" s="124" t="n"/>
      <c r="FF738" s="124" t="n"/>
      <c r="FG738" s="124" t="n"/>
      <c r="FH738" s="124" t="n"/>
      <c r="FI738" s="124" t="n"/>
      <c r="FJ738" s="124" t="n"/>
      <c r="FK738" s="124" t="n"/>
      <c r="FL738" s="124" t="n"/>
      <c r="FM738" s="124" t="n"/>
      <c r="FN738" s="124" t="n"/>
      <c r="FO738" s="124" t="n"/>
      <c r="FP738" s="124" t="n"/>
      <c r="FQ738" s="124" t="n"/>
      <c r="FR738" s="124" t="n"/>
      <c r="FS738" s="124" t="n"/>
      <c r="FT738" s="124" t="n"/>
      <c r="FU738" s="124" t="n"/>
      <c r="FV738" s="124" t="n"/>
      <c r="FW738" s="124" t="n"/>
      <c r="FX738" s="124" t="n"/>
      <c r="FY738" s="124" t="n"/>
      <c r="FZ738" s="124" t="n"/>
      <c r="GA738" s="124" t="n"/>
      <c r="GB738" s="124" t="n"/>
      <c r="GC738" s="124" t="n"/>
      <c r="GD738" s="124" t="n"/>
      <c r="GE738" s="124" t="n"/>
      <c r="GF738" s="124" t="n"/>
      <c r="GG738" s="124" t="n"/>
      <c r="GH738" s="124" t="n"/>
      <c r="GI738" s="124" t="n"/>
      <c r="GJ738" s="124" t="n"/>
      <c r="GK738" s="124" t="n"/>
      <c r="GL738" s="124" t="n"/>
      <c r="GM738" s="124" t="n"/>
      <c r="GN738" s="124" t="n"/>
      <c r="GO738" s="124" t="n"/>
      <c r="GP738" s="124" t="n"/>
      <c r="GQ738" s="124" t="n"/>
      <c r="GR738" s="124" t="n"/>
      <c r="GS738" s="124" t="n"/>
      <c r="GT738" s="124" t="n"/>
      <c r="GU738" s="124" t="n"/>
      <c r="GV738" s="124" t="n"/>
      <c r="GW738" s="124" t="n"/>
      <c r="GX738" s="124" t="n"/>
      <c r="GY738" s="124" t="n"/>
      <c r="GZ738" s="124" t="n"/>
      <c r="HA738" s="124" t="n"/>
      <c r="HB738" s="124" t="n"/>
      <c r="HC738" s="124" t="n"/>
      <c r="HD738" s="124" t="n"/>
      <c r="HE738" s="124" t="n"/>
      <c r="HF738" s="124" t="n"/>
      <c r="HG738" s="124" t="n"/>
      <c r="HH738" s="124" t="n"/>
      <c r="HI738" s="124" t="n"/>
      <c r="HJ738" s="124" t="n"/>
      <c r="HK738" s="124" t="n"/>
      <c r="HL738" s="124" t="n"/>
    </row>
    <row r="739" customFormat="1" s="3">
      <c r="A739" s="33" t="inlineStr">
        <is>
          <t>7 этап</t>
        </is>
      </c>
      <c r="B739" s="34" t="n"/>
      <c r="C739" s="108" t="inlineStr">
        <is>
          <t>Колодцы К1</t>
        </is>
      </c>
      <c r="D739" s="36" t="inlineStr">
        <is>
          <t>шт.</t>
        </is>
      </c>
      <c r="E739" s="123" t="n">
        <v>8</v>
      </c>
      <c r="F739" s="124" t="n"/>
      <c r="G739" s="124" t="n"/>
      <c r="H739" s="124" t="n"/>
      <c r="I739" s="124" t="n"/>
      <c r="J739" s="124" t="n"/>
      <c r="K739" s="124" t="n"/>
      <c r="L739" s="124" t="n"/>
      <c r="M739" s="124" t="n"/>
      <c r="N739" s="124" t="n"/>
      <c r="O739" s="124" t="n"/>
      <c r="P739" s="124" t="n"/>
      <c r="Q739" s="124" t="n"/>
      <c r="R739" s="124" t="n"/>
      <c r="S739" s="124" t="n"/>
      <c r="T739" s="124" t="n"/>
      <c r="U739" s="124" t="n"/>
      <c r="V739" s="124" t="n"/>
      <c r="W739" s="124" t="n"/>
      <c r="X739" s="124" t="n"/>
      <c r="Y739" s="124" t="n"/>
      <c r="Z739" s="124" t="n"/>
      <c r="AA739" s="124" t="n"/>
      <c r="AB739" s="124" t="n"/>
      <c r="AC739" s="124" t="n"/>
      <c r="AD739" s="124" t="n"/>
      <c r="AE739" s="124" t="n"/>
      <c r="AF739" s="124" t="n"/>
      <c r="AG739" s="124" t="n"/>
      <c r="AH739" s="124" t="n"/>
      <c r="AI739" s="124" t="n"/>
      <c r="AJ739" s="124" t="n"/>
      <c r="AK739" s="124" t="n"/>
      <c r="AL739" s="124" t="n"/>
      <c r="AM739" s="124" t="n"/>
      <c r="AN739" s="124" t="n"/>
      <c r="AO739" s="124" t="n"/>
      <c r="AP739" s="124" t="n"/>
      <c r="AQ739" s="124" t="n"/>
      <c r="AR739" s="124" t="n"/>
      <c r="AS739" s="124" t="n"/>
      <c r="AT739" s="124" t="n"/>
      <c r="AU739" s="124" t="n"/>
      <c r="AV739" s="124" t="n"/>
      <c r="AW739" s="124" t="n"/>
      <c r="AX739" s="124" t="n"/>
      <c r="AY739" s="124" t="n"/>
      <c r="AZ739" s="124" t="n"/>
      <c r="BA739" s="124" t="n"/>
      <c r="BB739" s="124" t="n"/>
      <c r="BC739" s="124" t="n"/>
      <c r="BD739" s="124" t="n"/>
      <c r="BE739" s="124" t="n"/>
      <c r="BF739" s="124" t="n"/>
      <c r="BG739" s="124" t="n"/>
      <c r="BH739" s="124" t="n"/>
      <c r="BI739" s="124" t="n"/>
      <c r="BJ739" s="124" t="n"/>
      <c r="BK739" s="124" t="n"/>
      <c r="BL739" s="124" t="n"/>
      <c r="BM739" s="124" t="n"/>
      <c r="BN739" s="124" t="n"/>
      <c r="BO739" s="124" t="n"/>
      <c r="BP739" s="124" t="n"/>
      <c r="BQ739" s="124" t="n"/>
      <c r="BR739" s="124" t="n"/>
      <c r="BS739" s="124" t="n"/>
      <c r="BT739" s="124" t="n"/>
      <c r="BU739" s="124" t="n"/>
      <c r="BV739" s="124" t="n"/>
      <c r="BW739" s="124" t="n"/>
      <c r="BX739" s="124" t="n"/>
      <c r="BY739" s="124" t="n"/>
      <c r="BZ739" s="124" t="n"/>
      <c r="CA739" s="124" t="n"/>
      <c r="CB739" s="124" t="n"/>
      <c r="CC739" s="124" t="n"/>
      <c r="CD739" s="124" t="n"/>
      <c r="CE739" s="124" t="n"/>
      <c r="CF739" s="124" t="n"/>
      <c r="CG739" s="124" t="n"/>
      <c r="CH739" s="124" t="n"/>
      <c r="CI739" s="124" t="n"/>
      <c r="CJ739" s="124" t="n"/>
      <c r="CK739" s="124" t="n"/>
      <c r="CL739" s="124" t="n"/>
      <c r="CM739" s="124" t="n"/>
      <c r="CN739" s="124" t="n"/>
      <c r="CO739" s="124" t="n"/>
      <c r="CP739" s="124" t="n"/>
      <c r="CQ739" s="124" t="n"/>
      <c r="CR739" s="124" t="n"/>
      <c r="CS739" s="124" t="n"/>
      <c r="CT739" s="124" t="n"/>
      <c r="CU739" s="124" t="n"/>
      <c r="CV739" s="124" t="n"/>
      <c r="CW739" s="124" t="n"/>
      <c r="CX739" s="124" t="n"/>
      <c r="CY739" s="124" t="n"/>
      <c r="CZ739" s="124" t="n"/>
      <c r="DA739" s="124" t="n"/>
      <c r="DB739" s="124" t="n"/>
      <c r="DC739" s="124" t="n"/>
      <c r="DD739" s="124" t="n"/>
      <c r="DE739" s="124" t="n"/>
      <c r="DF739" s="124" t="n"/>
      <c r="DG739" s="124" t="n"/>
      <c r="DH739" s="124" t="n"/>
      <c r="DI739" s="124" t="n"/>
      <c r="DJ739" s="124" t="n"/>
      <c r="DK739" s="124" t="n"/>
      <c r="DL739" s="124" t="n"/>
      <c r="DM739" s="124" t="n"/>
      <c r="DN739" s="124" t="n"/>
      <c r="DO739" s="124" t="n"/>
      <c r="DP739" s="124" t="n"/>
      <c r="DQ739" s="124" t="n"/>
      <c r="DR739" s="124" t="n"/>
      <c r="DS739" s="124" t="n"/>
      <c r="DT739" s="124" t="n"/>
      <c r="DU739" s="124" t="n"/>
      <c r="DV739" s="124" t="n"/>
      <c r="DW739" s="124" t="n"/>
      <c r="DX739" s="124" t="n"/>
      <c r="DY739" s="124" t="n"/>
      <c r="DZ739" s="124" t="n"/>
      <c r="EA739" s="124" t="n"/>
      <c r="EB739" s="124" t="n"/>
      <c r="EC739" s="124" t="n"/>
      <c r="ED739" s="124" t="n"/>
      <c r="EE739" s="124" t="n"/>
      <c r="EF739" s="124" t="n"/>
      <c r="EG739" s="124" t="n"/>
      <c r="EH739" s="124" t="n"/>
      <c r="EI739" s="124" t="n"/>
      <c r="EJ739" s="124" t="n"/>
      <c r="EK739" s="124" t="n"/>
      <c r="EL739" s="124" t="n"/>
      <c r="EM739" s="124" t="n"/>
      <c r="EN739" s="124" t="n"/>
      <c r="EO739" s="124" t="n"/>
      <c r="EP739" s="124" t="n"/>
      <c r="EQ739" s="124" t="n"/>
      <c r="ER739" s="124" t="n"/>
      <c r="ES739" s="124" t="n"/>
      <c r="ET739" s="124" t="n"/>
      <c r="EU739" s="124" t="n"/>
      <c r="EV739" s="124" t="n"/>
      <c r="EW739" s="124" t="n"/>
      <c r="EX739" s="124" t="n"/>
      <c r="EY739" s="124" t="n"/>
      <c r="EZ739" s="124" t="n"/>
      <c r="FA739" s="124" t="n"/>
      <c r="FB739" s="124" t="n"/>
      <c r="FC739" s="124" t="n"/>
      <c r="FD739" s="124" t="n"/>
      <c r="FE739" s="124" t="n"/>
      <c r="FF739" s="124" t="n"/>
      <c r="FG739" s="124" t="n"/>
      <c r="FH739" s="124" t="n"/>
      <c r="FI739" s="124" t="n"/>
      <c r="FJ739" s="124" t="n"/>
      <c r="FK739" s="124" t="n"/>
      <c r="FL739" s="124" t="n"/>
      <c r="FM739" s="124" t="n"/>
      <c r="FN739" s="124" t="n"/>
      <c r="FO739" s="124" t="n"/>
      <c r="FP739" s="124" t="n"/>
      <c r="FQ739" s="124" t="n"/>
      <c r="FR739" s="124" t="n"/>
      <c r="FS739" s="124" t="n"/>
      <c r="FT739" s="124" t="n"/>
      <c r="FU739" s="124" t="n"/>
      <c r="FV739" s="124" t="n"/>
      <c r="FW739" s="124" t="n"/>
      <c r="FX739" s="124" t="n"/>
      <c r="FY739" s="124" t="n"/>
      <c r="FZ739" s="124" t="n"/>
      <c r="GA739" s="124" t="n"/>
      <c r="GB739" s="124" t="n"/>
      <c r="GC739" s="124" t="n"/>
      <c r="GD739" s="124" t="n"/>
      <c r="GE739" s="124" t="n"/>
      <c r="GF739" s="124" t="n"/>
      <c r="GG739" s="124" t="n"/>
      <c r="GH739" s="124" t="n"/>
      <c r="GI739" s="124" t="n"/>
      <c r="GJ739" s="124" t="n"/>
      <c r="GK739" s="124" t="n"/>
      <c r="GL739" s="124" t="n"/>
      <c r="GM739" s="124" t="n"/>
      <c r="GN739" s="124" t="n"/>
      <c r="GO739" s="124" t="n"/>
      <c r="GP739" s="124" t="n"/>
      <c r="GQ739" s="124" t="n"/>
      <c r="GR739" s="124" t="n"/>
      <c r="GS739" s="124" t="n"/>
      <c r="GT739" s="124" t="n"/>
      <c r="GU739" s="124" t="n"/>
      <c r="GV739" s="124" t="n"/>
      <c r="GW739" s="124" t="n"/>
      <c r="GX739" s="124" t="n"/>
      <c r="GY739" s="124" t="n"/>
      <c r="GZ739" s="124" t="n"/>
      <c r="HA739" s="124" t="n"/>
      <c r="HB739" s="124" t="n"/>
      <c r="HC739" s="124" t="n"/>
      <c r="HD739" s="124" t="n"/>
      <c r="HE739" s="124" t="n"/>
      <c r="HF739" s="124" t="n"/>
      <c r="HG739" s="124" t="n"/>
      <c r="HH739" s="124" t="n"/>
      <c r="HI739" s="124" t="n"/>
      <c r="HJ739" s="124" t="n"/>
      <c r="HK739" s="124" t="n"/>
      <c r="HL739" s="124" t="n"/>
    </row>
    <row r="740" customFormat="1" s="3">
      <c r="A740" s="33" t="inlineStr">
        <is>
          <t>7 этап</t>
        </is>
      </c>
      <c r="B740" s="34" t="n"/>
      <c r="C740" s="108" t="inlineStr">
        <is>
          <t>Трубы канализационные ПВХ  Ø110мм</t>
        </is>
      </c>
      <c r="D740" s="36" t="inlineStr">
        <is>
          <t>м</t>
        </is>
      </c>
      <c r="E740" s="123" t="n">
        <v>22</v>
      </c>
      <c r="F740" s="124" t="n"/>
      <c r="G740" s="124" t="n"/>
      <c r="H740" s="124" t="n"/>
      <c r="I740" s="124" t="n"/>
      <c r="J740" s="124" t="n"/>
      <c r="K740" s="124" t="n"/>
      <c r="L740" s="124" t="n"/>
      <c r="M740" s="124" t="n"/>
      <c r="N740" s="124" t="n"/>
      <c r="O740" s="124" t="n"/>
      <c r="P740" s="124" t="n"/>
      <c r="Q740" s="124" t="n"/>
      <c r="R740" s="124" t="n"/>
      <c r="S740" s="124" t="n"/>
      <c r="T740" s="124" t="n"/>
      <c r="U740" s="124" t="n"/>
      <c r="V740" s="124" t="n"/>
      <c r="W740" s="124" t="n"/>
      <c r="X740" s="124" t="n"/>
      <c r="Y740" s="124" t="n"/>
      <c r="Z740" s="124" t="n"/>
      <c r="AA740" s="124" t="n"/>
      <c r="AB740" s="124" t="n"/>
      <c r="AC740" s="124" t="n"/>
      <c r="AD740" s="124" t="n"/>
      <c r="AE740" s="124" t="n"/>
      <c r="AF740" s="124" t="n"/>
      <c r="AG740" s="124" t="n"/>
      <c r="AH740" s="124" t="n"/>
      <c r="AI740" s="124" t="n"/>
      <c r="AJ740" s="124" t="n"/>
      <c r="AK740" s="124" t="n"/>
      <c r="AL740" s="124" t="n"/>
      <c r="AM740" s="124" t="n"/>
      <c r="AN740" s="124" t="n"/>
      <c r="AO740" s="124" t="n"/>
      <c r="AP740" s="124" t="n"/>
      <c r="AQ740" s="124" t="n"/>
      <c r="AR740" s="124" t="n"/>
      <c r="AS740" s="124" t="n"/>
      <c r="AT740" s="124" t="n"/>
      <c r="AU740" s="124" t="n"/>
      <c r="AV740" s="124" t="n"/>
      <c r="AW740" s="124" t="n"/>
      <c r="AX740" s="124" t="n"/>
      <c r="AY740" s="124" t="n"/>
      <c r="AZ740" s="124" t="n"/>
      <c r="BA740" s="124" t="n"/>
      <c r="BB740" s="124" t="n"/>
      <c r="BC740" s="124" t="n"/>
      <c r="BD740" s="124" t="n"/>
      <c r="BE740" s="124" t="n"/>
      <c r="BF740" s="124" t="n"/>
      <c r="BG740" s="124" t="n"/>
      <c r="BH740" s="124" t="n"/>
      <c r="BI740" s="124" t="n"/>
      <c r="BJ740" s="124" t="n"/>
      <c r="BK740" s="124" t="n"/>
      <c r="BL740" s="124" t="n"/>
      <c r="BM740" s="124" t="n"/>
      <c r="BN740" s="124" t="n"/>
      <c r="BO740" s="124" t="n"/>
      <c r="BP740" s="124" t="n"/>
      <c r="BQ740" s="124" t="n"/>
      <c r="BR740" s="124" t="n"/>
      <c r="BS740" s="124" t="n"/>
      <c r="BT740" s="124" t="n"/>
      <c r="BU740" s="124" t="n"/>
      <c r="BV740" s="124" t="n"/>
      <c r="BW740" s="124" t="n"/>
      <c r="BX740" s="124" t="n"/>
      <c r="BY740" s="124" t="n"/>
      <c r="BZ740" s="124" t="n"/>
      <c r="CA740" s="124" t="n"/>
      <c r="CB740" s="124" t="n"/>
      <c r="CC740" s="124" t="n"/>
      <c r="CD740" s="124" t="n"/>
      <c r="CE740" s="124" t="n"/>
      <c r="CF740" s="124" t="n"/>
      <c r="CG740" s="124" t="n"/>
      <c r="CH740" s="124" t="n"/>
      <c r="CI740" s="124" t="n"/>
      <c r="CJ740" s="124" t="n"/>
      <c r="CK740" s="124" t="n"/>
      <c r="CL740" s="124" t="n"/>
      <c r="CM740" s="124" t="n"/>
      <c r="CN740" s="124" t="n"/>
      <c r="CO740" s="124" t="n"/>
      <c r="CP740" s="124" t="n"/>
      <c r="CQ740" s="124" t="n"/>
      <c r="CR740" s="124" t="n"/>
      <c r="CS740" s="124" t="n"/>
      <c r="CT740" s="124" t="n"/>
      <c r="CU740" s="124" t="n"/>
      <c r="CV740" s="124" t="n"/>
      <c r="CW740" s="124" t="n"/>
      <c r="CX740" s="124" t="n"/>
      <c r="CY740" s="124" t="n"/>
      <c r="CZ740" s="124" t="n"/>
      <c r="DA740" s="124" t="n"/>
      <c r="DB740" s="124" t="n"/>
      <c r="DC740" s="124" t="n"/>
      <c r="DD740" s="124" t="n"/>
      <c r="DE740" s="124" t="n"/>
      <c r="DF740" s="124" t="n"/>
      <c r="DG740" s="124" t="n"/>
      <c r="DH740" s="124" t="n"/>
      <c r="DI740" s="124" t="n"/>
      <c r="DJ740" s="124" t="n"/>
      <c r="DK740" s="124" t="n"/>
      <c r="DL740" s="124" t="n"/>
      <c r="DM740" s="124" t="n"/>
      <c r="DN740" s="124" t="n"/>
      <c r="DO740" s="124" t="n"/>
      <c r="DP740" s="124" t="n"/>
      <c r="DQ740" s="124" t="n"/>
      <c r="DR740" s="124" t="n"/>
      <c r="DS740" s="124" t="n"/>
      <c r="DT740" s="124" t="n"/>
      <c r="DU740" s="124" t="n"/>
      <c r="DV740" s="124" t="n"/>
      <c r="DW740" s="124" t="n"/>
      <c r="DX740" s="124" t="n"/>
      <c r="DY740" s="124" t="n"/>
      <c r="DZ740" s="124" t="n"/>
      <c r="EA740" s="124" t="n"/>
      <c r="EB740" s="124" t="n"/>
      <c r="EC740" s="124" t="n"/>
      <c r="ED740" s="124" t="n"/>
      <c r="EE740" s="124" t="n"/>
      <c r="EF740" s="124" t="n"/>
      <c r="EG740" s="124" t="n"/>
      <c r="EH740" s="124" t="n"/>
      <c r="EI740" s="124" t="n"/>
      <c r="EJ740" s="124" t="n"/>
      <c r="EK740" s="124" t="n"/>
      <c r="EL740" s="124" t="n"/>
      <c r="EM740" s="124" t="n"/>
      <c r="EN740" s="124" t="n"/>
      <c r="EO740" s="124" t="n"/>
      <c r="EP740" s="124" t="n"/>
      <c r="EQ740" s="124" t="n"/>
      <c r="ER740" s="124" t="n"/>
      <c r="ES740" s="124" t="n"/>
      <c r="ET740" s="124" t="n"/>
      <c r="EU740" s="124" t="n"/>
      <c r="EV740" s="124" t="n"/>
      <c r="EW740" s="124" t="n"/>
      <c r="EX740" s="124" t="n"/>
      <c r="EY740" s="124" t="n"/>
      <c r="EZ740" s="124" t="n"/>
      <c r="FA740" s="124" t="n"/>
      <c r="FB740" s="124" t="n"/>
      <c r="FC740" s="124" t="n"/>
      <c r="FD740" s="124" t="n"/>
      <c r="FE740" s="124" t="n"/>
      <c r="FF740" s="124" t="n"/>
      <c r="FG740" s="124" t="n"/>
      <c r="FH740" s="124" t="n"/>
      <c r="FI740" s="124" t="n"/>
      <c r="FJ740" s="124" t="n"/>
      <c r="FK740" s="124" t="n"/>
      <c r="FL740" s="124" t="n"/>
      <c r="FM740" s="124" t="n"/>
      <c r="FN740" s="124" t="n"/>
      <c r="FO740" s="124" t="n"/>
      <c r="FP740" s="124" t="n"/>
      <c r="FQ740" s="124" t="n"/>
      <c r="FR740" s="124" t="n"/>
      <c r="FS740" s="124" t="n"/>
      <c r="FT740" s="124" t="n"/>
      <c r="FU740" s="124" t="n"/>
      <c r="FV740" s="124" t="n"/>
      <c r="FW740" s="124" t="n"/>
      <c r="FX740" s="124" t="n"/>
      <c r="FY740" s="124" t="n"/>
      <c r="FZ740" s="124" t="n"/>
      <c r="GA740" s="124" t="n"/>
      <c r="GB740" s="124" t="n"/>
      <c r="GC740" s="124" t="n"/>
      <c r="GD740" s="124" t="n"/>
      <c r="GE740" s="124" t="n"/>
      <c r="GF740" s="124" t="n"/>
      <c r="GG740" s="124" t="n"/>
      <c r="GH740" s="124" t="n"/>
      <c r="GI740" s="124" t="n"/>
      <c r="GJ740" s="124" t="n"/>
      <c r="GK740" s="124" t="n"/>
      <c r="GL740" s="124" t="n"/>
      <c r="GM740" s="124" t="n"/>
      <c r="GN740" s="124" t="n"/>
      <c r="GO740" s="124" t="n"/>
      <c r="GP740" s="124" t="n"/>
      <c r="GQ740" s="124" t="n"/>
      <c r="GR740" s="124" t="n"/>
      <c r="GS740" s="124" t="n"/>
      <c r="GT740" s="124" t="n"/>
      <c r="GU740" s="124" t="n"/>
      <c r="GV740" s="124" t="n"/>
      <c r="GW740" s="124" t="n"/>
      <c r="GX740" s="124" t="n"/>
      <c r="GY740" s="124" t="n"/>
      <c r="GZ740" s="124" t="n"/>
      <c r="HA740" s="124" t="n"/>
      <c r="HB740" s="124" t="n"/>
      <c r="HC740" s="124" t="n"/>
      <c r="HD740" s="124" t="n"/>
      <c r="HE740" s="124" t="n"/>
      <c r="HF740" s="124" t="n"/>
      <c r="HG740" s="124" t="n"/>
      <c r="HH740" s="124" t="n"/>
      <c r="HI740" s="124" t="n"/>
      <c r="HJ740" s="124" t="n"/>
      <c r="HK740" s="124" t="n"/>
      <c r="HL740" s="124" t="n"/>
    </row>
    <row r="741" customFormat="1" s="3">
      <c r="A741" s="33" t="inlineStr">
        <is>
          <t>7 этап</t>
        </is>
      </c>
      <c r="B741" s="34" t="n"/>
      <c r="C741" s="108" t="inlineStr">
        <is>
          <t>Трубы канализационные асбестоцементная  Ø150мм</t>
        </is>
      </c>
      <c r="D741" s="36" t="inlineStr">
        <is>
          <t>м</t>
        </is>
      </c>
      <c r="E741" s="123" t="n">
        <v>60</v>
      </c>
      <c r="F741" s="124" t="n"/>
      <c r="G741" s="124" t="n"/>
      <c r="H741" s="124" t="n"/>
      <c r="I741" s="124" t="n"/>
      <c r="J741" s="124" t="n"/>
      <c r="K741" s="124" t="n"/>
      <c r="L741" s="124" t="n"/>
      <c r="M741" s="124" t="n"/>
      <c r="N741" s="124" t="n"/>
      <c r="O741" s="124" t="n"/>
      <c r="P741" s="124" t="n"/>
      <c r="Q741" s="124" t="n"/>
      <c r="R741" s="124" t="n"/>
      <c r="S741" s="124" t="n"/>
      <c r="T741" s="124" t="n"/>
      <c r="U741" s="124" t="n"/>
      <c r="V741" s="124" t="n"/>
      <c r="W741" s="124" t="n"/>
      <c r="X741" s="124" t="n"/>
      <c r="Y741" s="124" t="n"/>
      <c r="Z741" s="124" t="n"/>
      <c r="AA741" s="124" t="n"/>
      <c r="AB741" s="124" t="n"/>
      <c r="AC741" s="124" t="n"/>
      <c r="AD741" s="124" t="n"/>
      <c r="AE741" s="124" t="n"/>
      <c r="AF741" s="124" t="n"/>
      <c r="AG741" s="124" t="n"/>
      <c r="AH741" s="124" t="n"/>
      <c r="AI741" s="124" t="n"/>
      <c r="AJ741" s="124" t="n"/>
      <c r="AK741" s="124" t="n"/>
      <c r="AL741" s="124" t="n"/>
      <c r="AM741" s="124" t="n"/>
      <c r="AN741" s="124" t="n"/>
      <c r="AO741" s="124" t="n"/>
      <c r="AP741" s="124" t="n"/>
      <c r="AQ741" s="124" t="n"/>
      <c r="AR741" s="124" t="n"/>
      <c r="AS741" s="124" t="n"/>
      <c r="AT741" s="124" t="n"/>
      <c r="AU741" s="124" t="n"/>
      <c r="AV741" s="124" t="n"/>
      <c r="AW741" s="124" t="n"/>
      <c r="AX741" s="124" t="n"/>
      <c r="AY741" s="124" t="n"/>
      <c r="AZ741" s="124" t="n"/>
      <c r="BA741" s="124" t="n"/>
      <c r="BB741" s="124" t="n"/>
      <c r="BC741" s="124" t="n"/>
      <c r="BD741" s="124" t="n"/>
      <c r="BE741" s="124" t="n"/>
      <c r="BF741" s="124" t="n"/>
      <c r="BG741" s="124" t="n"/>
      <c r="BH741" s="124" t="n"/>
      <c r="BI741" s="124" t="n"/>
      <c r="BJ741" s="124" t="n"/>
      <c r="BK741" s="124" t="n"/>
      <c r="BL741" s="124" t="n"/>
      <c r="BM741" s="124" t="n"/>
      <c r="BN741" s="124" t="n"/>
      <c r="BO741" s="124" t="n"/>
      <c r="BP741" s="124" t="n"/>
      <c r="BQ741" s="124" t="n"/>
      <c r="BR741" s="124" t="n"/>
      <c r="BS741" s="124" t="n"/>
      <c r="BT741" s="124" t="n"/>
      <c r="BU741" s="124" t="n"/>
      <c r="BV741" s="124" t="n"/>
      <c r="BW741" s="124" t="n"/>
      <c r="BX741" s="124" t="n"/>
      <c r="BY741" s="124" t="n"/>
      <c r="BZ741" s="124" t="n"/>
      <c r="CA741" s="124" t="n"/>
      <c r="CB741" s="124" t="n"/>
      <c r="CC741" s="124" t="n"/>
      <c r="CD741" s="124" t="n"/>
      <c r="CE741" s="124" t="n"/>
      <c r="CF741" s="124" t="n"/>
      <c r="CG741" s="124" t="n"/>
      <c r="CH741" s="124" t="n"/>
      <c r="CI741" s="124" t="n"/>
      <c r="CJ741" s="124" t="n"/>
      <c r="CK741" s="124" t="n"/>
      <c r="CL741" s="124" t="n"/>
      <c r="CM741" s="124" t="n"/>
      <c r="CN741" s="124" t="n"/>
      <c r="CO741" s="124" t="n"/>
      <c r="CP741" s="124" t="n"/>
      <c r="CQ741" s="124" t="n"/>
      <c r="CR741" s="124" t="n"/>
      <c r="CS741" s="124" t="n"/>
      <c r="CT741" s="124" t="n"/>
      <c r="CU741" s="124" t="n"/>
      <c r="CV741" s="124" t="n"/>
      <c r="CW741" s="124" t="n"/>
      <c r="CX741" s="124" t="n"/>
      <c r="CY741" s="124" t="n"/>
      <c r="CZ741" s="124" t="n"/>
      <c r="DA741" s="124" t="n"/>
      <c r="DB741" s="124" t="n"/>
      <c r="DC741" s="124" t="n"/>
      <c r="DD741" s="124" t="n"/>
      <c r="DE741" s="124" t="n"/>
      <c r="DF741" s="124" t="n"/>
      <c r="DG741" s="124" t="n"/>
      <c r="DH741" s="124" t="n"/>
      <c r="DI741" s="124" t="n"/>
      <c r="DJ741" s="124" t="n"/>
      <c r="DK741" s="124" t="n"/>
      <c r="DL741" s="124" t="n"/>
      <c r="DM741" s="124" t="n"/>
      <c r="DN741" s="124" t="n"/>
      <c r="DO741" s="124" t="n"/>
      <c r="DP741" s="124" t="n"/>
      <c r="DQ741" s="124" t="n"/>
      <c r="DR741" s="124" t="n"/>
      <c r="DS741" s="124" t="n"/>
      <c r="DT741" s="124" t="n"/>
      <c r="DU741" s="124" t="n"/>
      <c r="DV741" s="124" t="n"/>
      <c r="DW741" s="124" t="n"/>
      <c r="DX741" s="124" t="n"/>
      <c r="DY741" s="124" t="n"/>
      <c r="DZ741" s="124" t="n"/>
      <c r="EA741" s="124" t="n"/>
      <c r="EB741" s="124" t="n"/>
      <c r="EC741" s="124" t="n"/>
      <c r="ED741" s="124" t="n"/>
      <c r="EE741" s="124" t="n"/>
      <c r="EF741" s="124" t="n"/>
      <c r="EG741" s="124" t="n"/>
      <c r="EH741" s="124" t="n"/>
      <c r="EI741" s="124" t="n"/>
      <c r="EJ741" s="124" t="n"/>
      <c r="EK741" s="124" t="n"/>
      <c r="EL741" s="124" t="n"/>
      <c r="EM741" s="124" t="n"/>
      <c r="EN741" s="124" t="n"/>
      <c r="EO741" s="124" t="n"/>
      <c r="EP741" s="124" t="n"/>
      <c r="EQ741" s="124" t="n"/>
      <c r="ER741" s="124" t="n"/>
      <c r="ES741" s="124" t="n"/>
      <c r="ET741" s="124" t="n"/>
      <c r="EU741" s="124" t="n"/>
      <c r="EV741" s="124" t="n"/>
      <c r="EW741" s="124" t="n"/>
      <c r="EX741" s="124" t="n"/>
      <c r="EY741" s="124" t="n"/>
      <c r="EZ741" s="124" t="n"/>
      <c r="FA741" s="124" t="n"/>
      <c r="FB741" s="124" t="n"/>
      <c r="FC741" s="124" t="n"/>
      <c r="FD741" s="124" t="n"/>
      <c r="FE741" s="124" t="n"/>
      <c r="FF741" s="124" t="n"/>
      <c r="FG741" s="124" t="n"/>
      <c r="FH741" s="124" t="n"/>
      <c r="FI741" s="124" t="n"/>
      <c r="FJ741" s="124" t="n"/>
      <c r="FK741" s="124" t="n"/>
      <c r="FL741" s="124" t="n"/>
      <c r="FM741" s="124" t="n"/>
      <c r="FN741" s="124" t="n"/>
      <c r="FO741" s="124" t="n"/>
      <c r="FP741" s="124" t="n"/>
      <c r="FQ741" s="124" t="n"/>
      <c r="FR741" s="124" t="n"/>
      <c r="FS741" s="124" t="n"/>
      <c r="FT741" s="124" t="n"/>
      <c r="FU741" s="124" t="n"/>
      <c r="FV741" s="124" t="n"/>
      <c r="FW741" s="124" t="n"/>
      <c r="FX741" s="124" t="n"/>
      <c r="FY741" s="124" t="n"/>
      <c r="FZ741" s="124" t="n"/>
      <c r="GA741" s="124" t="n"/>
      <c r="GB741" s="124" t="n"/>
      <c r="GC741" s="124" t="n"/>
      <c r="GD741" s="124" t="n"/>
      <c r="GE741" s="124" t="n"/>
      <c r="GF741" s="124" t="n"/>
      <c r="GG741" s="124" t="n"/>
      <c r="GH741" s="124" t="n"/>
      <c r="GI741" s="124" t="n"/>
      <c r="GJ741" s="124" t="n"/>
      <c r="GK741" s="124" t="n"/>
      <c r="GL741" s="124" t="n"/>
      <c r="GM741" s="124" t="n"/>
      <c r="GN741" s="124" t="n"/>
      <c r="GO741" s="124" t="n"/>
      <c r="GP741" s="124" t="n"/>
      <c r="GQ741" s="124" t="n"/>
      <c r="GR741" s="124" t="n"/>
      <c r="GS741" s="124" t="n"/>
      <c r="GT741" s="124" t="n"/>
      <c r="GU741" s="124" t="n"/>
      <c r="GV741" s="124" t="n"/>
      <c r="GW741" s="124" t="n"/>
      <c r="GX741" s="124" t="n"/>
      <c r="GY741" s="124" t="n"/>
      <c r="GZ741" s="124" t="n"/>
      <c r="HA741" s="124" t="n"/>
      <c r="HB741" s="124" t="n"/>
      <c r="HC741" s="124" t="n"/>
      <c r="HD741" s="124" t="n"/>
      <c r="HE741" s="124" t="n"/>
      <c r="HF741" s="124" t="n"/>
      <c r="HG741" s="124" t="n"/>
      <c r="HH741" s="124" t="n"/>
      <c r="HI741" s="124" t="n"/>
      <c r="HJ741" s="124" t="n"/>
      <c r="HK741" s="124" t="n"/>
      <c r="HL741" s="124" t="n"/>
    </row>
    <row r="742" customFormat="1" s="3">
      <c r="A742" s="33" t="inlineStr">
        <is>
          <t>7 этап</t>
        </is>
      </c>
      <c r="B742" s="34" t="n"/>
      <c r="C742" s="108" t="inlineStr">
        <is>
          <t>Трубы канализационные асбестоцементная  Ø200мм</t>
        </is>
      </c>
      <c r="D742" s="36" t="inlineStr">
        <is>
          <t>м</t>
        </is>
      </c>
      <c r="E742" s="123" t="n">
        <v>70</v>
      </c>
      <c r="F742" s="124" t="n"/>
      <c r="G742" s="124" t="n"/>
      <c r="H742" s="124" t="n"/>
      <c r="I742" s="124" t="n"/>
      <c r="J742" s="124" t="n"/>
      <c r="K742" s="124" t="n"/>
      <c r="L742" s="124" t="n"/>
      <c r="M742" s="124" t="n"/>
      <c r="N742" s="124" t="n"/>
      <c r="O742" s="124" t="n"/>
      <c r="P742" s="124" t="n"/>
      <c r="Q742" s="124" t="n"/>
      <c r="R742" s="124" t="n"/>
      <c r="S742" s="124" t="n"/>
      <c r="T742" s="124" t="n"/>
      <c r="U742" s="124" t="n"/>
      <c r="V742" s="124" t="n"/>
      <c r="W742" s="124" t="n"/>
      <c r="X742" s="124" t="n"/>
      <c r="Y742" s="124" t="n"/>
      <c r="Z742" s="124" t="n"/>
      <c r="AA742" s="124" t="n"/>
      <c r="AB742" s="124" t="n"/>
      <c r="AC742" s="124" t="n"/>
      <c r="AD742" s="124" t="n"/>
      <c r="AE742" s="124" t="n"/>
      <c r="AF742" s="124" t="n"/>
      <c r="AG742" s="124" t="n"/>
      <c r="AH742" s="124" t="n"/>
      <c r="AI742" s="124" t="n"/>
      <c r="AJ742" s="124" t="n"/>
      <c r="AK742" s="124" t="n"/>
      <c r="AL742" s="124" t="n"/>
      <c r="AM742" s="124" t="n"/>
      <c r="AN742" s="124" t="n"/>
      <c r="AO742" s="124" t="n"/>
      <c r="AP742" s="124" t="n"/>
      <c r="AQ742" s="124" t="n"/>
      <c r="AR742" s="124" t="n"/>
      <c r="AS742" s="124" t="n"/>
      <c r="AT742" s="124" t="n"/>
      <c r="AU742" s="124" t="n"/>
      <c r="AV742" s="124" t="n"/>
      <c r="AW742" s="124" t="n"/>
      <c r="AX742" s="124" t="n"/>
      <c r="AY742" s="124" t="n"/>
      <c r="AZ742" s="124" t="n"/>
      <c r="BA742" s="124" t="n"/>
      <c r="BB742" s="124" t="n"/>
      <c r="BC742" s="124" t="n"/>
      <c r="BD742" s="124" t="n"/>
      <c r="BE742" s="124" t="n"/>
      <c r="BF742" s="124" t="n"/>
      <c r="BG742" s="124" t="n"/>
      <c r="BH742" s="124" t="n"/>
      <c r="BI742" s="124" t="n"/>
      <c r="BJ742" s="124" t="n"/>
      <c r="BK742" s="124" t="n"/>
      <c r="BL742" s="124" t="n"/>
      <c r="BM742" s="124" t="n"/>
      <c r="BN742" s="124" t="n"/>
      <c r="BO742" s="124" t="n"/>
      <c r="BP742" s="124" t="n"/>
      <c r="BQ742" s="124" t="n"/>
      <c r="BR742" s="124" t="n"/>
      <c r="BS742" s="124" t="n"/>
      <c r="BT742" s="124" t="n"/>
      <c r="BU742" s="124" t="n"/>
      <c r="BV742" s="124" t="n"/>
      <c r="BW742" s="124" t="n"/>
      <c r="BX742" s="124" t="n"/>
      <c r="BY742" s="124" t="n"/>
      <c r="BZ742" s="124" t="n"/>
      <c r="CA742" s="124" t="n"/>
      <c r="CB742" s="124" t="n"/>
      <c r="CC742" s="124" t="n"/>
      <c r="CD742" s="124" t="n"/>
      <c r="CE742" s="124" t="n"/>
      <c r="CF742" s="124" t="n"/>
      <c r="CG742" s="124" t="n"/>
      <c r="CH742" s="124" t="n"/>
      <c r="CI742" s="124" t="n"/>
      <c r="CJ742" s="124" t="n"/>
      <c r="CK742" s="124" t="n"/>
      <c r="CL742" s="124" t="n"/>
      <c r="CM742" s="124" t="n"/>
      <c r="CN742" s="124" t="n"/>
      <c r="CO742" s="124" t="n"/>
      <c r="CP742" s="124" t="n"/>
      <c r="CQ742" s="124" t="n"/>
      <c r="CR742" s="124" t="n"/>
      <c r="CS742" s="124" t="n"/>
      <c r="CT742" s="124" t="n"/>
      <c r="CU742" s="124" t="n"/>
      <c r="CV742" s="124" t="n"/>
      <c r="CW742" s="124" t="n"/>
      <c r="CX742" s="124" t="n"/>
      <c r="CY742" s="124" t="n"/>
      <c r="CZ742" s="124" t="n"/>
      <c r="DA742" s="124" t="n"/>
      <c r="DB742" s="124" t="n"/>
      <c r="DC742" s="124" t="n"/>
      <c r="DD742" s="124" t="n"/>
      <c r="DE742" s="124" t="n"/>
      <c r="DF742" s="124" t="n"/>
      <c r="DG742" s="124" t="n"/>
      <c r="DH742" s="124" t="n"/>
      <c r="DI742" s="124" t="n"/>
      <c r="DJ742" s="124" t="n"/>
      <c r="DK742" s="124" t="n"/>
      <c r="DL742" s="124" t="n"/>
      <c r="DM742" s="124" t="n"/>
      <c r="DN742" s="124" t="n"/>
      <c r="DO742" s="124" t="n"/>
      <c r="DP742" s="124" t="n"/>
      <c r="DQ742" s="124" t="n"/>
      <c r="DR742" s="124" t="n"/>
      <c r="DS742" s="124" t="n"/>
      <c r="DT742" s="124" t="n"/>
      <c r="DU742" s="124" t="n"/>
      <c r="DV742" s="124" t="n"/>
      <c r="DW742" s="124" t="n"/>
      <c r="DX742" s="124" t="n"/>
      <c r="DY742" s="124" t="n"/>
      <c r="DZ742" s="124" t="n"/>
      <c r="EA742" s="124" t="n"/>
      <c r="EB742" s="124" t="n"/>
      <c r="EC742" s="124" t="n"/>
      <c r="ED742" s="124" t="n"/>
      <c r="EE742" s="124" t="n"/>
      <c r="EF742" s="124" t="n"/>
      <c r="EG742" s="124" t="n"/>
      <c r="EH742" s="124" t="n"/>
      <c r="EI742" s="124" t="n"/>
      <c r="EJ742" s="124" t="n"/>
      <c r="EK742" s="124" t="n"/>
      <c r="EL742" s="124" t="n"/>
      <c r="EM742" s="124" t="n"/>
      <c r="EN742" s="124" t="n"/>
      <c r="EO742" s="124" t="n"/>
      <c r="EP742" s="124" t="n"/>
      <c r="EQ742" s="124" t="n"/>
      <c r="ER742" s="124" t="n"/>
      <c r="ES742" s="124" t="n"/>
      <c r="ET742" s="124" t="n"/>
      <c r="EU742" s="124" t="n"/>
      <c r="EV742" s="124" t="n"/>
      <c r="EW742" s="124" t="n"/>
      <c r="EX742" s="124" t="n"/>
      <c r="EY742" s="124" t="n"/>
      <c r="EZ742" s="124" t="n"/>
      <c r="FA742" s="124" t="n"/>
      <c r="FB742" s="124" t="n"/>
      <c r="FC742" s="124" t="n"/>
      <c r="FD742" s="124" t="n"/>
      <c r="FE742" s="124" t="n"/>
      <c r="FF742" s="124" t="n"/>
      <c r="FG742" s="124" t="n"/>
      <c r="FH742" s="124" t="n"/>
      <c r="FI742" s="124" t="n"/>
      <c r="FJ742" s="124" t="n"/>
      <c r="FK742" s="124" t="n"/>
      <c r="FL742" s="124" t="n"/>
      <c r="FM742" s="124" t="n"/>
      <c r="FN742" s="124" t="n"/>
      <c r="FO742" s="124" t="n"/>
      <c r="FP742" s="124" t="n"/>
      <c r="FQ742" s="124" t="n"/>
      <c r="FR742" s="124" t="n"/>
      <c r="FS742" s="124" t="n"/>
      <c r="FT742" s="124" t="n"/>
      <c r="FU742" s="124" t="n"/>
      <c r="FV742" s="124" t="n"/>
      <c r="FW742" s="124" t="n"/>
      <c r="FX742" s="124" t="n"/>
      <c r="FY742" s="124" t="n"/>
      <c r="FZ742" s="124" t="n"/>
      <c r="GA742" s="124" t="n"/>
      <c r="GB742" s="124" t="n"/>
      <c r="GC742" s="124" t="n"/>
      <c r="GD742" s="124" t="n"/>
      <c r="GE742" s="124" t="n"/>
      <c r="GF742" s="124" t="n"/>
      <c r="GG742" s="124" t="n"/>
      <c r="GH742" s="124" t="n"/>
      <c r="GI742" s="124" t="n"/>
      <c r="GJ742" s="124" t="n"/>
      <c r="GK742" s="124" t="n"/>
      <c r="GL742" s="124" t="n"/>
      <c r="GM742" s="124" t="n"/>
      <c r="GN742" s="124" t="n"/>
      <c r="GO742" s="124" t="n"/>
      <c r="GP742" s="124" t="n"/>
      <c r="GQ742" s="124" t="n"/>
      <c r="GR742" s="124" t="n"/>
      <c r="GS742" s="124" t="n"/>
      <c r="GT742" s="124" t="n"/>
      <c r="GU742" s="124" t="n"/>
      <c r="GV742" s="124" t="n"/>
      <c r="GW742" s="124" t="n"/>
      <c r="GX742" s="124" t="n"/>
      <c r="GY742" s="124" t="n"/>
      <c r="GZ742" s="124" t="n"/>
      <c r="HA742" s="124" t="n"/>
      <c r="HB742" s="124" t="n"/>
      <c r="HC742" s="124" t="n"/>
      <c r="HD742" s="124" t="n"/>
      <c r="HE742" s="124" t="n"/>
      <c r="HF742" s="124" t="n"/>
      <c r="HG742" s="124" t="n"/>
      <c r="HH742" s="124" t="n"/>
      <c r="HI742" s="124" t="n"/>
      <c r="HJ742" s="124" t="n"/>
      <c r="HK742" s="124" t="n"/>
      <c r="HL742" s="124" t="n"/>
    </row>
    <row r="743" customFormat="1" s="3">
      <c r="A743" s="33" t="inlineStr">
        <is>
          <t>7 этап</t>
        </is>
      </c>
      <c r="B743" s="34" t="n"/>
      <c r="C743" s="108" t="inlineStr">
        <is>
          <t>Люки канализационные тяжелые</t>
        </is>
      </c>
      <c r="D743" s="36" t="inlineStr">
        <is>
          <t>шт.</t>
        </is>
      </c>
      <c r="E743" s="123" t="n">
        <v>8</v>
      </c>
      <c r="F743" s="124" t="n"/>
      <c r="G743" s="124" t="n"/>
      <c r="H743" s="124" t="n"/>
      <c r="I743" s="124" t="n"/>
      <c r="J743" s="124" t="n"/>
      <c r="K743" s="124" t="n"/>
      <c r="L743" s="124" t="n"/>
      <c r="M743" s="124" t="n"/>
      <c r="N743" s="124" t="n"/>
      <c r="O743" s="124" t="n"/>
      <c r="P743" s="124" t="n"/>
      <c r="Q743" s="124" t="n"/>
      <c r="R743" s="124" t="n"/>
      <c r="S743" s="124" t="n"/>
      <c r="T743" s="124" t="n"/>
      <c r="U743" s="124" t="n"/>
      <c r="V743" s="124" t="n"/>
      <c r="W743" s="124" t="n"/>
      <c r="X743" s="124" t="n"/>
      <c r="Y743" s="124" t="n"/>
      <c r="Z743" s="124" t="n"/>
      <c r="AA743" s="124" t="n"/>
      <c r="AB743" s="124" t="n"/>
      <c r="AC743" s="124" t="n"/>
      <c r="AD743" s="124" t="n"/>
      <c r="AE743" s="124" t="n"/>
      <c r="AF743" s="124" t="n"/>
      <c r="AG743" s="124" t="n"/>
      <c r="AH743" s="124" t="n"/>
      <c r="AI743" s="124" t="n"/>
      <c r="AJ743" s="124" t="n"/>
      <c r="AK743" s="124" t="n"/>
      <c r="AL743" s="124" t="n"/>
      <c r="AM743" s="124" t="n"/>
      <c r="AN743" s="124" t="n"/>
      <c r="AO743" s="124" t="n"/>
      <c r="AP743" s="124" t="n"/>
      <c r="AQ743" s="124" t="n"/>
      <c r="AR743" s="124" t="n"/>
      <c r="AS743" s="124" t="n"/>
      <c r="AT743" s="124" t="n"/>
      <c r="AU743" s="124" t="n"/>
      <c r="AV743" s="124" t="n"/>
      <c r="AW743" s="124" t="n"/>
      <c r="AX743" s="124" t="n"/>
      <c r="AY743" s="124" t="n"/>
      <c r="AZ743" s="124" t="n"/>
      <c r="BA743" s="124" t="n"/>
      <c r="BB743" s="124" t="n"/>
      <c r="BC743" s="124" t="n"/>
      <c r="BD743" s="124" t="n"/>
      <c r="BE743" s="124" t="n"/>
      <c r="BF743" s="124" t="n"/>
      <c r="BG743" s="124" t="n"/>
      <c r="BH743" s="124" t="n"/>
      <c r="BI743" s="124" t="n"/>
      <c r="BJ743" s="124" t="n"/>
      <c r="BK743" s="124" t="n"/>
      <c r="BL743" s="124" t="n"/>
      <c r="BM743" s="124" t="n"/>
      <c r="BN743" s="124" t="n"/>
      <c r="BO743" s="124" t="n"/>
      <c r="BP743" s="124" t="n"/>
      <c r="BQ743" s="124" t="n"/>
      <c r="BR743" s="124" t="n"/>
      <c r="BS743" s="124" t="n"/>
      <c r="BT743" s="124" t="n"/>
      <c r="BU743" s="124" t="n"/>
      <c r="BV743" s="124" t="n"/>
      <c r="BW743" s="124" t="n"/>
      <c r="BX743" s="124" t="n"/>
      <c r="BY743" s="124" t="n"/>
      <c r="BZ743" s="124" t="n"/>
      <c r="CA743" s="124" t="n"/>
      <c r="CB743" s="124" t="n"/>
      <c r="CC743" s="124" t="n"/>
      <c r="CD743" s="124" t="n"/>
      <c r="CE743" s="124" t="n"/>
      <c r="CF743" s="124" t="n"/>
      <c r="CG743" s="124" t="n"/>
      <c r="CH743" s="124" t="n"/>
      <c r="CI743" s="124" t="n"/>
      <c r="CJ743" s="124" t="n"/>
      <c r="CK743" s="124" t="n"/>
      <c r="CL743" s="124" t="n"/>
      <c r="CM743" s="124" t="n"/>
      <c r="CN743" s="124" t="n"/>
      <c r="CO743" s="124" t="n"/>
      <c r="CP743" s="124" t="n"/>
      <c r="CQ743" s="124" t="n"/>
      <c r="CR743" s="124" t="n"/>
      <c r="CS743" s="124" t="n"/>
      <c r="CT743" s="124" t="n"/>
      <c r="CU743" s="124" t="n"/>
      <c r="CV743" s="124" t="n"/>
      <c r="CW743" s="124" t="n"/>
      <c r="CX743" s="124" t="n"/>
      <c r="CY743" s="124" t="n"/>
      <c r="CZ743" s="124" t="n"/>
      <c r="DA743" s="124" t="n"/>
      <c r="DB743" s="124" t="n"/>
      <c r="DC743" s="124" t="n"/>
      <c r="DD743" s="124" t="n"/>
      <c r="DE743" s="124" t="n"/>
      <c r="DF743" s="124" t="n"/>
      <c r="DG743" s="124" t="n"/>
      <c r="DH743" s="124" t="n"/>
      <c r="DI743" s="124" t="n"/>
      <c r="DJ743" s="124" t="n"/>
      <c r="DK743" s="124" t="n"/>
      <c r="DL743" s="124" t="n"/>
      <c r="DM743" s="124" t="n"/>
      <c r="DN743" s="124" t="n"/>
      <c r="DO743" s="124" t="n"/>
      <c r="DP743" s="124" t="n"/>
      <c r="DQ743" s="124" t="n"/>
      <c r="DR743" s="124" t="n"/>
      <c r="DS743" s="124" t="n"/>
      <c r="DT743" s="124" t="n"/>
      <c r="DU743" s="124" t="n"/>
      <c r="DV743" s="124" t="n"/>
      <c r="DW743" s="124" t="n"/>
      <c r="DX743" s="124" t="n"/>
      <c r="DY743" s="124" t="n"/>
      <c r="DZ743" s="124" t="n"/>
      <c r="EA743" s="124" t="n"/>
      <c r="EB743" s="124" t="n"/>
      <c r="EC743" s="124" t="n"/>
      <c r="ED743" s="124" t="n"/>
      <c r="EE743" s="124" t="n"/>
      <c r="EF743" s="124" t="n"/>
      <c r="EG743" s="124" t="n"/>
      <c r="EH743" s="124" t="n"/>
      <c r="EI743" s="124" t="n"/>
      <c r="EJ743" s="124" t="n"/>
      <c r="EK743" s="124" t="n"/>
      <c r="EL743" s="124" t="n"/>
      <c r="EM743" s="124" t="n"/>
      <c r="EN743" s="124" t="n"/>
      <c r="EO743" s="124" t="n"/>
      <c r="EP743" s="124" t="n"/>
      <c r="EQ743" s="124" t="n"/>
      <c r="ER743" s="124" t="n"/>
      <c r="ES743" s="124" t="n"/>
      <c r="ET743" s="124" t="n"/>
      <c r="EU743" s="124" t="n"/>
      <c r="EV743" s="124" t="n"/>
      <c r="EW743" s="124" t="n"/>
      <c r="EX743" s="124" t="n"/>
      <c r="EY743" s="124" t="n"/>
      <c r="EZ743" s="124" t="n"/>
      <c r="FA743" s="124" t="n"/>
      <c r="FB743" s="124" t="n"/>
      <c r="FC743" s="124" t="n"/>
      <c r="FD743" s="124" t="n"/>
      <c r="FE743" s="124" t="n"/>
      <c r="FF743" s="124" t="n"/>
      <c r="FG743" s="124" t="n"/>
      <c r="FH743" s="124" t="n"/>
      <c r="FI743" s="124" t="n"/>
      <c r="FJ743" s="124" t="n"/>
      <c r="FK743" s="124" t="n"/>
      <c r="FL743" s="124" t="n"/>
      <c r="FM743" s="124" t="n"/>
      <c r="FN743" s="124" t="n"/>
      <c r="FO743" s="124" t="n"/>
      <c r="FP743" s="124" t="n"/>
      <c r="FQ743" s="124" t="n"/>
      <c r="FR743" s="124" t="n"/>
      <c r="FS743" s="124" t="n"/>
      <c r="FT743" s="124" t="n"/>
      <c r="FU743" s="124" t="n"/>
      <c r="FV743" s="124" t="n"/>
      <c r="FW743" s="124" t="n"/>
      <c r="FX743" s="124" t="n"/>
      <c r="FY743" s="124" t="n"/>
      <c r="FZ743" s="124" t="n"/>
      <c r="GA743" s="124" t="n"/>
      <c r="GB743" s="124" t="n"/>
      <c r="GC743" s="124" t="n"/>
      <c r="GD743" s="124" t="n"/>
      <c r="GE743" s="124" t="n"/>
      <c r="GF743" s="124" t="n"/>
      <c r="GG743" s="124" t="n"/>
      <c r="GH743" s="124" t="n"/>
      <c r="GI743" s="124" t="n"/>
      <c r="GJ743" s="124" t="n"/>
      <c r="GK743" s="124" t="n"/>
      <c r="GL743" s="124" t="n"/>
      <c r="GM743" s="124" t="n"/>
      <c r="GN743" s="124" t="n"/>
      <c r="GO743" s="124" t="n"/>
      <c r="GP743" s="124" t="n"/>
      <c r="GQ743" s="124" t="n"/>
      <c r="GR743" s="124" t="n"/>
      <c r="GS743" s="124" t="n"/>
      <c r="GT743" s="124" t="n"/>
      <c r="GU743" s="124" t="n"/>
      <c r="GV743" s="124" t="n"/>
      <c r="GW743" s="124" t="n"/>
      <c r="GX743" s="124" t="n"/>
      <c r="GY743" s="124" t="n"/>
      <c r="GZ743" s="124" t="n"/>
      <c r="HA743" s="124" t="n"/>
      <c r="HB743" s="124" t="n"/>
      <c r="HC743" s="124" t="n"/>
      <c r="HD743" s="124" t="n"/>
      <c r="HE743" s="124" t="n"/>
      <c r="HF743" s="124" t="n"/>
      <c r="HG743" s="124" t="n"/>
      <c r="HH743" s="124" t="n"/>
      <c r="HI743" s="124" t="n"/>
      <c r="HJ743" s="124" t="n"/>
      <c r="HK743" s="124" t="n"/>
      <c r="HL743" s="124" t="n"/>
    </row>
    <row r="744" ht="14.4" customFormat="1" customHeight="1" s="3">
      <c r="A744" s="106" t="inlineStr">
        <is>
          <t>7 этап</t>
        </is>
      </c>
      <c r="B744" s="34" t="inlineStr">
        <is>
          <t>3</t>
        </is>
      </c>
      <c r="C744" s="127" t="inlineStr">
        <is>
          <t>Наружная теплосеть</t>
        </is>
      </c>
      <c r="D744" s="128" t="inlineStr">
        <is>
          <t>компл.</t>
        </is>
      </c>
      <c r="E744" s="123" t="n">
        <v>1</v>
      </c>
      <c r="F744" s="166" t="n">
        <v>750000</v>
      </c>
      <c r="G744" s="166" t="n">
        <v>750000</v>
      </c>
      <c r="H744" s="124" t="inlineStr">
        <is>
          <t>Экспертная оценка</t>
        </is>
      </c>
      <c r="I744" s="124" t="n"/>
      <c r="J744" s="124" t="n"/>
      <c r="K744" s="124" t="n"/>
      <c r="L744" s="124" t="n"/>
      <c r="M744" s="124" t="n"/>
      <c r="N744" s="124" t="n"/>
      <c r="O744" s="124" t="n"/>
      <c r="P744" s="124" t="n"/>
      <c r="Q744" s="124" t="n"/>
      <c r="R744" s="124" t="n"/>
      <c r="S744" s="124" t="n"/>
      <c r="T744" s="124" t="n"/>
      <c r="U744" s="124" t="n"/>
      <c r="V744" s="124" t="n"/>
      <c r="W744" s="124" t="n"/>
      <c r="X744" s="124" t="n"/>
      <c r="Y744" s="124" t="n"/>
      <c r="Z744" s="124" t="n"/>
      <c r="AA744" s="124" t="n"/>
      <c r="AB744" s="124" t="n"/>
      <c r="AC744" s="124" t="n"/>
      <c r="AD744" s="124" t="n"/>
      <c r="AE744" s="124" t="n"/>
      <c r="AF744" s="124" t="n"/>
      <c r="AG744" s="124" t="n"/>
      <c r="AH744" s="124" t="n"/>
      <c r="AI744" s="124" t="n"/>
      <c r="AJ744" s="124" t="n"/>
      <c r="AK744" s="124" t="n"/>
      <c r="AL744" s="124" t="n"/>
      <c r="AM744" s="124" t="n"/>
      <c r="AN744" s="124" t="n"/>
      <c r="AO744" s="124" t="n"/>
      <c r="AP744" s="124" t="n"/>
      <c r="AQ744" s="124" t="n"/>
      <c r="AR744" s="124" t="n"/>
      <c r="AS744" s="124" t="n"/>
      <c r="AT744" s="124" t="n"/>
      <c r="AU744" s="124" t="n"/>
      <c r="AV744" s="124" t="n"/>
      <c r="AW744" s="124" t="n"/>
      <c r="AX744" s="124" t="n"/>
      <c r="AY744" s="124" t="n"/>
      <c r="AZ744" s="124" t="n"/>
      <c r="BA744" s="124" t="n"/>
      <c r="BB744" s="124" t="n"/>
      <c r="BC744" s="124" t="n"/>
      <c r="BD744" s="124" t="n"/>
      <c r="BE744" s="124" t="n"/>
      <c r="BF744" s="124" t="n"/>
      <c r="BG744" s="124" t="n"/>
      <c r="BH744" s="124" t="n"/>
      <c r="BI744" s="124" t="n"/>
      <c r="BJ744" s="124" t="n"/>
      <c r="BK744" s="124" t="n"/>
      <c r="BL744" s="124" t="n"/>
      <c r="BM744" s="124" t="n"/>
      <c r="BN744" s="124" t="n"/>
      <c r="BO744" s="124" t="n"/>
      <c r="BP744" s="124" t="n"/>
      <c r="BQ744" s="124" t="n"/>
      <c r="BR744" s="124" t="n"/>
      <c r="BS744" s="124" t="n"/>
      <c r="BT744" s="124" t="n"/>
      <c r="BU744" s="124" t="n"/>
      <c r="BV744" s="124" t="n"/>
      <c r="BW744" s="124" t="n"/>
      <c r="BX744" s="124" t="n"/>
      <c r="BY744" s="124" t="n"/>
      <c r="BZ744" s="124" t="n"/>
      <c r="CA744" s="124" t="n"/>
      <c r="CB744" s="124" t="n"/>
      <c r="CC744" s="124" t="n"/>
      <c r="CD744" s="124" t="n"/>
      <c r="CE744" s="124" t="n"/>
      <c r="CF744" s="124" t="n"/>
      <c r="CG744" s="124" t="n"/>
      <c r="CH744" s="124" t="n"/>
      <c r="CI744" s="124" t="n"/>
      <c r="CJ744" s="124" t="n"/>
      <c r="CK744" s="124" t="n"/>
      <c r="CL744" s="124" t="n"/>
      <c r="CM744" s="124" t="n"/>
      <c r="CN744" s="124" t="n"/>
      <c r="CO744" s="124" t="n"/>
      <c r="CP744" s="124" t="n"/>
      <c r="CQ744" s="124" t="n"/>
      <c r="CR744" s="124" t="n"/>
      <c r="CS744" s="124" t="n"/>
      <c r="CT744" s="124" t="n"/>
      <c r="CU744" s="124" t="n"/>
      <c r="CV744" s="124" t="n"/>
      <c r="CW744" s="124" t="n"/>
      <c r="CX744" s="124" t="n"/>
      <c r="CY744" s="124" t="n"/>
      <c r="CZ744" s="124" t="n"/>
      <c r="DA744" s="124" t="n"/>
      <c r="DB744" s="124" t="n"/>
      <c r="DC744" s="124" t="n"/>
      <c r="DD744" s="124" t="n"/>
      <c r="DE744" s="124" t="n"/>
      <c r="DF744" s="124" t="n"/>
      <c r="DG744" s="124" t="n"/>
      <c r="DH744" s="124" t="n"/>
      <c r="DI744" s="124" t="n"/>
      <c r="DJ744" s="124" t="n"/>
      <c r="DK744" s="124" t="n"/>
      <c r="DL744" s="124" t="n"/>
      <c r="DM744" s="124" t="n"/>
      <c r="DN744" s="124" t="n"/>
      <c r="DO744" s="124" t="n"/>
      <c r="DP744" s="124" t="n"/>
      <c r="DQ744" s="124" t="n"/>
      <c r="DR744" s="124" t="n"/>
      <c r="DS744" s="124" t="n"/>
      <c r="DT744" s="124" t="n"/>
      <c r="DU744" s="124" t="n"/>
      <c r="DV744" s="124" t="n"/>
      <c r="DW744" s="124" t="n"/>
      <c r="DX744" s="124" t="n"/>
      <c r="DY744" s="124" t="n"/>
      <c r="DZ744" s="124" t="n"/>
      <c r="EA744" s="124" t="n"/>
      <c r="EB744" s="124" t="n"/>
      <c r="EC744" s="124" t="n"/>
      <c r="ED744" s="124" t="n"/>
      <c r="EE744" s="124" t="n"/>
      <c r="EF744" s="124" t="n"/>
      <c r="EG744" s="124" t="n"/>
      <c r="EH744" s="124" t="n"/>
      <c r="EI744" s="124" t="n"/>
      <c r="EJ744" s="124" t="n"/>
      <c r="EK744" s="124" t="n"/>
      <c r="EL744" s="124" t="n"/>
      <c r="EM744" s="124" t="n"/>
      <c r="EN744" s="124" t="n"/>
      <c r="EO744" s="124" t="n"/>
      <c r="EP744" s="124" t="n"/>
      <c r="EQ744" s="124" t="n"/>
      <c r="ER744" s="124" t="n"/>
      <c r="ES744" s="124" t="n"/>
      <c r="ET744" s="124" t="n"/>
      <c r="EU744" s="124" t="n"/>
      <c r="EV744" s="124" t="n"/>
      <c r="EW744" s="124" t="n"/>
      <c r="EX744" s="124" t="n"/>
      <c r="EY744" s="124" t="n"/>
      <c r="EZ744" s="124" t="n"/>
      <c r="FA744" s="124" t="n"/>
      <c r="FB744" s="124" t="n"/>
      <c r="FC744" s="124" t="n"/>
      <c r="FD744" s="124" t="n"/>
      <c r="FE744" s="124" t="n"/>
      <c r="FF744" s="124" t="n"/>
      <c r="FG744" s="124" t="n"/>
      <c r="FH744" s="124" t="n"/>
      <c r="FI744" s="124" t="n"/>
      <c r="FJ744" s="124" t="n"/>
      <c r="FK744" s="124" t="n"/>
      <c r="FL744" s="124" t="n"/>
      <c r="FM744" s="124" t="n"/>
      <c r="FN744" s="124" t="n"/>
      <c r="FO744" s="124" t="n"/>
      <c r="FP744" s="124" t="n"/>
      <c r="FQ744" s="124" t="n"/>
      <c r="FR744" s="124" t="n"/>
      <c r="FS744" s="124" t="n"/>
      <c r="FT744" s="124" t="n"/>
      <c r="FU744" s="124" t="n"/>
      <c r="FV744" s="124" t="n"/>
      <c r="FW744" s="124" t="n"/>
      <c r="FX744" s="124" t="n"/>
      <c r="FY744" s="124" t="n"/>
      <c r="FZ744" s="124" t="n"/>
      <c r="GA744" s="124" t="n"/>
      <c r="GB744" s="124" t="n"/>
      <c r="GC744" s="124" t="n"/>
      <c r="GD744" s="124" t="n"/>
      <c r="GE744" s="124" t="n"/>
      <c r="GF744" s="124" t="n"/>
      <c r="GG744" s="124" t="n"/>
      <c r="GH744" s="124" t="n"/>
      <c r="GI744" s="124" t="n"/>
      <c r="GJ744" s="124" t="n"/>
      <c r="GK744" s="124" t="n"/>
      <c r="GL744" s="124" t="n"/>
      <c r="GM744" s="124" t="n"/>
      <c r="GN744" s="124" t="n"/>
      <c r="GO744" s="124" t="n"/>
      <c r="GP744" s="124" t="n"/>
      <c r="GQ744" s="124" t="n"/>
      <c r="GR744" s="124" t="n"/>
      <c r="GS744" s="124" t="n"/>
      <c r="GT744" s="124" t="n"/>
      <c r="GU744" s="124" t="n"/>
      <c r="GV744" s="124" t="n"/>
      <c r="GW744" s="124" t="n"/>
      <c r="GX744" s="124" t="n"/>
      <c r="GY744" s="124" t="n"/>
      <c r="GZ744" s="124" t="n"/>
      <c r="HA744" s="124" t="n"/>
      <c r="HB744" s="124" t="n"/>
      <c r="HC744" s="124" t="n"/>
      <c r="HD744" s="124" t="n"/>
      <c r="HE744" s="124" t="n"/>
      <c r="HF744" s="124" t="n"/>
      <c r="HG744" s="124" t="n"/>
      <c r="HH744" s="124" t="n"/>
      <c r="HI744" s="124" t="n"/>
      <c r="HJ744" s="124" t="n"/>
      <c r="HK744" s="124" t="n"/>
      <c r="HL744" s="124" t="n"/>
    </row>
    <row r="745" ht="28.8" customFormat="1" customHeight="1" s="3">
      <c r="A745" s="26" t="inlineStr">
        <is>
          <t>7 этап</t>
        </is>
      </c>
      <c r="B745" s="27" t="inlineStr">
        <is>
          <t>3.1</t>
        </is>
      </c>
      <c r="C745" s="60" t="inlineStr">
        <is>
          <t>Разработка грунта, устройство бетонной подготовки, монтаж лотков, камер</t>
        </is>
      </c>
      <c r="D745" s="54" t="inlineStr">
        <is>
          <t>компл.</t>
        </is>
      </c>
      <c r="E745" s="126" t="n">
        <v>0.34</v>
      </c>
      <c r="F745" s="166" t="n">
        <v>10100</v>
      </c>
      <c r="G745" s="166" t="n">
        <v>3434</v>
      </c>
      <c r="H745" s="124" t="inlineStr">
        <is>
          <t>ФЕР-2020 × 0.75</t>
        </is>
      </c>
      <c r="I745" s="124" t="n"/>
      <c r="J745" s="124" t="n"/>
      <c r="K745" s="124" t="n"/>
      <c r="L745" s="124" t="n"/>
      <c r="M745" s="124" t="n"/>
      <c r="N745" s="124" t="n"/>
      <c r="O745" s="124" t="n"/>
      <c r="P745" s="124" t="n"/>
      <c r="Q745" s="124" t="n"/>
      <c r="R745" s="124" t="n"/>
      <c r="S745" s="124" t="n"/>
      <c r="T745" s="124" t="n"/>
      <c r="U745" s="124" t="n"/>
      <c r="V745" s="124" t="n"/>
      <c r="W745" s="124" t="n"/>
      <c r="X745" s="124" t="n"/>
      <c r="Y745" s="124" t="n"/>
      <c r="Z745" s="124" t="n"/>
      <c r="AA745" s="124" t="n"/>
      <c r="AB745" s="124" t="n"/>
      <c r="AC745" s="124" t="n"/>
      <c r="AD745" s="124" t="n"/>
      <c r="AE745" s="124" t="n"/>
      <c r="AF745" s="124" t="n"/>
      <c r="AG745" s="124" t="n"/>
      <c r="AH745" s="124" t="n"/>
      <c r="AI745" s="124" t="n"/>
      <c r="AJ745" s="124" t="n"/>
      <c r="AK745" s="124" t="n"/>
      <c r="AL745" s="124" t="n"/>
      <c r="AM745" s="124" t="n"/>
      <c r="AN745" s="124" t="n"/>
      <c r="AO745" s="124" t="n"/>
      <c r="AP745" s="124" t="n"/>
      <c r="AQ745" s="124" t="n"/>
      <c r="AR745" s="124" t="n"/>
      <c r="AS745" s="124" t="n"/>
      <c r="AT745" s="124" t="n"/>
      <c r="AU745" s="124" t="n"/>
      <c r="AV745" s="124" t="n"/>
      <c r="AW745" s="124" t="n"/>
      <c r="AX745" s="124" t="n"/>
      <c r="AY745" s="124" t="n"/>
      <c r="AZ745" s="124" t="n"/>
      <c r="BA745" s="124" t="n"/>
      <c r="BB745" s="124" t="n"/>
      <c r="BC745" s="124" t="n"/>
      <c r="BD745" s="124" t="n"/>
      <c r="BE745" s="124" t="n"/>
      <c r="BF745" s="124" t="n"/>
      <c r="BG745" s="124" t="n"/>
      <c r="BH745" s="124" t="n"/>
      <c r="BI745" s="124" t="n"/>
      <c r="BJ745" s="124" t="n"/>
      <c r="BK745" s="124" t="n"/>
      <c r="BL745" s="124" t="n"/>
      <c r="BM745" s="124" t="n"/>
      <c r="BN745" s="124" t="n"/>
      <c r="BO745" s="124" t="n"/>
      <c r="BP745" s="124" t="n"/>
      <c r="BQ745" s="124" t="n"/>
      <c r="BR745" s="124" t="n"/>
      <c r="BS745" s="124" t="n"/>
      <c r="BT745" s="124" t="n"/>
      <c r="BU745" s="124" t="n"/>
      <c r="BV745" s="124" t="n"/>
      <c r="BW745" s="124" t="n"/>
      <c r="BX745" s="124" t="n"/>
      <c r="BY745" s="124" t="n"/>
      <c r="BZ745" s="124" t="n"/>
      <c r="CA745" s="124" t="n"/>
      <c r="CB745" s="124" t="n"/>
      <c r="CC745" s="124" t="n"/>
      <c r="CD745" s="124" t="n"/>
      <c r="CE745" s="124" t="n"/>
      <c r="CF745" s="124" t="n"/>
      <c r="CG745" s="124" t="n"/>
      <c r="CH745" s="124" t="n"/>
      <c r="CI745" s="124" t="n"/>
      <c r="CJ745" s="124" t="n"/>
      <c r="CK745" s="124" t="n"/>
      <c r="CL745" s="124" t="n"/>
      <c r="CM745" s="124" t="n"/>
      <c r="CN745" s="124" t="n"/>
      <c r="CO745" s="124" t="n"/>
      <c r="CP745" s="124" t="n"/>
      <c r="CQ745" s="124" t="n"/>
      <c r="CR745" s="124" t="n"/>
      <c r="CS745" s="124" t="n"/>
      <c r="CT745" s="124" t="n"/>
      <c r="CU745" s="124" t="n"/>
      <c r="CV745" s="124" t="n"/>
      <c r="CW745" s="124" t="n"/>
      <c r="CX745" s="124" t="n"/>
      <c r="CY745" s="124" t="n"/>
      <c r="CZ745" s="124" t="n"/>
      <c r="DA745" s="124" t="n"/>
      <c r="DB745" s="124" t="n"/>
      <c r="DC745" s="124" t="n"/>
      <c r="DD745" s="124" t="n"/>
      <c r="DE745" s="124" t="n"/>
      <c r="DF745" s="124" t="n"/>
      <c r="DG745" s="124" t="n"/>
      <c r="DH745" s="124" t="n"/>
      <c r="DI745" s="124" t="n"/>
      <c r="DJ745" s="124" t="n"/>
      <c r="DK745" s="124" t="n"/>
      <c r="DL745" s="124" t="n"/>
      <c r="DM745" s="124" t="n"/>
      <c r="DN745" s="124" t="n"/>
      <c r="DO745" s="124" t="n"/>
      <c r="DP745" s="124" t="n"/>
      <c r="DQ745" s="124" t="n"/>
      <c r="DR745" s="124" t="n"/>
      <c r="DS745" s="124" t="n"/>
      <c r="DT745" s="124" t="n"/>
      <c r="DU745" s="124" t="n"/>
      <c r="DV745" s="124" t="n"/>
      <c r="DW745" s="124" t="n"/>
      <c r="DX745" s="124" t="n"/>
      <c r="DY745" s="124" t="n"/>
      <c r="DZ745" s="124" t="n"/>
      <c r="EA745" s="124" t="n"/>
      <c r="EB745" s="124" t="n"/>
      <c r="EC745" s="124" t="n"/>
      <c r="ED745" s="124" t="n"/>
      <c r="EE745" s="124" t="n"/>
      <c r="EF745" s="124" t="n"/>
      <c r="EG745" s="124" t="n"/>
      <c r="EH745" s="124" t="n"/>
      <c r="EI745" s="124" t="n"/>
      <c r="EJ745" s="124" t="n"/>
      <c r="EK745" s="124" t="n"/>
      <c r="EL745" s="124" t="n"/>
      <c r="EM745" s="124" t="n"/>
      <c r="EN745" s="124" t="n"/>
      <c r="EO745" s="124" t="n"/>
      <c r="EP745" s="124" t="n"/>
      <c r="EQ745" s="124" t="n"/>
      <c r="ER745" s="124" t="n"/>
      <c r="ES745" s="124" t="n"/>
      <c r="ET745" s="124" t="n"/>
      <c r="EU745" s="124" t="n"/>
      <c r="EV745" s="124" t="n"/>
      <c r="EW745" s="124" t="n"/>
      <c r="EX745" s="124" t="n"/>
      <c r="EY745" s="124" t="n"/>
      <c r="EZ745" s="124" t="n"/>
      <c r="FA745" s="124" t="n"/>
      <c r="FB745" s="124" t="n"/>
      <c r="FC745" s="124" t="n"/>
      <c r="FD745" s="124" t="n"/>
      <c r="FE745" s="124" t="n"/>
      <c r="FF745" s="124" t="n"/>
      <c r="FG745" s="124" t="n"/>
      <c r="FH745" s="124" t="n"/>
      <c r="FI745" s="124" t="n"/>
      <c r="FJ745" s="124" t="n"/>
      <c r="FK745" s="124" t="n"/>
      <c r="FL745" s="124" t="n"/>
      <c r="FM745" s="124" t="n"/>
      <c r="FN745" s="124" t="n"/>
      <c r="FO745" s="124" t="n"/>
      <c r="FP745" s="124" t="n"/>
      <c r="FQ745" s="124" t="n"/>
      <c r="FR745" s="124" t="n"/>
      <c r="FS745" s="124" t="n"/>
      <c r="FT745" s="124" t="n"/>
      <c r="FU745" s="124" t="n"/>
      <c r="FV745" s="124" t="n"/>
      <c r="FW745" s="124" t="n"/>
      <c r="FX745" s="124" t="n"/>
      <c r="FY745" s="124" t="n"/>
      <c r="FZ745" s="124" t="n"/>
      <c r="GA745" s="124" t="n"/>
      <c r="GB745" s="124" t="n"/>
      <c r="GC745" s="124" t="n"/>
      <c r="GD745" s="124" t="n"/>
      <c r="GE745" s="124" t="n"/>
      <c r="GF745" s="124" t="n"/>
      <c r="GG745" s="124" t="n"/>
      <c r="GH745" s="124" t="n"/>
      <c r="GI745" s="124" t="n"/>
      <c r="GJ745" s="124" t="n"/>
      <c r="GK745" s="124" t="n"/>
      <c r="GL745" s="124" t="n"/>
      <c r="GM745" s="124" t="n"/>
      <c r="GN745" s="124" t="n"/>
      <c r="GO745" s="124" t="n"/>
      <c r="GP745" s="124" t="n"/>
      <c r="GQ745" s="124" t="n"/>
      <c r="GR745" s="124" t="n"/>
      <c r="GS745" s="124" t="n"/>
      <c r="GT745" s="124" t="n"/>
      <c r="GU745" s="124" t="n"/>
      <c r="GV745" s="124" t="n"/>
      <c r="GW745" s="124" t="n"/>
      <c r="GX745" s="124" t="n"/>
      <c r="GY745" s="124" t="n"/>
      <c r="GZ745" s="124" t="n"/>
      <c r="HA745" s="124" t="n"/>
      <c r="HB745" s="124" t="n"/>
      <c r="HC745" s="124" t="n"/>
      <c r="HD745" s="124" t="n"/>
      <c r="HE745" s="124" t="n"/>
      <c r="HF745" s="124" t="n"/>
      <c r="HG745" s="124" t="n"/>
      <c r="HH745" s="124" t="n"/>
      <c r="HI745" s="124" t="n"/>
      <c r="HJ745" s="124" t="n"/>
      <c r="HK745" s="124" t="n"/>
      <c r="HL745" s="124" t="n"/>
    </row>
    <row r="746" ht="14.4" customFormat="1" customHeight="1" s="3">
      <c r="A746" s="33" t="inlineStr">
        <is>
          <t>7 этап</t>
        </is>
      </c>
      <c r="B746" s="27" t="n"/>
      <c r="C746" s="38" t="inlineStr">
        <is>
          <t xml:space="preserve">Разработка грунта </t>
        </is>
      </c>
      <c r="D746" s="36" t="inlineStr">
        <is>
          <t>м3</t>
        </is>
      </c>
      <c r="E746" s="123" t="n">
        <v>1445</v>
      </c>
      <c r="F746" s="124" t="n"/>
      <c r="G746" s="124" t="n"/>
      <c r="H746" s="124" t="n"/>
      <c r="I746" s="124" t="n"/>
      <c r="J746" s="124" t="n"/>
      <c r="K746" s="124" t="n"/>
      <c r="L746" s="124" t="n"/>
      <c r="M746" s="124" t="n"/>
      <c r="N746" s="124" t="n"/>
      <c r="O746" s="124" t="n"/>
      <c r="P746" s="124" t="n"/>
      <c r="Q746" s="124" t="n"/>
      <c r="R746" s="124" t="n"/>
      <c r="S746" s="124" t="n"/>
      <c r="T746" s="124" t="n"/>
      <c r="U746" s="124" t="n"/>
      <c r="V746" s="124" t="n"/>
      <c r="W746" s="124" t="n"/>
      <c r="X746" s="124" t="n"/>
      <c r="Y746" s="124" t="n"/>
      <c r="Z746" s="124" t="n"/>
      <c r="AA746" s="124" t="n"/>
      <c r="AB746" s="124" t="n"/>
      <c r="AC746" s="124" t="n"/>
      <c r="AD746" s="124" t="n"/>
      <c r="AE746" s="124" t="n"/>
      <c r="AF746" s="124" t="n"/>
      <c r="AG746" s="124" t="n"/>
      <c r="AH746" s="124" t="n"/>
      <c r="AI746" s="124" t="n"/>
      <c r="AJ746" s="124" t="n"/>
      <c r="AK746" s="124" t="n"/>
      <c r="AL746" s="124" t="n"/>
      <c r="AM746" s="124" t="n"/>
      <c r="AN746" s="124" t="n"/>
      <c r="AO746" s="124" t="n"/>
      <c r="AP746" s="124" t="n"/>
      <c r="AQ746" s="124" t="n"/>
      <c r="AR746" s="124" t="n"/>
      <c r="AS746" s="124" t="n"/>
      <c r="AT746" s="124" t="n"/>
      <c r="AU746" s="124" t="n"/>
      <c r="AV746" s="124" t="n"/>
      <c r="AW746" s="124" t="n"/>
      <c r="AX746" s="124" t="n"/>
      <c r="AY746" s="124" t="n"/>
      <c r="AZ746" s="124" t="n"/>
      <c r="BA746" s="124" t="n"/>
      <c r="BB746" s="124" t="n"/>
      <c r="BC746" s="124" t="n"/>
      <c r="BD746" s="124" t="n"/>
      <c r="BE746" s="124" t="n"/>
      <c r="BF746" s="124" t="n"/>
      <c r="BG746" s="124" t="n"/>
      <c r="BH746" s="124" t="n"/>
      <c r="BI746" s="124" t="n"/>
      <c r="BJ746" s="124" t="n"/>
      <c r="BK746" s="124" t="n"/>
      <c r="BL746" s="124" t="n"/>
      <c r="BM746" s="124" t="n"/>
      <c r="BN746" s="124" t="n"/>
      <c r="BO746" s="124" t="n"/>
      <c r="BP746" s="124" t="n"/>
      <c r="BQ746" s="124" t="n"/>
      <c r="BR746" s="124" t="n"/>
      <c r="BS746" s="124" t="n"/>
      <c r="BT746" s="124" t="n"/>
      <c r="BU746" s="124" t="n"/>
      <c r="BV746" s="124" t="n"/>
      <c r="BW746" s="124" t="n"/>
      <c r="BX746" s="124" t="n"/>
      <c r="BY746" s="124" t="n"/>
      <c r="BZ746" s="124" t="n"/>
      <c r="CA746" s="124" t="n"/>
      <c r="CB746" s="124" t="n"/>
      <c r="CC746" s="124" t="n"/>
      <c r="CD746" s="124" t="n"/>
      <c r="CE746" s="124" t="n"/>
      <c r="CF746" s="124" t="n"/>
      <c r="CG746" s="124" t="n"/>
      <c r="CH746" s="124" t="n"/>
      <c r="CI746" s="124" t="n"/>
      <c r="CJ746" s="124" t="n"/>
      <c r="CK746" s="124" t="n"/>
      <c r="CL746" s="124" t="n"/>
      <c r="CM746" s="124" t="n"/>
      <c r="CN746" s="124" t="n"/>
      <c r="CO746" s="124" t="n"/>
      <c r="CP746" s="124" t="n"/>
      <c r="CQ746" s="124" t="n"/>
      <c r="CR746" s="124" t="n"/>
      <c r="CS746" s="124" t="n"/>
      <c r="CT746" s="124" t="n"/>
      <c r="CU746" s="124" t="n"/>
      <c r="CV746" s="124" t="n"/>
      <c r="CW746" s="124" t="n"/>
      <c r="CX746" s="124" t="n"/>
      <c r="CY746" s="124" t="n"/>
      <c r="CZ746" s="124" t="n"/>
      <c r="DA746" s="124" t="n"/>
      <c r="DB746" s="124" t="n"/>
      <c r="DC746" s="124" t="n"/>
      <c r="DD746" s="124" t="n"/>
      <c r="DE746" s="124" t="n"/>
      <c r="DF746" s="124" t="n"/>
      <c r="DG746" s="124" t="n"/>
      <c r="DH746" s="124" t="n"/>
      <c r="DI746" s="124" t="n"/>
      <c r="DJ746" s="124" t="n"/>
      <c r="DK746" s="124" t="n"/>
      <c r="DL746" s="124" t="n"/>
      <c r="DM746" s="124" t="n"/>
      <c r="DN746" s="124" t="n"/>
      <c r="DO746" s="124" t="n"/>
      <c r="DP746" s="124" t="n"/>
      <c r="DQ746" s="124" t="n"/>
      <c r="DR746" s="124" t="n"/>
      <c r="DS746" s="124" t="n"/>
      <c r="DT746" s="124" t="n"/>
      <c r="DU746" s="124" t="n"/>
      <c r="DV746" s="124" t="n"/>
      <c r="DW746" s="124" t="n"/>
      <c r="DX746" s="124" t="n"/>
      <c r="DY746" s="124" t="n"/>
      <c r="DZ746" s="124" t="n"/>
      <c r="EA746" s="124" t="n"/>
      <c r="EB746" s="124" t="n"/>
      <c r="EC746" s="124" t="n"/>
      <c r="ED746" s="124" t="n"/>
      <c r="EE746" s="124" t="n"/>
      <c r="EF746" s="124" t="n"/>
      <c r="EG746" s="124" t="n"/>
      <c r="EH746" s="124" t="n"/>
      <c r="EI746" s="124" t="n"/>
      <c r="EJ746" s="124" t="n"/>
      <c r="EK746" s="124" t="n"/>
      <c r="EL746" s="124" t="n"/>
      <c r="EM746" s="124" t="n"/>
      <c r="EN746" s="124" t="n"/>
      <c r="EO746" s="124" t="n"/>
      <c r="EP746" s="124" t="n"/>
      <c r="EQ746" s="124" t="n"/>
      <c r="ER746" s="124" t="n"/>
      <c r="ES746" s="124" t="n"/>
      <c r="ET746" s="124" t="n"/>
      <c r="EU746" s="124" t="n"/>
      <c r="EV746" s="124" t="n"/>
      <c r="EW746" s="124" t="n"/>
      <c r="EX746" s="124" t="n"/>
      <c r="EY746" s="124" t="n"/>
      <c r="EZ746" s="124" t="n"/>
      <c r="FA746" s="124" t="n"/>
      <c r="FB746" s="124" t="n"/>
      <c r="FC746" s="124" t="n"/>
      <c r="FD746" s="124" t="n"/>
      <c r="FE746" s="124" t="n"/>
      <c r="FF746" s="124" t="n"/>
      <c r="FG746" s="124" t="n"/>
      <c r="FH746" s="124" t="n"/>
      <c r="FI746" s="124" t="n"/>
      <c r="FJ746" s="124" t="n"/>
      <c r="FK746" s="124" t="n"/>
      <c r="FL746" s="124" t="n"/>
      <c r="FM746" s="124" t="n"/>
      <c r="FN746" s="124" t="n"/>
      <c r="FO746" s="124" t="n"/>
      <c r="FP746" s="124" t="n"/>
      <c r="FQ746" s="124" t="n"/>
      <c r="FR746" s="124" t="n"/>
      <c r="FS746" s="124" t="n"/>
      <c r="FT746" s="124" t="n"/>
      <c r="FU746" s="124" t="n"/>
      <c r="FV746" s="124" t="n"/>
      <c r="FW746" s="124" t="n"/>
      <c r="FX746" s="124" t="n"/>
      <c r="FY746" s="124" t="n"/>
      <c r="FZ746" s="124" t="n"/>
      <c r="GA746" s="124" t="n"/>
      <c r="GB746" s="124" t="n"/>
      <c r="GC746" s="124" t="n"/>
      <c r="GD746" s="124" t="n"/>
      <c r="GE746" s="124" t="n"/>
      <c r="GF746" s="124" t="n"/>
      <c r="GG746" s="124" t="n"/>
      <c r="GH746" s="124" t="n"/>
      <c r="GI746" s="124" t="n"/>
      <c r="GJ746" s="124" t="n"/>
      <c r="GK746" s="124" t="n"/>
      <c r="GL746" s="124" t="n"/>
      <c r="GM746" s="124" t="n"/>
      <c r="GN746" s="124" t="n"/>
      <c r="GO746" s="124" t="n"/>
      <c r="GP746" s="124" t="n"/>
      <c r="GQ746" s="124" t="n"/>
      <c r="GR746" s="124" t="n"/>
      <c r="GS746" s="124" t="n"/>
      <c r="GT746" s="124" t="n"/>
      <c r="GU746" s="124" t="n"/>
      <c r="GV746" s="124" t="n"/>
      <c r="GW746" s="124" t="n"/>
      <c r="GX746" s="124" t="n"/>
      <c r="GY746" s="124" t="n"/>
      <c r="GZ746" s="124" t="n"/>
      <c r="HA746" s="124" t="n"/>
      <c r="HB746" s="124" t="n"/>
      <c r="HC746" s="124" t="n"/>
      <c r="HD746" s="124" t="n"/>
      <c r="HE746" s="124" t="n"/>
      <c r="HF746" s="124" t="n"/>
      <c r="HG746" s="124" t="n"/>
      <c r="HH746" s="124" t="n"/>
      <c r="HI746" s="124" t="n"/>
      <c r="HJ746" s="124" t="n"/>
      <c r="HK746" s="124" t="n"/>
      <c r="HL746" s="124" t="n"/>
    </row>
    <row r="747" ht="14.4" customFormat="1" customHeight="1" s="3">
      <c r="A747" s="33" t="inlineStr">
        <is>
          <t>7 этап</t>
        </is>
      </c>
      <c r="B747" s="27" t="n"/>
      <c r="C747" s="38" t="inlineStr">
        <is>
          <t>Обратная засыпка</t>
        </is>
      </c>
      <c r="D747" s="36" t="inlineStr">
        <is>
          <t>м3</t>
        </is>
      </c>
      <c r="E747" s="123">
        <f>E746-(E748+101.5)</f>
        <v/>
      </c>
      <c r="F747" s="124" t="n"/>
      <c r="G747" s="124" t="n"/>
      <c r="H747" s="124" t="n"/>
      <c r="I747" s="124" t="n"/>
      <c r="J747" s="124" t="n"/>
      <c r="K747" s="124" t="n"/>
      <c r="L747" s="124" t="n"/>
      <c r="M747" s="124" t="n"/>
      <c r="N747" s="124" t="n"/>
      <c r="O747" s="124" t="n"/>
      <c r="P747" s="124" t="n"/>
      <c r="Q747" s="124" t="n"/>
      <c r="R747" s="124" t="n"/>
      <c r="S747" s="124" t="n"/>
      <c r="T747" s="124" t="n"/>
      <c r="U747" s="124" t="n"/>
      <c r="V747" s="124" t="n"/>
      <c r="W747" s="124" t="n"/>
      <c r="X747" s="124" t="n"/>
      <c r="Y747" s="124" t="n"/>
      <c r="Z747" s="124" t="n"/>
      <c r="AA747" s="124" t="n"/>
      <c r="AB747" s="124" t="n"/>
      <c r="AC747" s="124" t="n"/>
      <c r="AD747" s="124" t="n"/>
      <c r="AE747" s="124" t="n"/>
      <c r="AF747" s="124" t="n"/>
      <c r="AG747" s="124" t="n"/>
      <c r="AH747" s="124" t="n"/>
      <c r="AI747" s="124" t="n"/>
      <c r="AJ747" s="124" t="n"/>
      <c r="AK747" s="124" t="n"/>
      <c r="AL747" s="124" t="n"/>
      <c r="AM747" s="124" t="n"/>
      <c r="AN747" s="124" t="n"/>
      <c r="AO747" s="124" t="n"/>
      <c r="AP747" s="124" t="n"/>
      <c r="AQ747" s="124" t="n"/>
      <c r="AR747" s="124" t="n"/>
      <c r="AS747" s="124" t="n"/>
      <c r="AT747" s="124" t="n"/>
      <c r="AU747" s="124" t="n"/>
      <c r="AV747" s="124" t="n"/>
      <c r="AW747" s="124" t="n"/>
      <c r="AX747" s="124" t="n"/>
      <c r="AY747" s="124" t="n"/>
      <c r="AZ747" s="124" t="n"/>
      <c r="BA747" s="124" t="n"/>
      <c r="BB747" s="124" t="n"/>
      <c r="BC747" s="124" t="n"/>
      <c r="BD747" s="124" t="n"/>
      <c r="BE747" s="124" t="n"/>
      <c r="BF747" s="124" t="n"/>
      <c r="BG747" s="124" t="n"/>
      <c r="BH747" s="124" t="n"/>
      <c r="BI747" s="124" t="n"/>
      <c r="BJ747" s="124" t="n"/>
      <c r="BK747" s="124" t="n"/>
      <c r="BL747" s="124" t="n"/>
      <c r="BM747" s="124" t="n"/>
      <c r="BN747" s="124" t="n"/>
      <c r="BO747" s="124" t="n"/>
      <c r="BP747" s="124" t="n"/>
      <c r="BQ747" s="124" t="n"/>
      <c r="BR747" s="124" t="n"/>
      <c r="BS747" s="124" t="n"/>
      <c r="BT747" s="124" t="n"/>
      <c r="BU747" s="124" t="n"/>
      <c r="BV747" s="124" t="n"/>
      <c r="BW747" s="124" t="n"/>
      <c r="BX747" s="124" t="n"/>
      <c r="BY747" s="124" t="n"/>
      <c r="BZ747" s="124" t="n"/>
      <c r="CA747" s="124" t="n"/>
      <c r="CB747" s="124" t="n"/>
      <c r="CC747" s="124" t="n"/>
      <c r="CD747" s="124" t="n"/>
      <c r="CE747" s="124" t="n"/>
      <c r="CF747" s="124" t="n"/>
      <c r="CG747" s="124" t="n"/>
      <c r="CH747" s="124" t="n"/>
      <c r="CI747" s="124" t="n"/>
      <c r="CJ747" s="124" t="n"/>
      <c r="CK747" s="124" t="n"/>
      <c r="CL747" s="124" t="n"/>
      <c r="CM747" s="124" t="n"/>
      <c r="CN747" s="124" t="n"/>
      <c r="CO747" s="124" t="n"/>
      <c r="CP747" s="124" t="n"/>
      <c r="CQ747" s="124" t="n"/>
      <c r="CR747" s="124" t="n"/>
      <c r="CS747" s="124" t="n"/>
      <c r="CT747" s="124" t="n"/>
      <c r="CU747" s="124" t="n"/>
      <c r="CV747" s="124" t="n"/>
      <c r="CW747" s="124" t="n"/>
      <c r="CX747" s="124" t="n"/>
      <c r="CY747" s="124" t="n"/>
      <c r="CZ747" s="124" t="n"/>
      <c r="DA747" s="124" t="n"/>
      <c r="DB747" s="124" t="n"/>
      <c r="DC747" s="124" t="n"/>
      <c r="DD747" s="124" t="n"/>
      <c r="DE747" s="124" t="n"/>
      <c r="DF747" s="124" t="n"/>
      <c r="DG747" s="124" t="n"/>
      <c r="DH747" s="124" t="n"/>
      <c r="DI747" s="124" t="n"/>
      <c r="DJ747" s="124" t="n"/>
      <c r="DK747" s="124" t="n"/>
      <c r="DL747" s="124" t="n"/>
      <c r="DM747" s="124" t="n"/>
      <c r="DN747" s="124" t="n"/>
      <c r="DO747" s="124" t="n"/>
      <c r="DP747" s="124" t="n"/>
      <c r="DQ747" s="124" t="n"/>
      <c r="DR747" s="124" t="n"/>
      <c r="DS747" s="124" t="n"/>
      <c r="DT747" s="124" t="n"/>
      <c r="DU747" s="124" t="n"/>
      <c r="DV747" s="124" t="n"/>
      <c r="DW747" s="124" t="n"/>
      <c r="DX747" s="124" t="n"/>
      <c r="DY747" s="124" t="n"/>
      <c r="DZ747" s="124" t="n"/>
      <c r="EA747" s="124" t="n"/>
      <c r="EB747" s="124" t="n"/>
      <c r="EC747" s="124" t="n"/>
      <c r="ED747" s="124" t="n"/>
      <c r="EE747" s="124" t="n"/>
      <c r="EF747" s="124" t="n"/>
      <c r="EG747" s="124" t="n"/>
      <c r="EH747" s="124" t="n"/>
      <c r="EI747" s="124" t="n"/>
      <c r="EJ747" s="124" t="n"/>
      <c r="EK747" s="124" t="n"/>
      <c r="EL747" s="124" t="n"/>
      <c r="EM747" s="124" t="n"/>
      <c r="EN747" s="124" t="n"/>
      <c r="EO747" s="124" t="n"/>
      <c r="EP747" s="124" t="n"/>
      <c r="EQ747" s="124" t="n"/>
      <c r="ER747" s="124" t="n"/>
      <c r="ES747" s="124" t="n"/>
      <c r="ET747" s="124" t="n"/>
      <c r="EU747" s="124" t="n"/>
      <c r="EV747" s="124" t="n"/>
      <c r="EW747" s="124" t="n"/>
      <c r="EX747" s="124" t="n"/>
      <c r="EY747" s="124" t="n"/>
      <c r="EZ747" s="124" t="n"/>
      <c r="FA747" s="124" t="n"/>
      <c r="FB747" s="124" t="n"/>
      <c r="FC747" s="124" t="n"/>
      <c r="FD747" s="124" t="n"/>
      <c r="FE747" s="124" t="n"/>
      <c r="FF747" s="124" t="n"/>
      <c r="FG747" s="124" t="n"/>
      <c r="FH747" s="124" t="n"/>
      <c r="FI747" s="124" t="n"/>
      <c r="FJ747" s="124" t="n"/>
      <c r="FK747" s="124" t="n"/>
      <c r="FL747" s="124" t="n"/>
      <c r="FM747" s="124" t="n"/>
      <c r="FN747" s="124" t="n"/>
      <c r="FO747" s="124" t="n"/>
      <c r="FP747" s="124" t="n"/>
      <c r="FQ747" s="124" t="n"/>
      <c r="FR747" s="124" t="n"/>
      <c r="FS747" s="124" t="n"/>
      <c r="FT747" s="124" t="n"/>
      <c r="FU747" s="124" t="n"/>
      <c r="FV747" s="124" t="n"/>
      <c r="FW747" s="124" t="n"/>
      <c r="FX747" s="124" t="n"/>
      <c r="FY747" s="124" t="n"/>
      <c r="FZ747" s="124" t="n"/>
      <c r="GA747" s="124" t="n"/>
      <c r="GB747" s="124" t="n"/>
      <c r="GC747" s="124" t="n"/>
      <c r="GD747" s="124" t="n"/>
      <c r="GE747" s="124" t="n"/>
      <c r="GF747" s="124" t="n"/>
      <c r="GG747" s="124" t="n"/>
      <c r="GH747" s="124" t="n"/>
      <c r="GI747" s="124" t="n"/>
      <c r="GJ747" s="124" t="n"/>
      <c r="GK747" s="124" t="n"/>
      <c r="GL747" s="124" t="n"/>
      <c r="GM747" s="124" t="n"/>
      <c r="GN747" s="124" t="n"/>
      <c r="GO747" s="124" t="n"/>
      <c r="GP747" s="124" t="n"/>
      <c r="GQ747" s="124" t="n"/>
      <c r="GR747" s="124" t="n"/>
      <c r="GS747" s="124" t="n"/>
      <c r="GT747" s="124" t="n"/>
      <c r="GU747" s="124" t="n"/>
      <c r="GV747" s="124" t="n"/>
      <c r="GW747" s="124" t="n"/>
      <c r="GX747" s="124" t="n"/>
      <c r="GY747" s="124" t="n"/>
      <c r="GZ747" s="124" t="n"/>
      <c r="HA747" s="124" t="n"/>
      <c r="HB747" s="124" t="n"/>
      <c r="HC747" s="124" t="n"/>
      <c r="HD747" s="124" t="n"/>
      <c r="HE747" s="124" t="n"/>
      <c r="HF747" s="124" t="n"/>
      <c r="HG747" s="124" t="n"/>
      <c r="HH747" s="124" t="n"/>
      <c r="HI747" s="124" t="n"/>
      <c r="HJ747" s="124" t="n"/>
      <c r="HK747" s="124" t="n"/>
      <c r="HL747" s="124" t="n"/>
    </row>
    <row r="748" customFormat="1" s="3">
      <c r="A748" s="33" t="inlineStr">
        <is>
          <t>7 этап</t>
        </is>
      </c>
      <c r="B748" s="34" t="n"/>
      <c r="C748" s="38" t="inlineStr">
        <is>
          <t>Устройство бетонной подготовки В 7.5 (лоток)</t>
        </is>
      </c>
      <c r="D748" s="36" t="inlineStr">
        <is>
          <t>м3</t>
        </is>
      </c>
      <c r="E748" s="123" t="n">
        <v>16.7</v>
      </c>
      <c r="F748" s="124" t="n"/>
      <c r="G748" s="124" t="n"/>
      <c r="H748" s="124" t="n"/>
      <c r="I748" s="124" t="n"/>
      <c r="J748" s="124" t="n"/>
      <c r="K748" s="124" t="n"/>
      <c r="L748" s="124" t="n"/>
      <c r="M748" s="124" t="n"/>
      <c r="N748" s="124" t="n"/>
      <c r="O748" s="124" t="n"/>
      <c r="P748" s="124" t="n"/>
      <c r="Q748" s="124" t="n"/>
      <c r="R748" s="124" t="n"/>
      <c r="S748" s="124" t="n"/>
      <c r="T748" s="124" t="n"/>
      <c r="U748" s="124" t="n"/>
      <c r="V748" s="124" t="n"/>
      <c r="W748" s="124" t="n"/>
      <c r="X748" s="124" t="n"/>
      <c r="Y748" s="124" t="n"/>
      <c r="Z748" s="124" t="n"/>
      <c r="AA748" s="124" t="n"/>
      <c r="AB748" s="124" t="n"/>
      <c r="AC748" s="124" t="n"/>
      <c r="AD748" s="124" t="n"/>
      <c r="AE748" s="124" t="n"/>
      <c r="AF748" s="124" t="n"/>
      <c r="AG748" s="124" t="n"/>
      <c r="AH748" s="124" t="n"/>
      <c r="AI748" s="124" t="n"/>
      <c r="AJ748" s="124" t="n"/>
      <c r="AK748" s="124" t="n"/>
      <c r="AL748" s="124" t="n"/>
      <c r="AM748" s="124" t="n"/>
      <c r="AN748" s="124" t="n"/>
      <c r="AO748" s="124" t="n"/>
      <c r="AP748" s="124" t="n"/>
      <c r="AQ748" s="124" t="n"/>
      <c r="AR748" s="124" t="n"/>
      <c r="AS748" s="124" t="n"/>
      <c r="AT748" s="124" t="n"/>
      <c r="AU748" s="124" t="n"/>
      <c r="AV748" s="124" t="n"/>
      <c r="AW748" s="124" t="n"/>
      <c r="AX748" s="124" t="n"/>
      <c r="AY748" s="124" t="n"/>
      <c r="AZ748" s="124" t="n"/>
      <c r="BA748" s="124" t="n"/>
      <c r="BB748" s="124" t="n"/>
      <c r="BC748" s="124" t="n"/>
      <c r="BD748" s="124" t="n"/>
      <c r="BE748" s="124" t="n"/>
      <c r="BF748" s="124" t="n"/>
      <c r="BG748" s="124" t="n"/>
      <c r="BH748" s="124" t="n"/>
      <c r="BI748" s="124" t="n"/>
      <c r="BJ748" s="124" t="n"/>
      <c r="BK748" s="124" t="n"/>
      <c r="BL748" s="124" t="n"/>
      <c r="BM748" s="124" t="n"/>
      <c r="BN748" s="124" t="n"/>
      <c r="BO748" s="124" t="n"/>
      <c r="BP748" s="124" t="n"/>
      <c r="BQ748" s="124" t="n"/>
      <c r="BR748" s="124" t="n"/>
      <c r="BS748" s="124" t="n"/>
      <c r="BT748" s="124" t="n"/>
      <c r="BU748" s="124" t="n"/>
      <c r="BV748" s="124" t="n"/>
      <c r="BW748" s="124" t="n"/>
      <c r="BX748" s="124" t="n"/>
      <c r="BY748" s="124" t="n"/>
      <c r="BZ748" s="124" t="n"/>
      <c r="CA748" s="124" t="n"/>
      <c r="CB748" s="124" t="n"/>
      <c r="CC748" s="124" t="n"/>
      <c r="CD748" s="124" t="n"/>
      <c r="CE748" s="124" t="n"/>
      <c r="CF748" s="124" t="n"/>
      <c r="CG748" s="124" t="n"/>
      <c r="CH748" s="124" t="n"/>
      <c r="CI748" s="124" t="n"/>
      <c r="CJ748" s="124" t="n"/>
      <c r="CK748" s="124" t="n"/>
      <c r="CL748" s="124" t="n"/>
      <c r="CM748" s="124" t="n"/>
      <c r="CN748" s="124" t="n"/>
      <c r="CO748" s="124" t="n"/>
      <c r="CP748" s="124" t="n"/>
      <c r="CQ748" s="124" t="n"/>
      <c r="CR748" s="124" t="n"/>
      <c r="CS748" s="124" t="n"/>
      <c r="CT748" s="124" t="n"/>
      <c r="CU748" s="124" t="n"/>
      <c r="CV748" s="124" t="n"/>
      <c r="CW748" s="124" t="n"/>
      <c r="CX748" s="124" t="n"/>
      <c r="CY748" s="124" t="n"/>
      <c r="CZ748" s="124" t="n"/>
      <c r="DA748" s="124" t="n"/>
      <c r="DB748" s="124" t="n"/>
      <c r="DC748" s="124" t="n"/>
      <c r="DD748" s="124" t="n"/>
      <c r="DE748" s="124" t="n"/>
      <c r="DF748" s="124" t="n"/>
      <c r="DG748" s="124" t="n"/>
      <c r="DH748" s="124" t="n"/>
      <c r="DI748" s="124" t="n"/>
      <c r="DJ748" s="124" t="n"/>
      <c r="DK748" s="124" t="n"/>
      <c r="DL748" s="124" t="n"/>
      <c r="DM748" s="124" t="n"/>
      <c r="DN748" s="124" t="n"/>
      <c r="DO748" s="124" t="n"/>
      <c r="DP748" s="124" t="n"/>
      <c r="DQ748" s="124" t="n"/>
      <c r="DR748" s="124" t="n"/>
      <c r="DS748" s="124" t="n"/>
      <c r="DT748" s="124" t="n"/>
      <c r="DU748" s="124" t="n"/>
      <c r="DV748" s="124" t="n"/>
      <c r="DW748" s="124" t="n"/>
      <c r="DX748" s="124" t="n"/>
      <c r="DY748" s="124" t="n"/>
      <c r="DZ748" s="124" t="n"/>
      <c r="EA748" s="124" t="n"/>
      <c r="EB748" s="124" t="n"/>
      <c r="EC748" s="124" t="n"/>
      <c r="ED748" s="124" t="n"/>
      <c r="EE748" s="124" t="n"/>
      <c r="EF748" s="124" t="n"/>
      <c r="EG748" s="124" t="n"/>
      <c r="EH748" s="124" t="n"/>
      <c r="EI748" s="124" t="n"/>
      <c r="EJ748" s="124" t="n"/>
      <c r="EK748" s="124" t="n"/>
      <c r="EL748" s="124" t="n"/>
      <c r="EM748" s="124" t="n"/>
      <c r="EN748" s="124" t="n"/>
      <c r="EO748" s="124" t="n"/>
      <c r="EP748" s="124" t="n"/>
      <c r="EQ748" s="124" t="n"/>
      <c r="ER748" s="124" t="n"/>
      <c r="ES748" s="124" t="n"/>
      <c r="ET748" s="124" t="n"/>
      <c r="EU748" s="124" t="n"/>
      <c r="EV748" s="124" t="n"/>
      <c r="EW748" s="124" t="n"/>
      <c r="EX748" s="124" t="n"/>
      <c r="EY748" s="124" t="n"/>
      <c r="EZ748" s="124" t="n"/>
      <c r="FA748" s="124" t="n"/>
      <c r="FB748" s="124" t="n"/>
      <c r="FC748" s="124" t="n"/>
      <c r="FD748" s="124" t="n"/>
      <c r="FE748" s="124" t="n"/>
      <c r="FF748" s="124" t="n"/>
      <c r="FG748" s="124" t="n"/>
      <c r="FH748" s="124" t="n"/>
      <c r="FI748" s="124" t="n"/>
      <c r="FJ748" s="124" t="n"/>
      <c r="FK748" s="124" t="n"/>
      <c r="FL748" s="124" t="n"/>
      <c r="FM748" s="124" t="n"/>
      <c r="FN748" s="124" t="n"/>
      <c r="FO748" s="124" t="n"/>
      <c r="FP748" s="124" t="n"/>
      <c r="FQ748" s="124" t="n"/>
      <c r="FR748" s="124" t="n"/>
      <c r="FS748" s="124" t="n"/>
      <c r="FT748" s="124" t="n"/>
      <c r="FU748" s="124" t="n"/>
      <c r="FV748" s="124" t="n"/>
      <c r="FW748" s="124" t="n"/>
      <c r="FX748" s="124" t="n"/>
      <c r="FY748" s="124" t="n"/>
      <c r="FZ748" s="124" t="n"/>
      <c r="GA748" s="124" t="n"/>
      <c r="GB748" s="124" t="n"/>
      <c r="GC748" s="124" t="n"/>
      <c r="GD748" s="124" t="n"/>
      <c r="GE748" s="124" t="n"/>
      <c r="GF748" s="124" t="n"/>
      <c r="GG748" s="124" t="n"/>
      <c r="GH748" s="124" t="n"/>
      <c r="GI748" s="124" t="n"/>
      <c r="GJ748" s="124" t="n"/>
      <c r="GK748" s="124" t="n"/>
      <c r="GL748" s="124" t="n"/>
      <c r="GM748" s="124" t="n"/>
      <c r="GN748" s="124" t="n"/>
      <c r="GO748" s="124" t="n"/>
      <c r="GP748" s="124" t="n"/>
      <c r="GQ748" s="124" t="n"/>
      <c r="GR748" s="124" t="n"/>
      <c r="GS748" s="124" t="n"/>
      <c r="GT748" s="124" t="n"/>
      <c r="GU748" s="124" t="n"/>
      <c r="GV748" s="124" t="n"/>
      <c r="GW748" s="124" t="n"/>
      <c r="GX748" s="124" t="n"/>
      <c r="GY748" s="124" t="n"/>
      <c r="GZ748" s="124" t="n"/>
      <c r="HA748" s="124" t="n"/>
      <c r="HB748" s="124" t="n"/>
      <c r="HC748" s="124" t="n"/>
      <c r="HD748" s="124" t="n"/>
      <c r="HE748" s="124" t="n"/>
      <c r="HF748" s="124" t="n"/>
      <c r="HG748" s="124" t="n"/>
      <c r="HH748" s="124" t="n"/>
      <c r="HI748" s="124" t="n"/>
      <c r="HJ748" s="124" t="n"/>
      <c r="HK748" s="124" t="n"/>
      <c r="HL748" s="124" t="n"/>
    </row>
    <row r="749" customFormat="1" s="3">
      <c r="A749" s="33" t="inlineStr">
        <is>
          <t>7 этап</t>
        </is>
      </c>
      <c r="B749" s="34" t="n"/>
      <c r="C749" s="38" t="inlineStr">
        <is>
          <t>Монтаж сборных ЖБ Серия 3.006.1-2.87 (лоток)</t>
        </is>
      </c>
      <c r="D749" s="36" t="inlineStr">
        <is>
          <t>шт.</t>
        </is>
      </c>
      <c r="E749" s="123" t="n">
        <v>149</v>
      </c>
      <c r="F749" s="124" t="n"/>
      <c r="G749" s="124" t="n"/>
      <c r="H749" s="124" t="n"/>
      <c r="I749" s="124" t="n"/>
      <c r="J749" s="124" t="n"/>
      <c r="K749" s="124" t="n"/>
      <c r="L749" s="124" t="n"/>
      <c r="M749" s="124" t="n"/>
      <c r="N749" s="124" t="n"/>
      <c r="O749" s="124" t="n"/>
      <c r="P749" s="124" t="n"/>
      <c r="Q749" s="124" t="n"/>
      <c r="R749" s="124" t="n"/>
      <c r="S749" s="124" t="n"/>
      <c r="T749" s="124" t="n"/>
      <c r="U749" s="124" t="n"/>
      <c r="V749" s="124" t="n"/>
      <c r="W749" s="124" t="n"/>
      <c r="X749" s="124" t="n"/>
      <c r="Y749" s="124" t="n"/>
      <c r="Z749" s="124" t="n"/>
      <c r="AA749" s="124" t="n"/>
      <c r="AB749" s="124" t="n"/>
      <c r="AC749" s="124" t="n"/>
      <c r="AD749" s="124" t="n"/>
      <c r="AE749" s="124" t="n"/>
      <c r="AF749" s="124" t="n"/>
      <c r="AG749" s="124" t="n"/>
      <c r="AH749" s="124" t="n"/>
      <c r="AI749" s="124" t="n"/>
      <c r="AJ749" s="124" t="n"/>
      <c r="AK749" s="124" t="n"/>
      <c r="AL749" s="124" t="n"/>
      <c r="AM749" s="124" t="n"/>
      <c r="AN749" s="124" t="n"/>
      <c r="AO749" s="124" t="n"/>
      <c r="AP749" s="124" t="n"/>
      <c r="AQ749" s="124" t="n"/>
      <c r="AR749" s="124" t="n"/>
      <c r="AS749" s="124" t="n"/>
      <c r="AT749" s="124" t="n"/>
      <c r="AU749" s="124" t="n"/>
      <c r="AV749" s="124" t="n"/>
      <c r="AW749" s="124" t="n"/>
      <c r="AX749" s="124" t="n"/>
      <c r="AY749" s="124" t="n"/>
      <c r="AZ749" s="124" t="n"/>
      <c r="BA749" s="124" t="n"/>
      <c r="BB749" s="124" t="n"/>
      <c r="BC749" s="124" t="n"/>
      <c r="BD749" s="124" t="n"/>
      <c r="BE749" s="124" t="n"/>
      <c r="BF749" s="124" t="n"/>
      <c r="BG749" s="124" t="n"/>
      <c r="BH749" s="124" t="n"/>
      <c r="BI749" s="124" t="n"/>
      <c r="BJ749" s="124" t="n"/>
      <c r="BK749" s="124" t="n"/>
      <c r="BL749" s="124" t="n"/>
      <c r="BM749" s="124" t="n"/>
      <c r="BN749" s="124" t="n"/>
      <c r="BO749" s="124" t="n"/>
      <c r="BP749" s="124" t="n"/>
      <c r="BQ749" s="124" t="n"/>
      <c r="BR749" s="124" t="n"/>
      <c r="BS749" s="124" t="n"/>
      <c r="BT749" s="124" t="n"/>
      <c r="BU749" s="124" t="n"/>
      <c r="BV749" s="124" t="n"/>
      <c r="BW749" s="124" t="n"/>
      <c r="BX749" s="124" t="n"/>
      <c r="BY749" s="124" t="n"/>
      <c r="BZ749" s="124" t="n"/>
      <c r="CA749" s="124" t="n"/>
      <c r="CB749" s="124" t="n"/>
      <c r="CC749" s="124" t="n"/>
      <c r="CD749" s="124" t="n"/>
      <c r="CE749" s="124" t="n"/>
      <c r="CF749" s="124" t="n"/>
      <c r="CG749" s="124" t="n"/>
      <c r="CH749" s="124" t="n"/>
      <c r="CI749" s="124" t="n"/>
      <c r="CJ749" s="124" t="n"/>
      <c r="CK749" s="124" t="n"/>
      <c r="CL749" s="124" t="n"/>
      <c r="CM749" s="124" t="n"/>
      <c r="CN749" s="124" t="n"/>
      <c r="CO749" s="124" t="n"/>
      <c r="CP749" s="124" t="n"/>
      <c r="CQ749" s="124" t="n"/>
      <c r="CR749" s="124" t="n"/>
      <c r="CS749" s="124" t="n"/>
      <c r="CT749" s="124" t="n"/>
      <c r="CU749" s="124" t="n"/>
      <c r="CV749" s="124" t="n"/>
      <c r="CW749" s="124" t="n"/>
      <c r="CX749" s="124" t="n"/>
      <c r="CY749" s="124" t="n"/>
      <c r="CZ749" s="124" t="n"/>
      <c r="DA749" s="124" t="n"/>
      <c r="DB749" s="124" t="n"/>
      <c r="DC749" s="124" t="n"/>
      <c r="DD749" s="124" t="n"/>
      <c r="DE749" s="124" t="n"/>
      <c r="DF749" s="124" t="n"/>
      <c r="DG749" s="124" t="n"/>
      <c r="DH749" s="124" t="n"/>
      <c r="DI749" s="124" t="n"/>
      <c r="DJ749" s="124" t="n"/>
      <c r="DK749" s="124" t="n"/>
      <c r="DL749" s="124" t="n"/>
      <c r="DM749" s="124" t="n"/>
      <c r="DN749" s="124" t="n"/>
      <c r="DO749" s="124" t="n"/>
      <c r="DP749" s="124" t="n"/>
      <c r="DQ749" s="124" t="n"/>
      <c r="DR749" s="124" t="n"/>
      <c r="DS749" s="124" t="n"/>
      <c r="DT749" s="124" t="n"/>
      <c r="DU749" s="124" t="n"/>
      <c r="DV749" s="124" t="n"/>
      <c r="DW749" s="124" t="n"/>
      <c r="DX749" s="124" t="n"/>
      <c r="DY749" s="124" t="n"/>
      <c r="DZ749" s="124" t="n"/>
      <c r="EA749" s="124" t="n"/>
      <c r="EB749" s="124" t="n"/>
      <c r="EC749" s="124" t="n"/>
      <c r="ED749" s="124" t="n"/>
      <c r="EE749" s="124" t="n"/>
      <c r="EF749" s="124" t="n"/>
      <c r="EG749" s="124" t="n"/>
      <c r="EH749" s="124" t="n"/>
      <c r="EI749" s="124" t="n"/>
      <c r="EJ749" s="124" t="n"/>
      <c r="EK749" s="124" t="n"/>
      <c r="EL749" s="124" t="n"/>
      <c r="EM749" s="124" t="n"/>
      <c r="EN749" s="124" t="n"/>
      <c r="EO749" s="124" t="n"/>
      <c r="EP749" s="124" t="n"/>
      <c r="EQ749" s="124" t="n"/>
      <c r="ER749" s="124" t="n"/>
      <c r="ES749" s="124" t="n"/>
      <c r="ET749" s="124" t="n"/>
      <c r="EU749" s="124" t="n"/>
      <c r="EV749" s="124" t="n"/>
      <c r="EW749" s="124" t="n"/>
      <c r="EX749" s="124" t="n"/>
      <c r="EY749" s="124" t="n"/>
      <c r="EZ749" s="124" t="n"/>
      <c r="FA749" s="124" t="n"/>
      <c r="FB749" s="124" t="n"/>
      <c r="FC749" s="124" t="n"/>
      <c r="FD749" s="124" t="n"/>
      <c r="FE749" s="124" t="n"/>
      <c r="FF749" s="124" t="n"/>
      <c r="FG749" s="124" t="n"/>
      <c r="FH749" s="124" t="n"/>
      <c r="FI749" s="124" t="n"/>
      <c r="FJ749" s="124" t="n"/>
      <c r="FK749" s="124" t="n"/>
      <c r="FL749" s="124" t="n"/>
      <c r="FM749" s="124" t="n"/>
      <c r="FN749" s="124" t="n"/>
      <c r="FO749" s="124" t="n"/>
      <c r="FP749" s="124" t="n"/>
      <c r="FQ749" s="124" t="n"/>
      <c r="FR749" s="124" t="n"/>
      <c r="FS749" s="124" t="n"/>
      <c r="FT749" s="124" t="n"/>
      <c r="FU749" s="124" t="n"/>
      <c r="FV749" s="124" t="n"/>
      <c r="FW749" s="124" t="n"/>
      <c r="FX749" s="124" t="n"/>
      <c r="FY749" s="124" t="n"/>
      <c r="FZ749" s="124" t="n"/>
      <c r="GA749" s="124" t="n"/>
      <c r="GB749" s="124" t="n"/>
      <c r="GC749" s="124" t="n"/>
      <c r="GD749" s="124" t="n"/>
      <c r="GE749" s="124" t="n"/>
      <c r="GF749" s="124" t="n"/>
      <c r="GG749" s="124" t="n"/>
      <c r="GH749" s="124" t="n"/>
      <c r="GI749" s="124" t="n"/>
      <c r="GJ749" s="124" t="n"/>
      <c r="GK749" s="124" t="n"/>
      <c r="GL749" s="124" t="n"/>
      <c r="GM749" s="124" t="n"/>
      <c r="GN749" s="124" t="n"/>
      <c r="GO749" s="124" t="n"/>
      <c r="GP749" s="124" t="n"/>
      <c r="GQ749" s="124" t="n"/>
      <c r="GR749" s="124" t="n"/>
      <c r="GS749" s="124" t="n"/>
      <c r="GT749" s="124" t="n"/>
      <c r="GU749" s="124" t="n"/>
      <c r="GV749" s="124" t="n"/>
      <c r="GW749" s="124" t="n"/>
      <c r="GX749" s="124" t="n"/>
      <c r="GY749" s="124" t="n"/>
      <c r="GZ749" s="124" t="n"/>
      <c r="HA749" s="124" t="n"/>
      <c r="HB749" s="124" t="n"/>
      <c r="HC749" s="124" t="n"/>
      <c r="HD749" s="124" t="n"/>
      <c r="HE749" s="124" t="n"/>
      <c r="HF749" s="124" t="n"/>
      <c r="HG749" s="124" t="n"/>
      <c r="HH749" s="124" t="n"/>
      <c r="HI749" s="124" t="n"/>
      <c r="HJ749" s="124" t="n"/>
      <c r="HK749" s="124" t="n"/>
      <c r="HL749" s="124" t="n"/>
    </row>
    <row r="750" customFormat="1" s="3">
      <c r="A750" s="33" t="inlineStr">
        <is>
          <t>7 этап</t>
        </is>
      </c>
      <c r="B750" s="34" t="n"/>
      <c r="C750" s="38" t="inlineStr">
        <is>
          <t>Жб конструкции бетон В25 с к/а 26,26 кг/м3 (лоток)</t>
        </is>
      </c>
      <c r="D750" s="36" t="inlineStr">
        <is>
          <t>м3</t>
        </is>
      </c>
      <c r="E750" s="123" t="n">
        <v>2</v>
      </c>
      <c r="F750" s="124" t="n"/>
      <c r="G750" s="124" t="n"/>
      <c r="H750" s="124" t="n"/>
      <c r="I750" s="124" t="n"/>
      <c r="J750" s="124" t="n"/>
      <c r="K750" s="124" t="n"/>
      <c r="L750" s="124" t="n"/>
      <c r="M750" s="124" t="n"/>
      <c r="N750" s="124" t="n"/>
      <c r="O750" s="124" t="n"/>
      <c r="P750" s="124" t="n"/>
      <c r="Q750" s="124" t="n"/>
      <c r="R750" s="124" t="n"/>
      <c r="S750" s="124" t="n"/>
      <c r="T750" s="124" t="n"/>
      <c r="U750" s="124" t="n"/>
      <c r="V750" s="124" t="n"/>
      <c r="W750" s="124" t="n"/>
      <c r="X750" s="124" t="n"/>
      <c r="Y750" s="124" t="n"/>
      <c r="Z750" s="124" t="n"/>
      <c r="AA750" s="124" t="n"/>
      <c r="AB750" s="124" t="n"/>
      <c r="AC750" s="124" t="n"/>
      <c r="AD750" s="124" t="n"/>
      <c r="AE750" s="124" t="n"/>
      <c r="AF750" s="124" t="n"/>
      <c r="AG750" s="124" t="n"/>
      <c r="AH750" s="124" t="n"/>
      <c r="AI750" s="124" t="n"/>
      <c r="AJ750" s="124" t="n"/>
      <c r="AK750" s="124" t="n"/>
      <c r="AL750" s="124" t="n"/>
      <c r="AM750" s="124" t="n"/>
      <c r="AN750" s="124" t="n"/>
      <c r="AO750" s="124" t="n"/>
      <c r="AP750" s="124" t="n"/>
      <c r="AQ750" s="124" t="n"/>
      <c r="AR750" s="124" t="n"/>
      <c r="AS750" s="124" t="n"/>
      <c r="AT750" s="124" t="n"/>
      <c r="AU750" s="124" t="n"/>
      <c r="AV750" s="124" t="n"/>
      <c r="AW750" s="124" t="n"/>
      <c r="AX750" s="124" t="n"/>
      <c r="AY750" s="124" t="n"/>
      <c r="AZ750" s="124" t="n"/>
      <c r="BA750" s="124" t="n"/>
      <c r="BB750" s="124" t="n"/>
      <c r="BC750" s="124" t="n"/>
      <c r="BD750" s="124" t="n"/>
      <c r="BE750" s="124" t="n"/>
      <c r="BF750" s="124" t="n"/>
      <c r="BG750" s="124" t="n"/>
      <c r="BH750" s="124" t="n"/>
      <c r="BI750" s="124" t="n"/>
      <c r="BJ750" s="124" t="n"/>
      <c r="BK750" s="124" t="n"/>
      <c r="BL750" s="124" t="n"/>
      <c r="BM750" s="124" t="n"/>
      <c r="BN750" s="124" t="n"/>
      <c r="BO750" s="124" t="n"/>
      <c r="BP750" s="124" t="n"/>
      <c r="BQ750" s="124" t="n"/>
      <c r="BR750" s="124" t="n"/>
      <c r="BS750" s="124" t="n"/>
      <c r="BT750" s="124" t="n"/>
      <c r="BU750" s="124" t="n"/>
      <c r="BV750" s="124" t="n"/>
      <c r="BW750" s="124" t="n"/>
      <c r="BX750" s="124" t="n"/>
      <c r="BY750" s="124" t="n"/>
      <c r="BZ750" s="124" t="n"/>
      <c r="CA750" s="124" t="n"/>
      <c r="CB750" s="124" t="n"/>
      <c r="CC750" s="124" t="n"/>
      <c r="CD750" s="124" t="n"/>
      <c r="CE750" s="124" t="n"/>
      <c r="CF750" s="124" t="n"/>
      <c r="CG750" s="124" t="n"/>
      <c r="CH750" s="124" t="n"/>
      <c r="CI750" s="124" t="n"/>
      <c r="CJ750" s="124" t="n"/>
      <c r="CK750" s="124" t="n"/>
      <c r="CL750" s="124" t="n"/>
      <c r="CM750" s="124" t="n"/>
      <c r="CN750" s="124" t="n"/>
      <c r="CO750" s="124" t="n"/>
      <c r="CP750" s="124" t="n"/>
      <c r="CQ750" s="124" t="n"/>
      <c r="CR750" s="124" t="n"/>
      <c r="CS750" s="124" t="n"/>
      <c r="CT750" s="124" t="n"/>
      <c r="CU750" s="124" t="n"/>
      <c r="CV750" s="124" t="n"/>
      <c r="CW750" s="124" t="n"/>
      <c r="CX750" s="124" t="n"/>
      <c r="CY750" s="124" t="n"/>
      <c r="CZ750" s="124" t="n"/>
      <c r="DA750" s="124" t="n"/>
      <c r="DB750" s="124" t="n"/>
      <c r="DC750" s="124" t="n"/>
      <c r="DD750" s="124" t="n"/>
      <c r="DE750" s="124" t="n"/>
      <c r="DF750" s="124" t="n"/>
      <c r="DG750" s="124" t="n"/>
      <c r="DH750" s="124" t="n"/>
      <c r="DI750" s="124" t="n"/>
      <c r="DJ750" s="124" t="n"/>
      <c r="DK750" s="124" t="n"/>
      <c r="DL750" s="124" t="n"/>
      <c r="DM750" s="124" t="n"/>
      <c r="DN750" s="124" t="n"/>
      <c r="DO750" s="124" t="n"/>
      <c r="DP750" s="124" t="n"/>
      <c r="DQ750" s="124" t="n"/>
      <c r="DR750" s="124" t="n"/>
      <c r="DS750" s="124" t="n"/>
      <c r="DT750" s="124" t="n"/>
      <c r="DU750" s="124" t="n"/>
      <c r="DV750" s="124" t="n"/>
      <c r="DW750" s="124" t="n"/>
      <c r="DX750" s="124" t="n"/>
      <c r="DY750" s="124" t="n"/>
      <c r="DZ750" s="124" t="n"/>
      <c r="EA750" s="124" t="n"/>
      <c r="EB750" s="124" t="n"/>
      <c r="EC750" s="124" t="n"/>
      <c r="ED750" s="124" t="n"/>
      <c r="EE750" s="124" t="n"/>
      <c r="EF750" s="124" t="n"/>
      <c r="EG750" s="124" t="n"/>
      <c r="EH750" s="124" t="n"/>
      <c r="EI750" s="124" t="n"/>
      <c r="EJ750" s="124" t="n"/>
      <c r="EK750" s="124" t="n"/>
      <c r="EL750" s="124" t="n"/>
      <c r="EM750" s="124" t="n"/>
      <c r="EN750" s="124" t="n"/>
      <c r="EO750" s="124" t="n"/>
      <c r="EP750" s="124" t="n"/>
      <c r="EQ750" s="124" t="n"/>
      <c r="ER750" s="124" t="n"/>
      <c r="ES750" s="124" t="n"/>
      <c r="ET750" s="124" t="n"/>
      <c r="EU750" s="124" t="n"/>
      <c r="EV750" s="124" t="n"/>
      <c r="EW750" s="124" t="n"/>
      <c r="EX750" s="124" t="n"/>
      <c r="EY750" s="124" t="n"/>
      <c r="EZ750" s="124" t="n"/>
      <c r="FA750" s="124" t="n"/>
      <c r="FB750" s="124" t="n"/>
      <c r="FC750" s="124" t="n"/>
      <c r="FD750" s="124" t="n"/>
      <c r="FE750" s="124" t="n"/>
      <c r="FF750" s="124" t="n"/>
      <c r="FG750" s="124" t="n"/>
      <c r="FH750" s="124" t="n"/>
      <c r="FI750" s="124" t="n"/>
      <c r="FJ750" s="124" t="n"/>
      <c r="FK750" s="124" t="n"/>
      <c r="FL750" s="124" t="n"/>
      <c r="FM750" s="124" t="n"/>
      <c r="FN750" s="124" t="n"/>
      <c r="FO750" s="124" t="n"/>
      <c r="FP750" s="124" t="n"/>
      <c r="FQ750" s="124" t="n"/>
      <c r="FR750" s="124" t="n"/>
      <c r="FS750" s="124" t="n"/>
      <c r="FT750" s="124" t="n"/>
      <c r="FU750" s="124" t="n"/>
      <c r="FV750" s="124" t="n"/>
      <c r="FW750" s="124" t="n"/>
      <c r="FX750" s="124" t="n"/>
      <c r="FY750" s="124" t="n"/>
      <c r="FZ750" s="124" t="n"/>
      <c r="GA750" s="124" t="n"/>
      <c r="GB750" s="124" t="n"/>
      <c r="GC750" s="124" t="n"/>
      <c r="GD750" s="124" t="n"/>
      <c r="GE750" s="124" t="n"/>
      <c r="GF750" s="124" t="n"/>
      <c r="GG750" s="124" t="n"/>
      <c r="GH750" s="124" t="n"/>
      <c r="GI750" s="124" t="n"/>
      <c r="GJ750" s="124" t="n"/>
      <c r="GK750" s="124" t="n"/>
      <c r="GL750" s="124" t="n"/>
      <c r="GM750" s="124" t="n"/>
      <c r="GN750" s="124" t="n"/>
      <c r="GO750" s="124" t="n"/>
      <c r="GP750" s="124" t="n"/>
      <c r="GQ750" s="124" t="n"/>
      <c r="GR750" s="124" t="n"/>
      <c r="GS750" s="124" t="n"/>
      <c r="GT750" s="124" t="n"/>
      <c r="GU750" s="124" t="n"/>
      <c r="GV750" s="124" t="n"/>
      <c r="GW750" s="124" t="n"/>
      <c r="GX750" s="124" t="n"/>
      <c r="GY750" s="124" t="n"/>
      <c r="GZ750" s="124" t="n"/>
      <c r="HA750" s="124" t="n"/>
      <c r="HB750" s="124" t="n"/>
      <c r="HC750" s="124" t="n"/>
      <c r="HD750" s="124" t="n"/>
      <c r="HE750" s="124" t="n"/>
      <c r="HF750" s="124" t="n"/>
      <c r="HG750" s="124" t="n"/>
      <c r="HH750" s="124" t="n"/>
      <c r="HI750" s="124" t="n"/>
      <c r="HJ750" s="124" t="n"/>
      <c r="HK750" s="124" t="n"/>
      <c r="HL750" s="124" t="n"/>
    </row>
    <row r="751" customFormat="1" s="3">
      <c r="A751" s="33" t="inlineStr">
        <is>
          <t>7 этап</t>
        </is>
      </c>
      <c r="B751" s="34" t="n"/>
      <c r="C751" s="38" t="inlineStr">
        <is>
          <t>Опорные конструкции КМ</t>
        </is>
      </c>
      <c r="D751" s="36" t="inlineStr">
        <is>
          <t>кг</t>
        </is>
      </c>
      <c r="E751" s="123" t="n">
        <v>31.76</v>
      </c>
      <c r="F751" s="124" t="n"/>
      <c r="G751" s="124" t="n"/>
      <c r="H751" s="124" t="n"/>
      <c r="I751" s="124" t="n"/>
      <c r="J751" s="124" t="n"/>
      <c r="K751" s="124" t="n"/>
      <c r="L751" s="124" t="n"/>
      <c r="M751" s="124" t="n"/>
      <c r="N751" s="124" t="n"/>
      <c r="O751" s="124" t="n"/>
      <c r="P751" s="124" t="n"/>
      <c r="Q751" s="124" t="n"/>
      <c r="R751" s="124" t="n"/>
      <c r="S751" s="124" t="n"/>
      <c r="T751" s="124" t="n"/>
      <c r="U751" s="124" t="n"/>
      <c r="V751" s="124" t="n"/>
      <c r="W751" s="124" t="n"/>
      <c r="X751" s="124" t="n"/>
      <c r="Y751" s="124" t="n"/>
      <c r="Z751" s="124" t="n"/>
      <c r="AA751" s="124" t="n"/>
      <c r="AB751" s="124" t="n"/>
      <c r="AC751" s="124" t="n"/>
      <c r="AD751" s="124" t="n"/>
      <c r="AE751" s="124" t="n"/>
      <c r="AF751" s="124" t="n"/>
      <c r="AG751" s="124" t="n"/>
      <c r="AH751" s="124" t="n"/>
      <c r="AI751" s="124" t="n"/>
      <c r="AJ751" s="124" t="n"/>
      <c r="AK751" s="124" t="n"/>
      <c r="AL751" s="124" t="n"/>
      <c r="AM751" s="124" t="n"/>
      <c r="AN751" s="124" t="n"/>
      <c r="AO751" s="124" t="n"/>
      <c r="AP751" s="124" t="n"/>
      <c r="AQ751" s="124" t="n"/>
      <c r="AR751" s="124" t="n"/>
      <c r="AS751" s="124" t="n"/>
      <c r="AT751" s="124" t="n"/>
      <c r="AU751" s="124" t="n"/>
      <c r="AV751" s="124" t="n"/>
      <c r="AW751" s="124" t="n"/>
      <c r="AX751" s="124" t="n"/>
      <c r="AY751" s="124" t="n"/>
      <c r="AZ751" s="124" t="n"/>
      <c r="BA751" s="124" t="n"/>
      <c r="BB751" s="124" t="n"/>
      <c r="BC751" s="124" t="n"/>
      <c r="BD751" s="124" t="n"/>
      <c r="BE751" s="124" t="n"/>
      <c r="BF751" s="124" t="n"/>
      <c r="BG751" s="124" t="n"/>
      <c r="BH751" s="124" t="n"/>
      <c r="BI751" s="124" t="n"/>
      <c r="BJ751" s="124" t="n"/>
      <c r="BK751" s="124" t="n"/>
      <c r="BL751" s="124" t="n"/>
      <c r="BM751" s="124" t="n"/>
      <c r="BN751" s="124" t="n"/>
      <c r="BO751" s="124" t="n"/>
      <c r="BP751" s="124" t="n"/>
      <c r="BQ751" s="124" t="n"/>
      <c r="BR751" s="124" t="n"/>
      <c r="BS751" s="124" t="n"/>
      <c r="BT751" s="124" t="n"/>
      <c r="BU751" s="124" t="n"/>
      <c r="BV751" s="124" t="n"/>
      <c r="BW751" s="124" t="n"/>
      <c r="BX751" s="124" t="n"/>
      <c r="BY751" s="124" t="n"/>
      <c r="BZ751" s="124" t="n"/>
      <c r="CA751" s="124" t="n"/>
      <c r="CB751" s="124" t="n"/>
      <c r="CC751" s="124" t="n"/>
      <c r="CD751" s="124" t="n"/>
      <c r="CE751" s="124" t="n"/>
      <c r="CF751" s="124" t="n"/>
      <c r="CG751" s="124" t="n"/>
      <c r="CH751" s="124" t="n"/>
      <c r="CI751" s="124" t="n"/>
      <c r="CJ751" s="124" t="n"/>
      <c r="CK751" s="124" t="n"/>
      <c r="CL751" s="124" t="n"/>
      <c r="CM751" s="124" t="n"/>
      <c r="CN751" s="124" t="n"/>
      <c r="CO751" s="124" t="n"/>
      <c r="CP751" s="124" t="n"/>
      <c r="CQ751" s="124" t="n"/>
      <c r="CR751" s="124" t="n"/>
      <c r="CS751" s="124" t="n"/>
      <c r="CT751" s="124" t="n"/>
      <c r="CU751" s="124" t="n"/>
      <c r="CV751" s="124" t="n"/>
      <c r="CW751" s="124" t="n"/>
      <c r="CX751" s="124" t="n"/>
      <c r="CY751" s="124" t="n"/>
      <c r="CZ751" s="124" t="n"/>
      <c r="DA751" s="124" t="n"/>
      <c r="DB751" s="124" t="n"/>
      <c r="DC751" s="124" t="n"/>
      <c r="DD751" s="124" t="n"/>
      <c r="DE751" s="124" t="n"/>
      <c r="DF751" s="124" t="n"/>
      <c r="DG751" s="124" t="n"/>
      <c r="DH751" s="124" t="n"/>
      <c r="DI751" s="124" t="n"/>
      <c r="DJ751" s="124" t="n"/>
      <c r="DK751" s="124" t="n"/>
      <c r="DL751" s="124" t="n"/>
      <c r="DM751" s="124" t="n"/>
      <c r="DN751" s="124" t="n"/>
      <c r="DO751" s="124" t="n"/>
      <c r="DP751" s="124" t="n"/>
      <c r="DQ751" s="124" t="n"/>
      <c r="DR751" s="124" t="n"/>
      <c r="DS751" s="124" t="n"/>
      <c r="DT751" s="124" t="n"/>
      <c r="DU751" s="124" t="n"/>
      <c r="DV751" s="124" t="n"/>
      <c r="DW751" s="124" t="n"/>
      <c r="DX751" s="124" t="n"/>
      <c r="DY751" s="124" t="n"/>
      <c r="DZ751" s="124" t="n"/>
      <c r="EA751" s="124" t="n"/>
      <c r="EB751" s="124" t="n"/>
      <c r="EC751" s="124" t="n"/>
      <c r="ED751" s="124" t="n"/>
      <c r="EE751" s="124" t="n"/>
      <c r="EF751" s="124" t="n"/>
      <c r="EG751" s="124" t="n"/>
      <c r="EH751" s="124" t="n"/>
      <c r="EI751" s="124" t="n"/>
      <c r="EJ751" s="124" t="n"/>
      <c r="EK751" s="124" t="n"/>
      <c r="EL751" s="124" t="n"/>
      <c r="EM751" s="124" t="n"/>
      <c r="EN751" s="124" t="n"/>
      <c r="EO751" s="124" t="n"/>
      <c r="EP751" s="124" t="n"/>
      <c r="EQ751" s="124" t="n"/>
      <c r="ER751" s="124" t="n"/>
      <c r="ES751" s="124" t="n"/>
      <c r="ET751" s="124" t="n"/>
      <c r="EU751" s="124" t="n"/>
      <c r="EV751" s="124" t="n"/>
      <c r="EW751" s="124" t="n"/>
      <c r="EX751" s="124" t="n"/>
      <c r="EY751" s="124" t="n"/>
      <c r="EZ751" s="124" t="n"/>
      <c r="FA751" s="124" t="n"/>
      <c r="FB751" s="124" t="n"/>
      <c r="FC751" s="124" t="n"/>
      <c r="FD751" s="124" t="n"/>
      <c r="FE751" s="124" t="n"/>
      <c r="FF751" s="124" t="n"/>
      <c r="FG751" s="124" t="n"/>
      <c r="FH751" s="124" t="n"/>
      <c r="FI751" s="124" t="n"/>
      <c r="FJ751" s="124" t="n"/>
      <c r="FK751" s="124" t="n"/>
      <c r="FL751" s="124" t="n"/>
      <c r="FM751" s="124" t="n"/>
      <c r="FN751" s="124" t="n"/>
      <c r="FO751" s="124" t="n"/>
      <c r="FP751" s="124" t="n"/>
      <c r="FQ751" s="124" t="n"/>
      <c r="FR751" s="124" t="n"/>
      <c r="FS751" s="124" t="n"/>
      <c r="FT751" s="124" t="n"/>
      <c r="FU751" s="124" t="n"/>
      <c r="FV751" s="124" t="n"/>
      <c r="FW751" s="124" t="n"/>
      <c r="FX751" s="124" t="n"/>
      <c r="FY751" s="124" t="n"/>
      <c r="FZ751" s="124" t="n"/>
      <c r="GA751" s="124" t="n"/>
      <c r="GB751" s="124" t="n"/>
      <c r="GC751" s="124" t="n"/>
      <c r="GD751" s="124" t="n"/>
      <c r="GE751" s="124" t="n"/>
      <c r="GF751" s="124" t="n"/>
      <c r="GG751" s="124" t="n"/>
      <c r="GH751" s="124" t="n"/>
      <c r="GI751" s="124" t="n"/>
      <c r="GJ751" s="124" t="n"/>
      <c r="GK751" s="124" t="n"/>
      <c r="GL751" s="124" t="n"/>
      <c r="GM751" s="124" t="n"/>
      <c r="GN751" s="124" t="n"/>
      <c r="GO751" s="124" t="n"/>
      <c r="GP751" s="124" t="n"/>
      <c r="GQ751" s="124" t="n"/>
      <c r="GR751" s="124" t="n"/>
      <c r="GS751" s="124" t="n"/>
      <c r="GT751" s="124" t="n"/>
      <c r="GU751" s="124" t="n"/>
      <c r="GV751" s="124" t="n"/>
      <c r="GW751" s="124" t="n"/>
      <c r="GX751" s="124" t="n"/>
      <c r="GY751" s="124" t="n"/>
      <c r="GZ751" s="124" t="n"/>
      <c r="HA751" s="124" t="n"/>
      <c r="HB751" s="124" t="n"/>
      <c r="HC751" s="124" t="n"/>
      <c r="HD751" s="124" t="n"/>
      <c r="HE751" s="124" t="n"/>
      <c r="HF751" s="124" t="n"/>
      <c r="HG751" s="124" t="n"/>
      <c r="HH751" s="124" t="n"/>
      <c r="HI751" s="124" t="n"/>
      <c r="HJ751" s="124" t="n"/>
      <c r="HK751" s="124" t="n"/>
      <c r="HL751" s="124" t="n"/>
    </row>
    <row r="752" customFormat="1" s="3">
      <c r="A752" s="33" t="inlineStr">
        <is>
          <t>7 этап</t>
        </is>
      </c>
      <c r="B752" s="34" t="n"/>
      <c r="C752" s="38" t="inlineStr">
        <is>
          <t>Опоры неподвижные лобовые: Т3.02 - Т3.08</t>
        </is>
      </c>
      <c r="D752" s="36" t="inlineStr">
        <is>
          <t>шт.</t>
        </is>
      </c>
      <c r="E752" s="123" t="n">
        <v>24</v>
      </c>
      <c r="F752" s="124" t="n"/>
      <c r="G752" s="124" t="n"/>
      <c r="H752" s="124" t="n"/>
      <c r="I752" s="124" t="n"/>
      <c r="J752" s="124" t="n"/>
      <c r="K752" s="124" t="n"/>
      <c r="L752" s="124" t="n"/>
      <c r="M752" s="124" t="n"/>
      <c r="N752" s="124" t="n"/>
      <c r="O752" s="124" t="n"/>
      <c r="P752" s="124" t="n"/>
      <c r="Q752" s="124" t="n"/>
      <c r="R752" s="124" t="n"/>
      <c r="S752" s="124" t="n"/>
      <c r="T752" s="124" t="n"/>
      <c r="U752" s="124" t="n"/>
      <c r="V752" s="124" t="n"/>
      <c r="W752" s="124" t="n"/>
      <c r="X752" s="124" t="n"/>
      <c r="Y752" s="124" t="n"/>
      <c r="Z752" s="124" t="n"/>
      <c r="AA752" s="124" t="n"/>
      <c r="AB752" s="124" t="n"/>
      <c r="AC752" s="124" t="n"/>
      <c r="AD752" s="124" t="n"/>
      <c r="AE752" s="124" t="n"/>
      <c r="AF752" s="124" t="n"/>
      <c r="AG752" s="124" t="n"/>
      <c r="AH752" s="124" t="n"/>
      <c r="AI752" s="124" t="n"/>
      <c r="AJ752" s="124" t="n"/>
      <c r="AK752" s="124" t="n"/>
      <c r="AL752" s="124" t="n"/>
      <c r="AM752" s="124" t="n"/>
      <c r="AN752" s="124" t="n"/>
      <c r="AO752" s="124" t="n"/>
      <c r="AP752" s="124" t="n"/>
      <c r="AQ752" s="124" t="n"/>
      <c r="AR752" s="124" t="n"/>
      <c r="AS752" s="124" t="n"/>
      <c r="AT752" s="124" t="n"/>
      <c r="AU752" s="124" t="n"/>
      <c r="AV752" s="124" t="n"/>
      <c r="AW752" s="124" t="n"/>
      <c r="AX752" s="124" t="n"/>
      <c r="AY752" s="124" t="n"/>
      <c r="AZ752" s="124" t="n"/>
      <c r="BA752" s="124" t="n"/>
      <c r="BB752" s="124" t="n"/>
      <c r="BC752" s="124" t="n"/>
      <c r="BD752" s="124" t="n"/>
      <c r="BE752" s="124" t="n"/>
      <c r="BF752" s="124" t="n"/>
      <c r="BG752" s="124" t="n"/>
      <c r="BH752" s="124" t="n"/>
      <c r="BI752" s="124" t="n"/>
      <c r="BJ752" s="124" t="n"/>
      <c r="BK752" s="124" t="n"/>
      <c r="BL752" s="124" t="n"/>
      <c r="BM752" s="124" t="n"/>
      <c r="BN752" s="124" t="n"/>
      <c r="BO752" s="124" t="n"/>
      <c r="BP752" s="124" t="n"/>
      <c r="BQ752" s="124" t="n"/>
      <c r="BR752" s="124" t="n"/>
      <c r="BS752" s="124" t="n"/>
      <c r="BT752" s="124" t="n"/>
      <c r="BU752" s="124" t="n"/>
      <c r="BV752" s="124" t="n"/>
      <c r="BW752" s="124" t="n"/>
      <c r="BX752" s="124" t="n"/>
      <c r="BY752" s="124" t="n"/>
      <c r="BZ752" s="124" t="n"/>
      <c r="CA752" s="124" t="n"/>
      <c r="CB752" s="124" t="n"/>
      <c r="CC752" s="124" t="n"/>
      <c r="CD752" s="124" t="n"/>
      <c r="CE752" s="124" t="n"/>
      <c r="CF752" s="124" t="n"/>
      <c r="CG752" s="124" t="n"/>
      <c r="CH752" s="124" t="n"/>
      <c r="CI752" s="124" t="n"/>
      <c r="CJ752" s="124" t="n"/>
      <c r="CK752" s="124" t="n"/>
      <c r="CL752" s="124" t="n"/>
      <c r="CM752" s="124" t="n"/>
      <c r="CN752" s="124" t="n"/>
      <c r="CO752" s="124" t="n"/>
      <c r="CP752" s="124" t="n"/>
      <c r="CQ752" s="124" t="n"/>
      <c r="CR752" s="124" t="n"/>
      <c r="CS752" s="124" t="n"/>
      <c r="CT752" s="124" t="n"/>
      <c r="CU752" s="124" t="n"/>
      <c r="CV752" s="124" t="n"/>
      <c r="CW752" s="124" t="n"/>
      <c r="CX752" s="124" t="n"/>
      <c r="CY752" s="124" t="n"/>
      <c r="CZ752" s="124" t="n"/>
      <c r="DA752" s="124" t="n"/>
      <c r="DB752" s="124" t="n"/>
      <c r="DC752" s="124" t="n"/>
      <c r="DD752" s="124" t="n"/>
      <c r="DE752" s="124" t="n"/>
      <c r="DF752" s="124" t="n"/>
      <c r="DG752" s="124" t="n"/>
      <c r="DH752" s="124" t="n"/>
      <c r="DI752" s="124" t="n"/>
      <c r="DJ752" s="124" t="n"/>
      <c r="DK752" s="124" t="n"/>
      <c r="DL752" s="124" t="n"/>
      <c r="DM752" s="124" t="n"/>
      <c r="DN752" s="124" t="n"/>
      <c r="DO752" s="124" t="n"/>
      <c r="DP752" s="124" t="n"/>
      <c r="DQ752" s="124" t="n"/>
      <c r="DR752" s="124" t="n"/>
      <c r="DS752" s="124" t="n"/>
      <c r="DT752" s="124" t="n"/>
      <c r="DU752" s="124" t="n"/>
      <c r="DV752" s="124" t="n"/>
      <c r="DW752" s="124" t="n"/>
      <c r="DX752" s="124" t="n"/>
      <c r="DY752" s="124" t="n"/>
      <c r="DZ752" s="124" t="n"/>
      <c r="EA752" s="124" t="n"/>
      <c r="EB752" s="124" t="n"/>
      <c r="EC752" s="124" t="n"/>
      <c r="ED752" s="124" t="n"/>
      <c r="EE752" s="124" t="n"/>
      <c r="EF752" s="124" t="n"/>
      <c r="EG752" s="124" t="n"/>
      <c r="EH752" s="124" t="n"/>
      <c r="EI752" s="124" t="n"/>
      <c r="EJ752" s="124" t="n"/>
      <c r="EK752" s="124" t="n"/>
      <c r="EL752" s="124" t="n"/>
      <c r="EM752" s="124" t="n"/>
      <c r="EN752" s="124" t="n"/>
      <c r="EO752" s="124" t="n"/>
      <c r="EP752" s="124" t="n"/>
      <c r="EQ752" s="124" t="n"/>
      <c r="ER752" s="124" t="n"/>
      <c r="ES752" s="124" t="n"/>
      <c r="ET752" s="124" t="n"/>
      <c r="EU752" s="124" t="n"/>
      <c r="EV752" s="124" t="n"/>
      <c r="EW752" s="124" t="n"/>
      <c r="EX752" s="124" t="n"/>
      <c r="EY752" s="124" t="n"/>
      <c r="EZ752" s="124" t="n"/>
      <c r="FA752" s="124" t="n"/>
      <c r="FB752" s="124" t="n"/>
      <c r="FC752" s="124" t="n"/>
      <c r="FD752" s="124" t="n"/>
      <c r="FE752" s="124" t="n"/>
      <c r="FF752" s="124" t="n"/>
      <c r="FG752" s="124" t="n"/>
      <c r="FH752" s="124" t="n"/>
      <c r="FI752" s="124" t="n"/>
      <c r="FJ752" s="124" t="n"/>
      <c r="FK752" s="124" t="n"/>
      <c r="FL752" s="124" t="n"/>
      <c r="FM752" s="124" t="n"/>
      <c r="FN752" s="124" t="n"/>
      <c r="FO752" s="124" t="n"/>
      <c r="FP752" s="124" t="n"/>
      <c r="FQ752" s="124" t="n"/>
      <c r="FR752" s="124" t="n"/>
      <c r="FS752" s="124" t="n"/>
      <c r="FT752" s="124" t="n"/>
      <c r="FU752" s="124" t="n"/>
      <c r="FV752" s="124" t="n"/>
      <c r="FW752" s="124" t="n"/>
      <c r="FX752" s="124" t="n"/>
      <c r="FY752" s="124" t="n"/>
      <c r="FZ752" s="124" t="n"/>
      <c r="GA752" s="124" t="n"/>
      <c r="GB752" s="124" t="n"/>
      <c r="GC752" s="124" t="n"/>
      <c r="GD752" s="124" t="n"/>
      <c r="GE752" s="124" t="n"/>
      <c r="GF752" s="124" t="n"/>
      <c r="GG752" s="124" t="n"/>
      <c r="GH752" s="124" t="n"/>
      <c r="GI752" s="124" t="n"/>
      <c r="GJ752" s="124" t="n"/>
      <c r="GK752" s="124" t="n"/>
      <c r="GL752" s="124" t="n"/>
      <c r="GM752" s="124" t="n"/>
      <c r="GN752" s="124" t="n"/>
      <c r="GO752" s="124" t="n"/>
      <c r="GP752" s="124" t="n"/>
      <c r="GQ752" s="124" t="n"/>
      <c r="GR752" s="124" t="n"/>
      <c r="GS752" s="124" t="n"/>
      <c r="GT752" s="124" t="n"/>
      <c r="GU752" s="124" t="n"/>
      <c r="GV752" s="124" t="n"/>
      <c r="GW752" s="124" t="n"/>
      <c r="GX752" s="124" t="n"/>
      <c r="GY752" s="124" t="n"/>
      <c r="GZ752" s="124" t="n"/>
      <c r="HA752" s="124" t="n"/>
      <c r="HB752" s="124" t="n"/>
      <c r="HC752" s="124" t="n"/>
      <c r="HD752" s="124" t="n"/>
      <c r="HE752" s="124" t="n"/>
      <c r="HF752" s="124" t="n"/>
      <c r="HG752" s="124" t="n"/>
      <c r="HH752" s="124" t="n"/>
      <c r="HI752" s="124" t="n"/>
      <c r="HJ752" s="124" t="n"/>
      <c r="HK752" s="124" t="n"/>
      <c r="HL752" s="124" t="n"/>
    </row>
    <row r="753" customFormat="1" s="3">
      <c r="A753" s="33" t="inlineStr">
        <is>
          <t>7 этап</t>
        </is>
      </c>
      <c r="B753" s="34" t="inlineStr">
        <is>
          <t xml:space="preserve"> </t>
        </is>
      </c>
      <c r="C753" s="38" t="inlineStr">
        <is>
          <t>Устройство бетонной подготовки В 7,5 (камера)</t>
        </is>
      </c>
      <c r="D753" s="36" t="inlineStr">
        <is>
          <t>м3</t>
        </is>
      </c>
      <c r="E753" s="123" t="n">
        <v>1.4</v>
      </c>
      <c r="F753" s="124" t="n"/>
      <c r="G753" s="124" t="n"/>
      <c r="H753" s="124" t="n"/>
      <c r="I753" s="124" t="n"/>
      <c r="J753" s="124" t="n"/>
      <c r="K753" s="124" t="n"/>
      <c r="L753" s="124" t="n"/>
      <c r="M753" s="124" t="n"/>
      <c r="N753" s="124" t="n"/>
      <c r="O753" s="124" t="n"/>
      <c r="P753" s="124" t="n"/>
      <c r="Q753" s="124" t="n"/>
      <c r="R753" s="124" t="n"/>
      <c r="S753" s="124" t="n"/>
      <c r="T753" s="124" t="n"/>
      <c r="U753" s="124" t="n"/>
      <c r="V753" s="124" t="n"/>
      <c r="W753" s="124" t="n"/>
      <c r="X753" s="124" t="n"/>
      <c r="Y753" s="124" t="n"/>
      <c r="Z753" s="124" t="n"/>
      <c r="AA753" s="124" t="n"/>
      <c r="AB753" s="124" t="n"/>
      <c r="AC753" s="124" t="n"/>
      <c r="AD753" s="124" t="n"/>
      <c r="AE753" s="124" t="n"/>
      <c r="AF753" s="124" t="n"/>
      <c r="AG753" s="124" t="n"/>
      <c r="AH753" s="124" t="n"/>
      <c r="AI753" s="124" t="n"/>
      <c r="AJ753" s="124" t="n"/>
      <c r="AK753" s="124" t="n"/>
      <c r="AL753" s="124" t="n"/>
      <c r="AM753" s="124" t="n"/>
      <c r="AN753" s="124" t="n"/>
      <c r="AO753" s="124" t="n"/>
      <c r="AP753" s="124" t="n"/>
      <c r="AQ753" s="124" t="n"/>
      <c r="AR753" s="124" t="n"/>
      <c r="AS753" s="124" t="n"/>
      <c r="AT753" s="124" t="n"/>
      <c r="AU753" s="124" t="n"/>
      <c r="AV753" s="124" t="n"/>
      <c r="AW753" s="124" t="n"/>
      <c r="AX753" s="124" t="n"/>
      <c r="AY753" s="124" t="n"/>
      <c r="AZ753" s="124" t="n"/>
      <c r="BA753" s="124" t="n"/>
      <c r="BB753" s="124" t="n"/>
      <c r="BC753" s="124" t="n"/>
      <c r="BD753" s="124" t="n"/>
      <c r="BE753" s="124" t="n"/>
      <c r="BF753" s="124" t="n"/>
      <c r="BG753" s="124" t="n"/>
      <c r="BH753" s="124" t="n"/>
      <c r="BI753" s="124" t="n"/>
      <c r="BJ753" s="124" t="n"/>
      <c r="BK753" s="124" t="n"/>
      <c r="BL753" s="124" t="n"/>
      <c r="BM753" s="124" t="n"/>
      <c r="BN753" s="124" t="n"/>
      <c r="BO753" s="124" t="n"/>
      <c r="BP753" s="124" t="n"/>
      <c r="BQ753" s="124" t="n"/>
      <c r="BR753" s="124" t="n"/>
      <c r="BS753" s="124" t="n"/>
      <c r="BT753" s="124" t="n"/>
      <c r="BU753" s="124" t="n"/>
      <c r="BV753" s="124" t="n"/>
      <c r="BW753" s="124" t="n"/>
      <c r="BX753" s="124" t="n"/>
      <c r="BY753" s="124" t="n"/>
      <c r="BZ753" s="124" t="n"/>
      <c r="CA753" s="124" t="n"/>
      <c r="CB753" s="124" t="n"/>
      <c r="CC753" s="124" t="n"/>
      <c r="CD753" s="124" t="n"/>
      <c r="CE753" s="124" t="n"/>
      <c r="CF753" s="124" t="n"/>
      <c r="CG753" s="124" t="n"/>
      <c r="CH753" s="124" t="n"/>
      <c r="CI753" s="124" t="n"/>
      <c r="CJ753" s="124" t="n"/>
      <c r="CK753" s="124" t="n"/>
      <c r="CL753" s="124" t="n"/>
      <c r="CM753" s="124" t="n"/>
      <c r="CN753" s="124" t="n"/>
      <c r="CO753" s="124" t="n"/>
      <c r="CP753" s="124" t="n"/>
      <c r="CQ753" s="124" t="n"/>
      <c r="CR753" s="124" t="n"/>
      <c r="CS753" s="124" t="n"/>
      <c r="CT753" s="124" t="n"/>
      <c r="CU753" s="124" t="n"/>
      <c r="CV753" s="124" t="n"/>
      <c r="CW753" s="124" t="n"/>
      <c r="CX753" s="124" t="n"/>
      <c r="CY753" s="124" t="n"/>
      <c r="CZ753" s="124" t="n"/>
      <c r="DA753" s="124" t="n"/>
      <c r="DB753" s="124" t="n"/>
      <c r="DC753" s="124" t="n"/>
      <c r="DD753" s="124" t="n"/>
      <c r="DE753" s="124" t="n"/>
      <c r="DF753" s="124" t="n"/>
      <c r="DG753" s="124" t="n"/>
      <c r="DH753" s="124" t="n"/>
      <c r="DI753" s="124" t="n"/>
      <c r="DJ753" s="124" t="n"/>
      <c r="DK753" s="124" t="n"/>
      <c r="DL753" s="124" t="n"/>
      <c r="DM753" s="124" t="n"/>
      <c r="DN753" s="124" t="n"/>
      <c r="DO753" s="124" t="n"/>
      <c r="DP753" s="124" t="n"/>
      <c r="DQ753" s="124" t="n"/>
      <c r="DR753" s="124" t="n"/>
      <c r="DS753" s="124" t="n"/>
      <c r="DT753" s="124" t="n"/>
      <c r="DU753" s="124" t="n"/>
      <c r="DV753" s="124" t="n"/>
      <c r="DW753" s="124" t="n"/>
      <c r="DX753" s="124" t="n"/>
      <c r="DY753" s="124" t="n"/>
      <c r="DZ753" s="124" t="n"/>
      <c r="EA753" s="124" t="n"/>
      <c r="EB753" s="124" t="n"/>
      <c r="EC753" s="124" t="n"/>
      <c r="ED753" s="124" t="n"/>
      <c r="EE753" s="124" t="n"/>
      <c r="EF753" s="124" t="n"/>
      <c r="EG753" s="124" t="n"/>
      <c r="EH753" s="124" t="n"/>
      <c r="EI753" s="124" t="n"/>
      <c r="EJ753" s="124" t="n"/>
      <c r="EK753" s="124" t="n"/>
      <c r="EL753" s="124" t="n"/>
      <c r="EM753" s="124" t="n"/>
      <c r="EN753" s="124" t="n"/>
      <c r="EO753" s="124" t="n"/>
      <c r="EP753" s="124" t="n"/>
      <c r="EQ753" s="124" t="n"/>
      <c r="ER753" s="124" t="n"/>
      <c r="ES753" s="124" t="n"/>
      <c r="ET753" s="124" t="n"/>
      <c r="EU753" s="124" t="n"/>
      <c r="EV753" s="124" t="n"/>
      <c r="EW753" s="124" t="n"/>
      <c r="EX753" s="124" t="n"/>
      <c r="EY753" s="124" t="n"/>
      <c r="EZ753" s="124" t="n"/>
      <c r="FA753" s="124" t="n"/>
      <c r="FB753" s="124" t="n"/>
      <c r="FC753" s="124" t="n"/>
      <c r="FD753" s="124" t="n"/>
      <c r="FE753" s="124" t="n"/>
      <c r="FF753" s="124" t="n"/>
      <c r="FG753" s="124" t="n"/>
      <c r="FH753" s="124" t="n"/>
      <c r="FI753" s="124" t="n"/>
      <c r="FJ753" s="124" t="n"/>
      <c r="FK753" s="124" t="n"/>
      <c r="FL753" s="124" t="n"/>
      <c r="FM753" s="124" t="n"/>
      <c r="FN753" s="124" t="n"/>
      <c r="FO753" s="124" t="n"/>
      <c r="FP753" s="124" t="n"/>
      <c r="FQ753" s="124" t="n"/>
      <c r="FR753" s="124" t="n"/>
      <c r="FS753" s="124" t="n"/>
      <c r="FT753" s="124" t="n"/>
      <c r="FU753" s="124" t="n"/>
      <c r="FV753" s="124" t="n"/>
      <c r="FW753" s="124" t="n"/>
      <c r="FX753" s="124" t="n"/>
      <c r="FY753" s="124" t="n"/>
      <c r="FZ753" s="124" t="n"/>
      <c r="GA753" s="124" t="n"/>
      <c r="GB753" s="124" t="n"/>
      <c r="GC753" s="124" t="n"/>
      <c r="GD753" s="124" t="n"/>
      <c r="GE753" s="124" t="n"/>
      <c r="GF753" s="124" t="n"/>
      <c r="GG753" s="124" t="n"/>
      <c r="GH753" s="124" t="n"/>
      <c r="GI753" s="124" t="n"/>
      <c r="GJ753" s="124" t="n"/>
      <c r="GK753" s="124" t="n"/>
      <c r="GL753" s="124" t="n"/>
      <c r="GM753" s="124" t="n"/>
      <c r="GN753" s="124" t="n"/>
      <c r="GO753" s="124" t="n"/>
      <c r="GP753" s="124" t="n"/>
      <c r="GQ753" s="124" t="n"/>
      <c r="GR753" s="124" t="n"/>
      <c r="GS753" s="124" t="n"/>
      <c r="GT753" s="124" t="n"/>
      <c r="GU753" s="124" t="n"/>
      <c r="GV753" s="124" t="n"/>
      <c r="GW753" s="124" t="n"/>
      <c r="GX753" s="124" t="n"/>
      <c r="GY753" s="124" t="n"/>
      <c r="GZ753" s="124" t="n"/>
      <c r="HA753" s="124" t="n"/>
      <c r="HB753" s="124" t="n"/>
      <c r="HC753" s="124" t="n"/>
      <c r="HD753" s="124" t="n"/>
      <c r="HE753" s="124" t="n"/>
      <c r="HF753" s="124" t="n"/>
      <c r="HG753" s="124" t="n"/>
      <c r="HH753" s="124" t="n"/>
      <c r="HI753" s="124" t="n"/>
      <c r="HJ753" s="124" t="n"/>
      <c r="HK753" s="124" t="n"/>
      <c r="HL753" s="124" t="n"/>
    </row>
    <row r="754" customFormat="1" s="3">
      <c r="A754" s="33" t="inlineStr">
        <is>
          <t>7 этап</t>
        </is>
      </c>
      <c r="B754" s="34" t="n"/>
      <c r="C754" s="38" t="inlineStr">
        <is>
          <t>Монтаж сборных Ж/б (камера)</t>
        </is>
      </c>
      <c r="D754" s="36" t="inlineStr">
        <is>
          <t>шт.</t>
        </is>
      </c>
      <c r="E754" s="123" t="n">
        <v>11</v>
      </c>
      <c r="F754" s="124" t="n"/>
      <c r="G754" s="124" t="n"/>
      <c r="H754" s="124" t="n"/>
      <c r="I754" s="124" t="n"/>
      <c r="J754" s="124" t="n"/>
      <c r="K754" s="124" t="n"/>
      <c r="L754" s="124" t="n"/>
      <c r="M754" s="124" t="n"/>
      <c r="N754" s="124" t="n"/>
      <c r="O754" s="124" t="n"/>
      <c r="P754" s="124" t="n"/>
      <c r="Q754" s="124" t="n"/>
      <c r="R754" s="124" t="n"/>
      <c r="S754" s="124" t="n"/>
      <c r="T754" s="124" t="n"/>
      <c r="U754" s="124" t="n"/>
      <c r="V754" s="124" t="n"/>
      <c r="W754" s="124" t="n"/>
      <c r="X754" s="124" t="n"/>
      <c r="Y754" s="124" t="n"/>
      <c r="Z754" s="124" t="n"/>
      <c r="AA754" s="124" t="n"/>
      <c r="AB754" s="124" t="n"/>
      <c r="AC754" s="124" t="n"/>
      <c r="AD754" s="124" t="n"/>
      <c r="AE754" s="124" t="n"/>
      <c r="AF754" s="124" t="n"/>
      <c r="AG754" s="124" t="n"/>
      <c r="AH754" s="124" t="n"/>
      <c r="AI754" s="124" t="n"/>
      <c r="AJ754" s="124" t="n"/>
      <c r="AK754" s="124" t="n"/>
      <c r="AL754" s="124" t="n"/>
      <c r="AM754" s="124" t="n"/>
      <c r="AN754" s="124" t="n"/>
      <c r="AO754" s="124" t="n"/>
      <c r="AP754" s="124" t="n"/>
      <c r="AQ754" s="124" t="n"/>
      <c r="AR754" s="124" t="n"/>
      <c r="AS754" s="124" t="n"/>
      <c r="AT754" s="124" t="n"/>
      <c r="AU754" s="124" t="n"/>
      <c r="AV754" s="124" t="n"/>
      <c r="AW754" s="124" t="n"/>
      <c r="AX754" s="124" t="n"/>
      <c r="AY754" s="124" t="n"/>
      <c r="AZ754" s="124" t="n"/>
      <c r="BA754" s="124" t="n"/>
      <c r="BB754" s="124" t="n"/>
      <c r="BC754" s="124" t="n"/>
      <c r="BD754" s="124" t="n"/>
      <c r="BE754" s="124" t="n"/>
      <c r="BF754" s="124" t="n"/>
      <c r="BG754" s="124" t="n"/>
      <c r="BH754" s="124" t="n"/>
      <c r="BI754" s="124" t="n"/>
      <c r="BJ754" s="124" t="n"/>
      <c r="BK754" s="124" t="n"/>
      <c r="BL754" s="124" t="n"/>
      <c r="BM754" s="124" t="n"/>
      <c r="BN754" s="124" t="n"/>
      <c r="BO754" s="124" t="n"/>
      <c r="BP754" s="124" t="n"/>
      <c r="BQ754" s="124" t="n"/>
      <c r="BR754" s="124" t="n"/>
      <c r="BS754" s="124" t="n"/>
      <c r="BT754" s="124" t="n"/>
      <c r="BU754" s="124" t="n"/>
      <c r="BV754" s="124" t="n"/>
      <c r="BW754" s="124" t="n"/>
      <c r="BX754" s="124" t="n"/>
      <c r="BY754" s="124" t="n"/>
      <c r="BZ754" s="124" t="n"/>
      <c r="CA754" s="124" t="n"/>
      <c r="CB754" s="124" t="n"/>
      <c r="CC754" s="124" t="n"/>
      <c r="CD754" s="124" t="n"/>
      <c r="CE754" s="124" t="n"/>
      <c r="CF754" s="124" t="n"/>
      <c r="CG754" s="124" t="n"/>
      <c r="CH754" s="124" t="n"/>
      <c r="CI754" s="124" t="n"/>
      <c r="CJ754" s="124" t="n"/>
      <c r="CK754" s="124" t="n"/>
      <c r="CL754" s="124" t="n"/>
      <c r="CM754" s="124" t="n"/>
      <c r="CN754" s="124" t="n"/>
      <c r="CO754" s="124" t="n"/>
      <c r="CP754" s="124" t="n"/>
      <c r="CQ754" s="124" t="n"/>
      <c r="CR754" s="124" t="n"/>
      <c r="CS754" s="124" t="n"/>
      <c r="CT754" s="124" t="n"/>
      <c r="CU754" s="124" t="n"/>
      <c r="CV754" s="124" t="n"/>
      <c r="CW754" s="124" t="n"/>
      <c r="CX754" s="124" t="n"/>
      <c r="CY754" s="124" t="n"/>
      <c r="CZ754" s="124" t="n"/>
      <c r="DA754" s="124" t="n"/>
      <c r="DB754" s="124" t="n"/>
      <c r="DC754" s="124" t="n"/>
      <c r="DD754" s="124" t="n"/>
      <c r="DE754" s="124" t="n"/>
      <c r="DF754" s="124" t="n"/>
      <c r="DG754" s="124" t="n"/>
      <c r="DH754" s="124" t="n"/>
      <c r="DI754" s="124" t="n"/>
      <c r="DJ754" s="124" t="n"/>
      <c r="DK754" s="124" t="n"/>
      <c r="DL754" s="124" t="n"/>
      <c r="DM754" s="124" t="n"/>
      <c r="DN754" s="124" t="n"/>
      <c r="DO754" s="124" t="n"/>
      <c r="DP754" s="124" t="n"/>
      <c r="DQ754" s="124" t="n"/>
      <c r="DR754" s="124" t="n"/>
      <c r="DS754" s="124" t="n"/>
      <c r="DT754" s="124" t="n"/>
      <c r="DU754" s="124" t="n"/>
      <c r="DV754" s="124" t="n"/>
      <c r="DW754" s="124" t="n"/>
      <c r="DX754" s="124" t="n"/>
      <c r="DY754" s="124" t="n"/>
      <c r="DZ754" s="124" t="n"/>
      <c r="EA754" s="124" t="n"/>
      <c r="EB754" s="124" t="n"/>
      <c r="EC754" s="124" t="n"/>
      <c r="ED754" s="124" t="n"/>
      <c r="EE754" s="124" t="n"/>
      <c r="EF754" s="124" t="n"/>
      <c r="EG754" s="124" t="n"/>
      <c r="EH754" s="124" t="n"/>
      <c r="EI754" s="124" t="n"/>
      <c r="EJ754" s="124" t="n"/>
      <c r="EK754" s="124" t="n"/>
      <c r="EL754" s="124" t="n"/>
      <c r="EM754" s="124" t="n"/>
      <c r="EN754" s="124" t="n"/>
      <c r="EO754" s="124" t="n"/>
      <c r="EP754" s="124" t="n"/>
      <c r="EQ754" s="124" t="n"/>
      <c r="ER754" s="124" t="n"/>
      <c r="ES754" s="124" t="n"/>
      <c r="ET754" s="124" t="n"/>
      <c r="EU754" s="124" t="n"/>
      <c r="EV754" s="124" t="n"/>
      <c r="EW754" s="124" t="n"/>
      <c r="EX754" s="124" t="n"/>
      <c r="EY754" s="124" t="n"/>
      <c r="EZ754" s="124" t="n"/>
      <c r="FA754" s="124" t="n"/>
      <c r="FB754" s="124" t="n"/>
      <c r="FC754" s="124" t="n"/>
      <c r="FD754" s="124" t="n"/>
      <c r="FE754" s="124" t="n"/>
      <c r="FF754" s="124" t="n"/>
      <c r="FG754" s="124" t="n"/>
      <c r="FH754" s="124" t="n"/>
      <c r="FI754" s="124" t="n"/>
      <c r="FJ754" s="124" t="n"/>
      <c r="FK754" s="124" t="n"/>
      <c r="FL754" s="124" t="n"/>
      <c r="FM754" s="124" t="n"/>
      <c r="FN754" s="124" t="n"/>
      <c r="FO754" s="124" t="n"/>
      <c r="FP754" s="124" t="n"/>
      <c r="FQ754" s="124" t="n"/>
      <c r="FR754" s="124" t="n"/>
      <c r="FS754" s="124" t="n"/>
      <c r="FT754" s="124" t="n"/>
      <c r="FU754" s="124" t="n"/>
      <c r="FV754" s="124" t="n"/>
      <c r="FW754" s="124" t="n"/>
      <c r="FX754" s="124" t="n"/>
      <c r="FY754" s="124" t="n"/>
      <c r="FZ754" s="124" t="n"/>
      <c r="GA754" s="124" t="n"/>
      <c r="GB754" s="124" t="n"/>
      <c r="GC754" s="124" t="n"/>
      <c r="GD754" s="124" t="n"/>
      <c r="GE754" s="124" t="n"/>
      <c r="GF754" s="124" t="n"/>
      <c r="GG754" s="124" t="n"/>
      <c r="GH754" s="124" t="n"/>
      <c r="GI754" s="124" t="n"/>
      <c r="GJ754" s="124" t="n"/>
      <c r="GK754" s="124" t="n"/>
      <c r="GL754" s="124" t="n"/>
      <c r="GM754" s="124" t="n"/>
      <c r="GN754" s="124" t="n"/>
      <c r="GO754" s="124" t="n"/>
      <c r="GP754" s="124" t="n"/>
      <c r="GQ754" s="124" t="n"/>
      <c r="GR754" s="124" t="n"/>
      <c r="GS754" s="124" t="n"/>
      <c r="GT754" s="124" t="n"/>
      <c r="GU754" s="124" t="n"/>
      <c r="GV754" s="124" t="n"/>
      <c r="GW754" s="124" t="n"/>
      <c r="GX754" s="124" t="n"/>
      <c r="GY754" s="124" t="n"/>
      <c r="GZ754" s="124" t="n"/>
      <c r="HA754" s="124" t="n"/>
      <c r="HB754" s="124" t="n"/>
      <c r="HC754" s="124" t="n"/>
      <c r="HD754" s="124" t="n"/>
      <c r="HE754" s="124" t="n"/>
      <c r="HF754" s="124" t="n"/>
      <c r="HG754" s="124" t="n"/>
      <c r="HH754" s="124" t="n"/>
      <c r="HI754" s="124" t="n"/>
      <c r="HJ754" s="124" t="n"/>
      <c r="HK754" s="124" t="n"/>
      <c r="HL754" s="124" t="n"/>
    </row>
    <row r="755" customFormat="1" s="3">
      <c r="A755" s="33" t="inlineStr">
        <is>
          <t>7 этап</t>
        </is>
      </c>
      <c r="B755" s="34" t="n"/>
      <c r="C755" s="38" t="inlineStr">
        <is>
          <t>Монтаж КМ (люки, стремянки) (камера) 2х2</t>
        </is>
      </c>
      <c r="D755" s="36" t="inlineStr">
        <is>
          <t>кг</t>
        </is>
      </c>
      <c r="E755" s="123" t="n">
        <v>308</v>
      </c>
      <c r="F755" s="124" t="n"/>
      <c r="G755" s="124" t="n"/>
      <c r="H755" s="124" t="n"/>
      <c r="I755" s="124" t="n"/>
      <c r="J755" s="124" t="n"/>
      <c r="K755" s="124" t="n"/>
      <c r="L755" s="124" t="n"/>
      <c r="M755" s="124" t="n"/>
      <c r="N755" s="124" t="n"/>
      <c r="O755" s="124" t="n"/>
      <c r="P755" s="124" t="n"/>
      <c r="Q755" s="124" t="n"/>
      <c r="R755" s="124" t="n"/>
      <c r="S755" s="124" t="n"/>
      <c r="T755" s="124" t="n"/>
      <c r="U755" s="124" t="n"/>
      <c r="V755" s="124" t="n"/>
      <c r="W755" s="124" t="n"/>
      <c r="X755" s="124" t="n"/>
      <c r="Y755" s="124" t="n"/>
      <c r="Z755" s="124" t="n"/>
      <c r="AA755" s="124" t="n"/>
      <c r="AB755" s="124" t="n"/>
      <c r="AC755" s="124" t="n"/>
      <c r="AD755" s="124" t="n"/>
      <c r="AE755" s="124" t="n"/>
      <c r="AF755" s="124" t="n"/>
      <c r="AG755" s="124" t="n"/>
      <c r="AH755" s="124" t="n"/>
      <c r="AI755" s="124" t="n"/>
      <c r="AJ755" s="124" t="n"/>
      <c r="AK755" s="124" t="n"/>
      <c r="AL755" s="124" t="n"/>
      <c r="AM755" s="124" t="n"/>
      <c r="AN755" s="124" t="n"/>
      <c r="AO755" s="124" t="n"/>
      <c r="AP755" s="124" t="n"/>
      <c r="AQ755" s="124" t="n"/>
      <c r="AR755" s="124" t="n"/>
      <c r="AS755" s="124" t="n"/>
      <c r="AT755" s="124" t="n"/>
      <c r="AU755" s="124" t="n"/>
      <c r="AV755" s="124" t="n"/>
      <c r="AW755" s="124" t="n"/>
      <c r="AX755" s="124" t="n"/>
      <c r="AY755" s="124" t="n"/>
      <c r="AZ755" s="124" t="n"/>
      <c r="BA755" s="124" t="n"/>
      <c r="BB755" s="124" t="n"/>
      <c r="BC755" s="124" t="n"/>
      <c r="BD755" s="124" t="n"/>
      <c r="BE755" s="124" t="n"/>
      <c r="BF755" s="124" t="n"/>
      <c r="BG755" s="124" t="n"/>
      <c r="BH755" s="124" t="n"/>
      <c r="BI755" s="124" t="n"/>
      <c r="BJ755" s="124" t="n"/>
      <c r="BK755" s="124" t="n"/>
      <c r="BL755" s="124" t="n"/>
      <c r="BM755" s="124" t="n"/>
      <c r="BN755" s="124" t="n"/>
      <c r="BO755" s="124" t="n"/>
      <c r="BP755" s="124" t="n"/>
      <c r="BQ755" s="124" t="n"/>
      <c r="BR755" s="124" t="n"/>
      <c r="BS755" s="124" t="n"/>
      <c r="BT755" s="124" t="n"/>
      <c r="BU755" s="124" t="n"/>
      <c r="BV755" s="124" t="n"/>
      <c r="BW755" s="124" t="n"/>
      <c r="BX755" s="124" t="n"/>
      <c r="BY755" s="124" t="n"/>
      <c r="BZ755" s="124" t="n"/>
      <c r="CA755" s="124" t="n"/>
      <c r="CB755" s="124" t="n"/>
      <c r="CC755" s="124" t="n"/>
      <c r="CD755" s="124" t="n"/>
      <c r="CE755" s="124" t="n"/>
      <c r="CF755" s="124" t="n"/>
      <c r="CG755" s="124" t="n"/>
      <c r="CH755" s="124" t="n"/>
      <c r="CI755" s="124" t="n"/>
      <c r="CJ755" s="124" t="n"/>
      <c r="CK755" s="124" t="n"/>
      <c r="CL755" s="124" t="n"/>
      <c r="CM755" s="124" t="n"/>
      <c r="CN755" s="124" t="n"/>
      <c r="CO755" s="124" t="n"/>
      <c r="CP755" s="124" t="n"/>
      <c r="CQ755" s="124" t="n"/>
      <c r="CR755" s="124" t="n"/>
      <c r="CS755" s="124" t="n"/>
      <c r="CT755" s="124" t="n"/>
      <c r="CU755" s="124" t="n"/>
      <c r="CV755" s="124" t="n"/>
      <c r="CW755" s="124" t="n"/>
      <c r="CX755" s="124" t="n"/>
      <c r="CY755" s="124" t="n"/>
      <c r="CZ755" s="124" t="n"/>
      <c r="DA755" s="124" t="n"/>
      <c r="DB755" s="124" t="n"/>
      <c r="DC755" s="124" t="n"/>
      <c r="DD755" s="124" t="n"/>
      <c r="DE755" s="124" t="n"/>
      <c r="DF755" s="124" t="n"/>
      <c r="DG755" s="124" t="n"/>
      <c r="DH755" s="124" t="n"/>
      <c r="DI755" s="124" t="n"/>
      <c r="DJ755" s="124" t="n"/>
      <c r="DK755" s="124" t="n"/>
      <c r="DL755" s="124" t="n"/>
      <c r="DM755" s="124" t="n"/>
      <c r="DN755" s="124" t="n"/>
      <c r="DO755" s="124" t="n"/>
      <c r="DP755" s="124" t="n"/>
      <c r="DQ755" s="124" t="n"/>
      <c r="DR755" s="124" t="n"/>
      <c r="DS755" s="124" t="n"/>
      <c r="DT755" s="124" t="n"/>
      <c r="DU755" s="124" t="n"/>
      <c r="DV755" s="124" t="n"/>
      <c r="DW755" s="124" t="n"/>
      <c r="DX755" s="124" t="n"/>
      <c r="DY755" s="124" t="n"/>
      <c r="DZ755" s="124" t="n"/>
      <c r="EA755" s="124" t="n"/>
      <c r="EB755" s="124" t="n"/>
      <c r="EC755" s="124" t="n"/>
      <c r="ED755" s="124" t="n"/>
      <c r="EE755" s="124" t="n"/>
      <c r="EF755" s="124" t="n"/>
      <c r="EG755" s="124" t="n"/>
      <c r="EH755" s="124" t="n"/>
      <c r="EI755" s="124" t="n"/>
      <c r="EJ755" s="124" t="n"/>
      <c r="EK755" s="124" t="n"/>
      <c r="EL755" s="124" t="n"/>
      <c r="EM755" s="124" t="n"/>
      <c r="EN755" s="124" t="n"/>
      <c r="EO755" s="124" t="n"/>
      <c r="EP755" s="124" t="n"/>
      <c r="EQ755" s="124" t="n"/>
      <c r="ER755" s="124" t="n"/>
      <c r="ES755" s="124" t="n"/>
      <c r="ET755" s="124" t="n"/>
      <c r="EU755" s="124" t="n"/>
      <c r="EV755" s="124" t="n"/>
      <c r="EW755" s="124" t="n"/>
      <c r="EX755" s="124" t="n"/>
      <c r="EY755" s="124" t="n"/>
      <c r="EZ755" s="124" t="n"/>
      <c r="FA755" s="124" t="n"/>
      <c r="FB755" s="124" t="n"/>
      <c r="FC755" s="124" t="n"/>
      <c r="FD755" s="124" t="n"/>
      <c r="FE755" s="124" t="n"/>
      <c r="FF755" s="124" t="n"/>
      <c r="FG755" s="124" t="n"/>
      <c r="FH755" s="124" t="n"/>
      <c r="FI755" s="124" t="n"/>
      <c r="FJ755" s="124" t="n"/>
      <c r="FK755" s="124" t="n"/>
      <c r="FL755" s="124" t="n"/>
      <c r="FM755" s="124" t="n"/>
      <c r="FN755" s="124" t="n"/>
      <c r="FO755" s="124" t="n"/>
      <c r="FP755" s="124" t="n"/>
      <c r="FQ755" s="124" t="n"/>
      <c r="FR755" s="124" t="n"/>
      <c r="FS755" s="124" t="n"/>
      <c r="FT755" s="124" t="n"/>
      <c r="FU755" s="124" t="n"/>
      <c r="FV755" s="124" t="n"/>
      <c r="FW755" s="124" t="n"/>
      <c r="FX755" s="124" t="n"/>
      <c r="FY755" s="124" t="n"/>
      <c r="FZ755" s="124" t="n"/>
      <c r="GA755" s="124" t="n"/>
      <c r="GB755" s="124" t="n"/>
      <c r="GC755" s="124" t="n"/>
      <c r="GD755" s="124" t="n"/>
      <c r="GE755" s="124" t="n"/>
      <c r="GF755" s="124" t="n"/>
      <c r="GG755" s="124" t="n"/>
      <c r="GH755" s="124" t="n"/>
      <c r="GI755" s="124" t="n"/>
      <c r="GJ755" s="124" t="n"/>
      <c r="GK755" s="124" t="n"/>
      <c r="GL755" s="124" t="n"/>
      <c r="GM755" s="124" t="n"/>
      <c r="GN755" s="124" t="n"/>
      <c r="GO755" s="124" t="n"/>
      <c r="GP755" s="124" t="n"/>
      <c r="GQ755" s="124" t="n"/>
      <c r="GR755" s="124" t="n"/>
      <c r="GS755" s="124" t="n"/>
      <c r="GT755" s="124" t="n"/>
      <c r="GU755" s="124" t="n"/>
      <c r="GV755" s="124" t="n"/>
      <c r="GW755" s="124" t="n"/>
      <c r="GX755" s="124" t="n"/>
      <c r="GY755" s="124" t="n"/>
      <c r="GZ755" s="124" t="n"/>
      <c r="HA755" s="124" t="n"/>
      <c r="HB755" s="124" t="n"/>
      <c r="HC755" s="124" t="n"/>
      <c r="HD755" s="124" t="n"/>
      <c r="HE755" s="124" t="n"/>
      <c r="HF755" s="124" t="n"/>
      <c r="HG755" s="124" t="n"/>
      <c r="HH755" s="124" t="n"/>
      <c r="HI755" s="124" t="n"/>
      <c r="HJ755" s="124" t="n"/>
      <c r="HK755" s="124" t="n"/>
      <c r="HL755" s="124" t="n"/>
    </row>
    <row r="756" customFormat="1" s="3">
      <c r="A756" s="33" t="inlineStr">
        <is>
          <t>7 этап</t>
        </is>
      </c>
      <c r="B756" s="34" t="n"/>
      <c r="C756" s="38" t="inlineStr">
        <is>
          <t>Жб конструкции бетон В15 с к/а 21,5 кг/м3 (камера)</t>
        </is>
      </c>
      <c r="D756" s="36" t="inlineStr">
        <is>
          <t>м3</t>
        </is>
      </c>
      <c r="E756" s="123" t="n">
        <v>8.6</v>
      </c>
      <c r="F756" s="124" t="n"/>
      <c r="G756" s="124" t="n"/>
      <c r="H756" s="124" t="n"/>
      <c r="I756" s="124" t="n"/>
      <c r="J756" s="124" t="n"/>
      <c r="K756" s="124" t="n"/>
      <c r="L756" s="124" t="n"/>
      <c r="M756" s="124" t="n"/>
      <c r="N756" s="124" t="n"/>
      <c r="O756" s="124" t="n"/>
      <c r="P756" s="124" t="n"/>
      <c r="Q756" s="124" t="n"/>
      <c r="R756" s="124" t="n"/>
      <c r="S756" s="124" t="n"/>
      <c r="T756" s="124" t="n"/>
      <c r="U756" s="124" t="n"/>
      <c r="V756" s="124" t="n"/>
      <c r="W756" s="124" t="n"/>
      <c r="X756" s="124" t="n"/>
      <c r="Y756" s="124" t="n"/>
      <c r="Z756" s="124" t="n"/>
      <c r="AA756" s="124" t="n"/>
      <c r="AB756" s="124" t="n"/>
      <c r="AC756" s="124" t="n"/>
      <c r="AD756" s="124" t="n"/>
      <c r="AE756" s="124" t="n"/>
      <c r="AF756" s="124" t="n"/>
      <c r="AG756" s="124" t="n"/>
      <c r="AH756" s="124" t="n"/>
      <c r="AI756" s="124" t="n"/>
      <c r="AJ756" s="124" t="n"/>
      <c r="AK756" s="124" t="n"/>
      <c r="AL756" s="124" t="n"/>
      <c r="AM756" s="124" t="n"/>
      <c r="AN756" s="124" t="n"/>
      <c r="AO756" s="124" t="n"/>
      <c r="AP756" s="124" t="n"/>
      <c r="AQ756" s="124" t="n"/>
      <c r="AR756" s="124" t="n"/>
      <c r="AS756" s="124" t="n"/>
      <c r="AT756" s="124" t="n"/>
      <c r="AU756" s="124" t="n"/>
      <c r="AV756" s="124" t="n"/>
      <c r="AW756" s="124" t="n"/>
      <c r="AX756" s="124" t="n"/>
      <c r="AY756" s="124" t="n"/>
      <c r="AZ756" s="124" t="n"/>
      <c r="BA756" s="124" t="n"/>
      <c r="BB756" s="124" t="n"/>
      <c r="BC756" s="124" t="n"/>
      <c r="BD756" s="124" t="n"/>
      <c r="BE756" s="124" t="n"/>
      <c r="BF756" s="124" t="n"/>
      <c r="BG756" s="124" t="n"/>
      <c r="BH756" s="124" t="n"/>
      <c r="BI756" s="124" t="n"/>
      <c r="BJ756" s="124" t="n"/>
      <c r="BK756" s="124" t="n"/>
      <c r="BL756" s="124" t="n"/>
      <c r="BM756" s="124" t="n"/>
      <c r="BN756" s="124" t="n"/>
      <c r="BO756" s="124" t="n"/>
      <c r="BP756" s="124" t="n"/>
      <c r="BQ756" s="124" t="n"/>
      <c r="BR756" s="124" t="n"/>
      <c r="BS756" s="124" t="n"/>
      <c r="BT756" s="124" t="n"/>
      <c r="BU756" s="124" t="n"/>
      <c r="BV756" s="124" t="n"/>
      <c r="BW756" s="124" t="n"/>
      <c r="BX756" s="124" t="n"/>
      <c r="BY756" s="124" t="n"/>
      <c r="BZ756" s="124" t="n"/>
      <c r="CA756" s="124" t="n"/>
      <c r="CB756" s="124" t="n"/>
      <c r="CC756" s="124" t="n"/>
      <c r="CD756" s="124" t="n"/>
      <c r="CE756" s="124" t="n"/>
      <c r="CF756" s="124" t="n"/>
      <c r="CG756" s="124" t="n"/>
      <c r="CH756" s="124" t="n"/>
      <c r="CI756" s="124" t="n"/>
      <c r="CJ756" s="124" t="n"/>
      <c r="CK756" s="124" t="n"/>
      <c r="CL756" s="124" t="n"/>
      <c r="CM756" s="124" t="n"/>
      <c r="CN756" s="124" t="n"/>
      <c r="CO756" s="124" t="n"/>
      <c r="CP756" s="124" t="n"/>
      <c r="CQ756" s="124" t="n"/>
      <c r="CR756" s="124" t="n"/>
      <c r="CS756" s="124" t="n"/>
      <c r="CT756" s="124" t="n"/>
      <c r="CU756" s="124" t="n"/>
      <c r="CV756" s="124" t="n"/>
      <c r="CW756" s="124" t="n"/>
      <c r="CX756" s="124" t="n"/>
      <c r="CY756" s="124" t="n"/>
      <c r="CZ756" s="124" t="n"/>
      <c r="DA756" s="124" t="n"/>
      <c r="DB756" s="124" t="n"/>
      <c r="DC756" s="124" t="n"/>
      <c r="DD756" s="124" t="n"/>
      <c r="DE756" s="124" t="n"/>
      <c r="DF756" s="124" t="n"/>
      <c r="DG756" s="124" t="n"/>
      <c r="DH756" s="124" t="n"/>
      <c r="DI756" s="124" t="n"/>
      <c r="DJ756" s="124" t="n"/>
      <c r="DK756" s="124" t="n"/>
      <c r="DL756" s="124" t="n"/>
      <c r="DM756" s="124" t="n"/>
      <c r="DN756" s="124" t="n"/>
      <c r="DO756" s="124" t="n"/>
      <c r="DP756" s="124" t="n"/>
      <c r="DQ756" s="124" t="n"/>
      <c r="DR756" s="124" t="n"/>
      <c r="DS756" s="124" t="n"/>
      <c r="DT756" s="124" t="n"/>
      <c r="DU756" s="124" t="n"/>
      <c r="DV756" s="124" t="n"/>
      <c r="DW756" s="124" t="n"/>
      <c r="DX756" s="124" t="n"/>
      <c r="DY756" s="124" t="n"/>
      <c r="DZ756" s="124" t="n"/>
      <c r="EA756" s="124" t="n"/>
      <c r="EB756" s="124" t="n"/>
      <c r="EC756" s="124" t="n"/>
      <c r="ED756" s="124" t="n"/>
      <c r="EE756" s="124" t="n"/>
      <c r="EF756" s="124" t="n"/>
      <c r="EG756" s="124" t="n"/>
      <c r="EH756" s="124" t="n"/>
      <c r="EI756" s="124" t="n"/>
      <c r="EJ756" s="124" t="n"/>
      <c r="EK756" s="124" t="n"/>
      <c r="EL756" s="124" t="n"/>
      <c r="EM756" s="124" t="n"/>
      <c r="EN756" s="124" t="n"/>
      <c r="EO756" s="124" t="n"/>
      <c r="EP756" s="124" t="n"/>
      <c r="EQ756" s="124" t="n"/>
      <c r="ER756" s="124" t="n"/>
      <c r="ES756" s="124" t="n"/>
      <c r="ET756" s="124" t="n"/>
      <c r="EU756" s="124" t="n"/>
      <c r="EV756" s="124" t="n"/>
      <c r="EW756" s="124" t="n"/>
      <c r="EX756" s="124" t="n"/>
      <c r="EY756" s="124" t="n"/>
      <c r="EZ756" s="124" t="n"/>
      <c r="FA756" s="124" t="n"/>
      <c r="FB756" s="124" t="n"/>
      <c r="FC756" s="124" t="n"/>
      <c r="FD756" s="124" t="n"/>
      <c r="FE756" s="124" t="n"/>
      <c r="FF756" s="124" t="n"/>
      <c r="FG756" s="124" t="n"/>
      <c r="FH756" s="124" t="n"/>
      <c r="FI756" s="124" t="n"/>
      <c r="FJ756" s="124" t="n"/>
      <c r="FK756" s="124" t="n"/>
      <c r="FL756" s="124" t="n"/>
      <c r="FM756" s="124" t="n"/>
      <c r="FN756" s="124" t="n"/>
      <c r="FO756" s="124" t="n"/>
      <c r="FP756" s="124" t="n"/>
      <c r="FQ756" s="124" t="n"/>
      <c r="FR756" s="124" t="n"/>
      <c r="FS756" s="124" t="n"/>
      <c r="FT756" s="124" t="n"/>
      <c r="FU756" s="124" t="n"/>
      <c r="FV756" s="124" t="n"/>
      <c r="FW756" s="124" t="n"/>
      <c r="FX756" s="124" t="n"/>
      <c r="FY756" s="124" t="n"/>
      <c r="FZ756" s="124" t="n"/>
      <c r="GA756" s="124" t="n"/>
      <c r="GB756" s="124" t="n"/>
      <c r="GC756" s="124" t="n"/>
      <c r="GD756" s="124" t="n"/>
      <c r="GE756" s="124" t="n"/>
      <c r="GF756" s="124" t="n"/>
      <c r="GG756" s="124" t="n"/>
      <c r="GH756" s="124" t="n"/>
      <c r="GI756" s="124" t="n"/>
      <c r="GJ756" s="124" t="n"/>
      <c r="GK756" s="124" t="n"/>
      <c r="GL756" s="124" t="n"/>
      <c r="GM756" s="124" t="n"/>
      <c r="GN756" s="124" t="n"/>
      <c r="GO756" s="124" t="n"/>
      <c r="GP756" s="124" t="n"/>
      <c r="GQ756" s="124" t="n"/>
      <c r="GR756" s="124" t="n"/>
      <c r="GS756" s="124" t="n"/>
      <c r="GT756" s="124" t="n"/>
      <c r="GU756" s="124" t="n"/>
      <c r="GV756" s="124" t="n"/>
      <c r="GW756" s="124" t="n"/>
      <c r="GX756" s="124" t="n"/>
      <c r="GY756" s="124" t="n"/>
      <c r="GZ756" s="124" t="n"/>
      <c r="HA756" s="124" t="n"/>
      <c r="HB756" s="124" t="n"/>
      <c r="HC756" s="124" t="n"/>
      <c r="HD756" s="124" t="n"/>
      <c r="HE756" s="124" t="n"/>
      <c r="HF756" s="124" t="n"/>
      <c r="HG756" s="124" t="n"/>
      <c r="HH756" s="124" t="n"/>
      <c r="HI756" s="124" t="n"/>
      <c r="HJ756" s="124" t="n"/>
      <c r="HK756" s="124" t="n"/>
      <c r="HL756" s="124" t="n"/>
    </row>
    <row r="757" customFormat="1" s="3">
      <c r="A757" s="33" t="inlineStr">
        <is>
          <t>7 этап</t>
        </is>
      </c>
      <c r="B757" s="34" t="n"/>
      <c r="C757" s="38" t="inlineStr">
        <is>
          <t>Молнтаж закладных изделий и сальников 14шт (камера)</t>
        </is>
      </c>
      <c r="D757" s="36" t="inlineStr">
        <is>
          <t>кг</t>
        </is>
      </c>
      <c r="E757" s="123" t="n">
        <v>23.6</v>
      </c>
      <c r="F757" s="124" t="n"/>
      <c r="G757" s="124" t="n"/>
      <c r="H757" s="124" t="n"/>
      <c r="I757" s="124" t="n"/>
      <c r="J757" s="124" t="n"/>
      <c r="K757" s="124" t="n"/>
      <c r="L757" s="124" t="n"/>
      <c r="M757" s="124" t="n"/>
      <c r="N757" s="124" t="n"/>
      <c r="O757" s="124" t="n"/>
      <c r="P757" s="124" t="n"/>
      <c r="Q757" s="124" t="n"/>
      <c r="R757" s="124" t="n"/>
      <c r="S757" s="124" t="n"/>
      <c r="T757" s="124" t="n"/>
      <c r="U757" s="124" t="n"/>
      <c r="V757" s="124" t="n"/>
      <c r="W757" s="124" t="n"/>
      <c r="X757" s="124" t="n"/>
      <c r="Y757" s="124" t="n"/>
      <c r="Z757" s="124" t="n"/>
      <c r="AA757" s="124" t="n"/>
      <c r="AB757" s="124" t="n"/>
      <c r="AC757" s="124" t="n"/>
      <c r="AD757" s="124" t="n"/>
      <c r="AE757" s="124" t="n"/>
      <c r="AF757" s="124" t="n"/>
      <c r="AG757" s="124" t="n"/>
      <c r="AH757" s="124" t="n"/>
      <c r="AI757" s="124" t="n"/>
      <c r="AJ757" s="124" t="n"/>
      <c r="AK757" s="124" t="n"/>
      <c r="AL757" s="124" t="n"/>
      <c r="AM757" s="124" t="n"/>
      <c r="AN757" s="124" t="n"/>
      <c r="AO757" s="124" t="n"/>
      <c r="AP757" s="124" t="n"/>
      <c r="AQ757" s="124" t="n"/>
      <c r="AR757" s="124" t="n"/>
      <c r="AS757" s="124" t="n"/>
      <c r="AT757" s="124" t="n"/>
      <c r="AU757" s="124" t="n"/>
      <c r="AV757" s="124" t="n"/>
      <c r="AW757" s="124" t="n"/>
      <c r="AX757" s="124" t="n"/>
      <c r="AY757" s="124" t="n"/>
      <c r="AZ757" s="124" t="n"/>
      <c r="BA757" s="124" t="n"/>
      <c r="BB757" s="124" t="n"/>
      <c r="BC757" s="124" t="n"/>
      <c r="BD757" s="124" t="n"/>
      <c r="BE757" s="124" t="n"/>
      <c r="BF757" s="124" t="n"/>
      <c r="BG757" s="124" t="n"/>
      <c r="BH757" s="124" t="n"/>
      <c r="BI757" s="124" t="n"/>
      <c r="BJ757" s="124" t="n"/>
      <c r="BK757" s="124" t="n"/>
      <c r="BL757" s="124" t="n"/>
      <c r="BM757" s="124" t="n"/>
      <c r="BN757" s="124" t="n"/>
      <c r="BO757" s="124" t="n"/>
      <c r="BP757" s="124" t="n"/>
      <c r="BQ757" s="124" t="n"/>
      <c r="BR757" s="124" t="n"/>
      <c r="BS757" s="124" t="n"/>
      <c r="BT757" s="124" t="n"/>
      <c r="BU757" s="124" t="n"/>
      <c r="BV757" s="124" t="n"/>
      <c r="BW757" s="124" t="n"/>
      <c r="BX757" s="124" t="n"/>
      <c r="BY757" s="124" t="n"/>
      <c r="BZ757" s="124" t="n"/>
      <c r="CA757" s="124" t="n"/>
      <c r="CB757" s="124" t="n"/>
      <c r="CC757" s="124" t="n"/>
      <c r="CD757" s="124" t="n"/>
      <c r="CE757" s="124" t="n"/>
      <c r="CF757" s="124" t="n"/>
      <c r="CG757" s="124" t="n"/>
      <c r="CH757" s="124" t="n"/>
      <c r="CI757" s="124" t="n"/>
      <c r="CJ757" s="124" t="n"/>
      <c r="CK757" s="124" t="n"/>
      <c r="CL757" s="124" t="n"/>
      <c r="CM757" s="124" t="n"/>
      <c r="CN757" s="124" t="n"/>
      <c r="CO757" s="124" t="n"/>
      <c r="CP757" s="124" t="n"/>
      <c r="CQ757" s="124" t="n"/>
      <c r="CR757" s="124" t="n"/>
      <c r="CS757" s="124" t="n"/>
      <c r="CT757" s="124" t="n"/>
      <c r="CU757" s="124" t="n"/>
      <c r="CV757" s="124" t="n"/>
      <c r="CW757" s="124" t="n"/>
      <c r="CX757" s="124" t="n"/>
      <c r="CY757" s="124" t="n"/>
      <c r="CZ757" s="124" t="n"/>
      <c r="DA757" s="124" t="n"/>
      <c r="DB757" s="124" t="n"/>
      <c r="DC757" s="124" t="n"/>
      <c r="DD757" s="124" t="n"/>
      <c r="DE757" s="124" t="n"/>
      <c r="DF757" s="124" t="n"/>
      <c r="DG757" s="124" t="n"/>
      <c r="DH757" s="124" t="n"/>
      <c r="DI757" s="124" t="n"/>
      <c r="DJ757" s="124" t="n"/>
      <c r="DK757" s="124" t="n"/>
      <c r="DL757" s="124" t="n"/>
      <c r="DM757" s="124" t="n"/>
      <c r="DN757" s="124" t="n"/>
      <c r="DO757" s="124" t="n"/>
      <c r="DP757" s="124" t="n"/>
      <c r="DQ757" s="124" t="n"/>
      <c r="DR757" s="124" t="n"/>
      <c r="DS757" s="124" t="n"/>
      <c r="DT757" s="124" t="n"/>
      <c r="DU757" s="124" t="n"/>
      <c r="DV757" s="124" t="n"/>
      <c r="DW757" s="124" t="n"/>
      <c r="DX757" s="124" t="n"/>
      <c r="DY757" s="124" t="n"/>
      <c r="DZ757" s="124" t="n"/>
      <c r="EA757" s="124" t="n"/>
      <c r="EB757" s="124" t="n"/>
      <c r="EC757" s="124" t="n"/>
      <c r="ED757" s="124" t="n"/>
      <c r="EE757" s="124" t="n"/>
      <c r="EF757" s="124" t="n"/>
      <c r="EG757" s="124" t="n"/>
      <c r="EH757" s="124" t="n"/>
      <c r="EI757" s="124" t="n"/>
      <c r="EJ757" s="124" t="n"/>
      <c r="EK757" s="124" t="n"/>
      <c r="EL757" s="124" t="n"/>
      <c r="EM757" s="124" t="n"/>
      <c r="EN757" s="124" t="n"/>
      <c r="EO757" s="124" t="n"/>
      <c r="EP757" s="124" t="n"/>
      <c r="EQ757" s="124" t="n"/>
      <c r="ER757" s="124" t="n"/>
      <c r="ES757" s="124" t="n"/>
      <c r="ET757" s="124" t="n"/>
      <c r="EU757" s="124" t="n"/>
      <c r="EV757" s="124" t="n"/>
      <c r="EW757" s="124" t="n"/>
      <c r="EX757" s="124" t="n"/>
      <c r="EY757" s="124" t="n"/>
      <c r="EZ757" s="124" t="n"/>
      <c r="FA757" s="124" t="n"/>
      <c r="FB757" s="124" t="n"/>
      <c r="FC757" s="124" t="n"/>
      <c r="FD757" s="124" t="n"/>
      <c r="FE757" s="124" t="n"/>
      <c r="FF757" s="124" t="n"/>
      <c r="FG757" s="124" t="n"/>
      <c r="FH757" s="124" t="n"/>
      <c r="FI757" s="124" t="n"/>
      <c r="FJ757" s="124" t="n"/>
      <c r="FK757" s="124" t="n"/>
      <c r="FL757" s="124" t="n"/>
      <c r="FM757" s="124" t="n"/>
      <c r="FN757" s="124" t="n"/>
      <c r="FO757" s="124" t="n"/>
      <c r="FP757" s="124" t="n"/>
      <c r="FQ757" s="124" t="n"/>
      <c r="FR757" s="124" t="n"/>
      <c r="FS757" s="124" t="n"/>
      <c r="FT757" s="124" t="n"/>
      <c r="FU757" s="124" t="n"/>
      <c r="FV757" s="124" t="n"/>
      <c r="FW757" s="124" t="n"/>
      <c r="FX757" s="124" t="n"/>
      <c r="FY757" s="124" t="n"/>
      <c r="FZ757" s="124" t="n"/>
      <c r="GA757" s="124" t="n"/>
      <c r="GB757" s="124" t="n"/>
      <c r="GC757" s="124" t="n"/>
      <c r="GD757" s="124" t="n"/>
      <c r="GE757" s="124" t="n"/>
      <c r="GF757" s="124" t="n"/>
      <c r="GG757" s="124" t="n"/>
      <c r="GH757" s="124" t="n"/>
      <c r="GI757" s="124" t="n"/>
      <c r="GJ757" s="124" t="n"/>
      <c r="GK757" s="124" t="n"/>
      <c r="GL757" s="124" t="n"/>
      <c r="GM757" s="124" t="n"/>
      <c r="GN757" s="124" t="n"/>
      <c r="GO757" s="124" t="n"/>
      <c r="GP757" s="124" t="n"/>
      <c r="GQ757" s="124" t="n"/>
      <c r="GR757" s="124" t="n"/>
      <c r="GS757" s="124" t="n"/>
      <c r="GT757" s="124" t="n"/>
      <c r="GU757" s="124" t="n"/>
      <c r="GV757" s="124" t="n"/>
      <c r="GW757" s="124" t="n"/>
      <c r="GX757" s="124" t="n"/>
      <c r="GY757" s="124" t="n"/>
      <c r="GZ757" s="124" t="n"/>
      <c r="HA757" s="124" t="n"/>
      <c r="HB757" s="124" t="n"/>
      <c r="HC757" s="124" t="n"/>
      <c r="HD757" s="124" t="n"/>
      <c r="HE757" s="124" t="n"/>
      <c r="HF757" s="124" t="n"/>
      <c r="HG757" s="124" t="n"/>
      <c r="HH757" s="124" t="n"/>
      <c r="HI757" s="124" t="n"/>
      <c r="HJ757" s="124" t="n"/>
      <c r="HK757" s="124" t="n"/>
      <c r="HL757" s="124" t="n"/>
    </row>
    <row r="758" ht="14.4" customFormat="1" customHeight="1" s="3">
      <c r="A758" s="26" t="inlineStr">
        <is>
          <t>7 этап</t>
        </is>
      </c>
      <c r="B758" s="27" t="inlineStr">
        <is>
          <t>3.2</t>
        </is>
      </c>
      <c r="C758" s="28" t="inlineStr">
        <is>
          <t>Монтаж трубопроводов и арматуры тепловой сети</t>
        </is>
      </c>
      <c r="D758" s="54" t="inlineStr">
        <is>
          <t>компл.</t>
        </is>
      </c>
      <c r="E758" s="126" t="n">
        <v>0.66</v>
      </c>
      <c r="F758" s="166" t="n">
        <v>75000</v>
      </c>
      <c r="G758" s="166" t="n">
        <v>49500</v>
      </c>
      <c r="H758" s="124" t="inlineStr">
        <is>
          <t>ФЕР-2020 × 0.75</t>
        </is>
      </c>
      <c r="I758" s="124" t="n"/>
      <c r="J758" s="124" t="n"/>
      <c r="K758" s="124" t="n"/>
      <c r="L758" s="124" t="n"/>
      <c r="M758" s="124" t="n"/>
      <c r="N758" s="124" t="n"/>
      <c r="O758" s="124" t="n"/>
      <c r="P758" s="124" t="n"/>
      <c r="Q758" s="124" t="n"/>
      <c r="R758" s="124" t="n"/>
      <c r="S758" s="124" t="n"/>
      <c r="T758" s="124" t="n"/>
      <c r="U758" s="124" t="n"/>
      <c r="V758" s="124" t="n"/>
      <c r="W758" s="124" t="n"/>
      <c r="X758" s="124" t="n"/>
      <c r="Y758" s="124" t="n"/>
      <c r="Z758" s="124" t="n"/>
      <c r="AA758" s="124" t="n"/>
      <c r="AB758" s="124" t="n"/>
      <c r="AC758" s="124" t="n"/>
      <c r="AD758" s="124" t="n"/>
      <c r="AE758" s="124" t="n"/>
      <c r="AF758" s="124" t="n"/>
      <c r="AG758" s="124" t="n"/>
      <c r="AH758" s="124" t="n"/>
      <c r="AI758" s="124" t="n"/>
      <c r="AJ758" s="124" t="n"/>
      <c r="AK758" s="124" t="n"/>
      <c r="AL758" s="124" t="n"/>
      <c r="AM758" s="124" t="n"/>
      <c r="AN758" s="124" t="n"/>
      <c r="AO758" s="124" t="n"/>
      <c r="AP758" s="124" t="n"/>
      <c r="AQ758" s="124" t="n"/>
      <c r="AR758" s="124" t="n"/>
      <c r="AS758" s="124" t="n"/>
      <c r="AT758" s="124" t="n"/>
      <c r="AU758" s="124" t="n"/>
      <c r="AV758" s="124" t="n"/>
      <c r="AW758" s="124" t="n"/>
      <c r="AX758" s="124" t="n"/>
      <c r="AY758" s="124" t="n"/>
      <c r="AZ758" s="124" t="n"/>
      <c r="BA758" s="124" t="n"/>
      <c r="BB758" s="124" t="n"/>
      <c r="BC758" s="124" t="n"/>
      <c r="BD758" s="124" t="n"/>
      <c r="BE758" s="124" t="n"/>
      <c r="BF758" s="124" t="n"/>
      <c r="BG758" s="124" t="n"/>
      <c r="BH758" s="124" t="n"/>
      <c r="BI758" s="124" t="n"/>
      <c r="BJ758" s="124" t="n"/>
      <c r="BK758" s="124" t="n"/>
      <c r="BL758" s="124" t="n"/>
      <c r="BM758" s="124" t="n"/>
      <c r="BN758" s="124" t="n"/>
      <c r="BO758" s="124" t="n"/>
      <c r="BP758" s="124" t="n"/>
      <c r="BQ758" s="124" t="n"/>
      <c r="BR758" s="124" t="n"/>
      <c r="BS758" s="124" t="n"/>
      <c r="BT758" s="124" t="n"/>
      <c r="BU758" s="124" t="n"/>
      <c r="BV758" s="124" t="n"/>
      <c r="BW758" s="124" t="n"/>
      <c r="BX758" s="124" t="n"/>
      <c r="BY758" s="124" t="n"/>
      <c r="BZ758" s="124" t="n"/>
      <c r="CA758" s="124" t="n"/>
      <c r="CB758" s="124" t="n"/>
      <c r="CC758" s="124" t="n"/>
      <c r="CD758" s="124" t="n"/>
      <c r="CE758" s="124" t="n"/>
      <c r="CF758" s="124" t="n"/>
      <c r="CG758" s="124" t="n"/>
      <c r="CH758" s="124" t="n"/>
      <c r="CI758" s="124" t="n"/>
      <c r="CJ758" s="124" t="n"/>
      <c r="CK758" s="124" t="n"/>
      <c r="CL758" s="124" t="n"/>
      <c r="CM758" s="124" t="n"/>
      <c r="CN758" s="124" t="n"/>
      <c r="CO758" s="124" t="n"/>
      <c r="CP758" s="124" t="n"/>
      <c r="CQ758" s="124" t="n"/>
      <c r="CR758" s="124" t="n"/>
      <c r="CS758" s="124" t="n"/>
      <c r="CT758" s="124" t="n"/>
      <c r="CU758" s="124" t="n"/>
      <c r="CV758" s="124" t="n"/>
      <c r="CW758" s="124" t="n"/>
      <c r="CX758" s="124" t="n"/>
      <c r="CY758" s="124" t="n"/>
      <c r="CZ758" s="124" t="n"/>
      <c r="DA758" s="124" t="n"/>
      <c r="DB758" s="124" t="n"/>
      <c r="DC758" s="124" t="n"/>
      <c r="DD758" s="124" t="n"/>
      <c r="DE758" s="124" t="n"/>
      <c r="DF758" s="124" t="n"/>
      <c r="DG758" s="124" t="n"/>
      <c r="DH758" s="124" t="n"/>
      <c r="DI758" s="124" t="n"/>
      <c r="DJ758" s="124" t="n"/>
      <c r="DK758" s="124" t="n"/>
      <c r="DL758" s="124" t="n"/>
      <c r="DM758" s="124" t="n"/>
      <c r="DN758" s="124" t="n"/>
      <c r="DO758" s="124" t="n"/>
      <c r="DP758" s="124" t="n"/>
      <c r="DQ758" s="124" t="n"/>
      <c r="DR758" s="124" t="n"/>
      <c r="DS758" s="124" t="n"/>
      <c r="DT758" s="124" t="n"/>
      <c r="DU758" s="124" t="n"/>
      <c r="DV758" s="124" t="n"/>
      <c r="DW758" s="124" t="n"/>
      <c r="DX758" s="124" t="n"/>
      <c r="DY758" s="124" t="n"/>
      <c r="DZ758" s="124" t="n"/>
      <c r="EA758" s="124" t="n"/>
      <c r="EB758" s="124" t="n"/>
      <c r="EC758" s="124" t="n"/>
      <c r="ED758" s="124" t="n"/>
      <c r="EE758" s="124" t="n"/>
      <c r="EF758" s="124" t="n"/>
      <c r="EG758" s="124" t="n"/>
      <c r="EH758" s="124" t="n"/>
      <c r="EI758" s="124" t="n"/>
      <c r="EJ758" s="124" t="n"/>
      <c r="EK758" s="124" t="n"/>
      <c r="EL758" s="124" t="n"/>
      <c r="EM758" s="124" t="n"/>
      <c r="EN758" s="124" t="n"/>
      <c r="EO758" s="124" t="n"/>
      <c r="EP758" s="124" t="n"/>
      <c r="EQ758" s="124" t="n"/>
      <c r="ER758" s="124" t="n"/>
      <c r="ES758" s="124" t="n"/>
      <c r="ET758" s="124" t="n"/>
      <c r="EU758" s="124" t="n"/>
      <c r="EV758" s="124" t="n"/>
      <c r="EW758" s="124" t="n"/>
      <c r="EX758" s="124" t="n"/>
      <c r="EY758" s="124" t="n"/>
      <c r="EZ758" s="124" t="n"/>
      <c r="FA758" s="124" t="n"/>
      <c r="FB758" s="124" t="n"/>
      <c r="FC758" s="124" t="n"/>
      <c r="FD758" s="124" t="n"/>
      <c r="FE758" s="124" t="n"/>
      <c r="FF758" s="124" t="n"/>
      <c r="FG758" s="124" t="n"/>
      <c r="FH758" s="124" t="n"/>
      <c r="FI758" s="124" t="n"/>
      <c r="FJ758" s="124" t="n"/>
      <c r="FK758" s="124" t="n"/>
      <c r="FL758" s="124" t="n"/>
      <c r="FM758" s="124" t="n"/>
      <c r="FN758" s="124" t="n"/>
      <c r="FO758" s="124" t="n"/>
      <c r="FP758" s="124" t="n"/>
      <c r="FQ758" s="124" t="n"/>
      <c r="FR758" s="124" t="n"/>
      <c r="FS758" s="124" t="n"/>
      <c r="FT758" s="124" t="n"/>
      <c r="FU758" s="124" t="n"/>
      <c r="FV758" s="124" t="n"/>
      <c r="FW758" s="124" t="n"/>
      <c r="FX758" s="124" t="n"/>
      <c r="FY758" s="124" t="n"/>
      <c r="FZ758" s="124" t="n"/>
      <c r="GA758" s="124" t="n"/>
      <c r="GB758" s="124" t="n"/>
      <c r="GC758" s="124" t="n"/>
      <c r="GD758" s="124" t="n"/>
      <c r="GE758" s="124" t="n"/>
      <c r="GF758" s="124" t="n"/>
      <c r="GG758" s="124" t="n"/>
      <c r="GH758" s="124" t="n"/>
      <c r="GI758" s="124" t="n"/>
      <c r="GJ758" s="124" t="n"/>
      <c r="GK758" s="124" t="n"/>
      <c r="GL758" s="124" t="n"/>
      <c r="GM758" s="124" t="n"/>
      <c r="GN758" s="124" t="n"/>
      <c r="GO758" s="124" t="n"/>
      <c r="GP758" s="124" t="n"/>
      <c r="GQ758" s="124" t="n"/>
      <c r="GR758" s="124" t="n"/>
      <c r="GS758" s="124" t="n"/>
      <c r="GT758" s="124" t="n"/>
      <c r="GU758" s="124" t="n"/>
      <c r="GV758" s="124" t="n"/>
      <c r="GW758" s="124" t="n"/>
      <c r="GX758" s="124" t="n"/>
      <c r="GY758" s="124" t="n"/>
      <c r="GZ758" s="124" t="n"/>
      <c r="HA758" s="124" t="n"/>
      <c r="HB758" s="124" t="n"/>
      <c r="HC758" s="124" t="n"/>
      <c r="HD758" s="124" t="n"/>
      <c r="HE758" s="124" t="n"/>
      <c r="HF758" s="124" t="n"/>
      <c r="HG758" s="124" t="n"/>
      <c r="HH758" s="124" t="n"/>
      <c r="HI758" s="124" t="n"/>
      <c r="HJ758" s="124" t="n"/>
      <c r="HK758" s="124" t="n"/>
      <c r="HL758" s="124" t="n"/>
    </row>
    <row r="759" customFormat="1" s="3">
      <c r="A759" s="33" t="inlineStr">
        <is>
          <t>7 этап</t>
        </is>
      </c>
      <c r="B759" s="34" t="n"/>
      <c r="C759" s="38" t="inlineStr">
        <is>
          <t>Монтаж труб ф 133х4</t>
        </is>
      </c>
      <c r="D759" s="36" t="inlineStr">
        <is>
          <t>м</t>
        </is>
      </c>
      <c r="E759" s="123" t="n">
        <v>80</v>
      </c>
      <c r="F759" s="124" t="n"/>
      <c r="G759" s="124" t="n"/>
      <c r="H759" s="124" t="n"/>
      <c r="I759" s="124" t="n"/>
      <c r="J759" s="124" t="n"/>
      <c r="K759" s="124" t="n"/>
      <c r="L759" s="124" t="n"/>
      <c r="M759" s="124" t="n"/>
      <c r="N759" s="124" t="n"/>
      <c r="O759" s="124" t="n"/>
      <c r="P759" s="124" t="n"/>
      <c r="Q759" s="124" t="n"/>
      <c r="R759" s="124" t="n"/>
      <c r="S759" s="124" t="n"/>
      <c r="T759" s="124" t="n"/>
      <c r="U759" s="124" t="n"/>
      <c r="V759" s="124" t="n"/>
      <c r="W759" s="124" t="n"/>
      <c r="X759" s="124" t="n"/>
      <c r="Y759" s="124" t="n"/>
      <c r="Z759" s="124" t="n"/>
      <c r="AA759" s="124" t="n"/>
      <c r="AB759" s="124" t="n"/>
      <c r="AC759" s="124" t="n"/>
      <c r="AD759" s="124" t="n"/>
      <c r="AE759" s="124" t="n"/>
      <c r="AF759" s="124" t="n"/>
      <c r="AG759" s="124" t="n"/>
      <c r="AH759" s="124" t="n"/>
      <c r="AI759" s="124" t="n"/>
      <c r="AJ759" s="124" t="n"/>
      <c r="AK759" s="124" t="n"/>
      <c r="AL759" s="124" t="n"/>
      <c r="AM759" s="124" t="n"/>
      <c r="AN759" s="124" t="n"/>
      <c r="AO759" s="124" t="n"/>
      <c r="AP759" s="124" t="n"/>
      <c r="AQ759" s="124" t="n"/>
      <c r="AR759" s="124" t="n"/>
      <c r="AS759" s="124" t="n"/>
      <c r="AT759" s="124" t="n"/>
      <c r="AU759" s="124" t="n"/>
      <c r="AV759" s="124" t="n"/>
      <c r="AW759" s="124" t="n"/>
      <c r="AX759" s="124" t="n"/>
      <c r="AY759" s="124" t="n"/>
      <c r="AZ759" s="124" t="n"/>
      <c r="BA759" s="124" t="n"/>
      <c r="BB759" s="124" t="n"/>
      <c r="BC759" s="124" t="n"/>
      <c r="BD759" s="124" t="n"/>
      <c r="BE759" s="124" t="n"/>
      <c r="BF759" s="124" t="n"/>
      <c r="BG759" s="124" t="n"/>
      <c r="BH759" s="124" t="n"/>
      <c r="BI759" s="124" t="n"/>
      <c r="BJ759" s="124" t="n"/>
      <c r="BK759" s="124" t="n"/>
      <c r="BL759" s="124" t="n"/>
      <c r="BM759" s="124" t="n"/>
      <c r="BN759" s="124" t="n"/>
      <c r="BO759" s="124" t="n"/>
      <c r="BP759" s="124" t="n"/>
      <c r="BQ759" s="124" t="n"/>
      <c r="BR759" s="124" t="n"/>
      <c r="BS759" s="124" t="n"/>
      <c r="BT759" s="124" t="n"/>
      <c r="BU759" s="124" t="n"/>
      <c r="BV759" s="124" t="n"/>
      <c r="BW759" s="124" t="n"/>
      <c r="BX759" s="124" t="n"/>
      <c r="BY759" s="124" t="n"/>
      <c r="BZ759" s="124" t="n"/>
      <c r="CA759" s="124" t="n"/>
      <c r="CB759" s="124" t="n"/>
      <c r="CC759" s="124" t="n"/>
      <c r="CD759" s="124" t="n"/>
      <c r="CE759" s="124" t="n"/>
      <c r="CF759" s="124" t="n"/>
      <c r="CG759" s="124" t="n"/>
      <c r="CH759" s="124" t="n"/>
      <c r="CI759" s="124" t="n"/>
      <c r="CJ759" s="124" t="n"/>
      <c r="CK759" s="124" t="n"/>
      <c r="CL759" s="124" t="n"/>
      <c r="CM759" s="124" t="n"/>
      <c r="CN759" s="124" t="n"/>
      <c r="CO759" s="124" t="n"/>
      <c r="CP759" s="124" t="n"/>
      <c r="CQ759" s="124" t="n"/>
      <c r="CR759" s="124" t="n"/>
      <c r="CS759" s="124" t="n"/>
      <c r="CT759" s="124" t="n"/>
      <c r="CU759" s="124" t="n"/>
      <c r="CV759" s="124" t="n"/>
      <c r="CW759" s="124" t="n"/>
      <c r="CX759" s="124" t="n"/>
      <c r="CY759" s="124" t="n"/>
      <c r="CZ759" s="124" t="n"/>
      <c r="DA759" s="124" t="n"/>
      <c r="DB759" s="124" t="n"/>
      <c r="DC759" s="124" t="n"/>
      <c r="DD759" s="124" t="n"/>
      <c r="DE759" s="124" t="n"/>
      <c r="DF759" s="124" t="n"/>
      <c r="DG759" s="124" t="n"/>
      <c r="DH759" s="124" t="n"/>
      <c r="DI759" s="124" t="n"/>
      <c r="DJ759" s="124" t="n"/>
      <c r="DK759" s="124" t="n"/>
      <c r="DL759" s="124" t="n"/>
      <c r="DM759" s="124" t="n"/>
      <c r="DN759" s="124" t="n"/>
      <c r="DO759" s="124" t="n"/>
      <c r="DP759" s="124" t="n"/>
      <c r="DQ759" s="124" t="n"/>
      <c r="DR759" s="124" t="n"/>
      <c r="DS759" s="124" t="n"/>
      <c r="DT759" s="124" t="n"/>
      <c r="DU759" s="124" t="n"/>
      <c r="DV759" s="124" t="n"/>
      <c r="DW759" s="124" t="n"/>
      <c r="DX759" s="124" t="n"/>
      <c r="DY759" s="124" t="n"/>
      <c r="DZ759" s="124" t="n"/>
      <c r="EA759" s="124" t="n"/>
      <c r="EB759" s="124" t="n"/>
      <c r="EC759" s="124" t="n"/>
      <c r="ED759" s="124" t="n"/>
      <c r="EE759" s="124" t="n"/>
      <c r="EF759" s="124" t="n"/>
      <c r="EG759" s="124" t="n"/>
      <c r="EH759" s="124" t="n"/>
      <c r="EI759" s="124" t="n"/>
      <c r="EJ759" s="124" t="n"/>
      <c r="EK759" s="124" t="n"/>
      <c r="EL759" s="124" t="n"/>
      <c r="EM759" s="124" t="n"/>
      <c r="EN759" s="124" t="n"/>
      <c r="EO759" s="124" t="n"/>
      <c r="EP759" s="124" t="n"/>
      <c r="EQ759" s="124" t="n"/>
      <c r="ER759" s="124" t="n"/>
      <c r="ES759" s="124" t="n"/>
      <c r="ET759" s="124" t="n"/>
      <c r="EU759" s="124" t="n"/>
      <c r="EV759" s="124" t="n"/>
      <c r="EW759" s="124" t="n"/>
      <c r="EX759" s="124" t="n"/>
      <c r="EY759" s="124" t="n"/>
      <c r="EZ759" s="124" t="n"/>
      <c r="FA759" s="124" t="n"/>
      <c r="FB759" s="124" t="n"/>
      <c r="FC759" s="124" t="n"/>
      <c r="FD759" s="124" t="n"/>
      <c r="FE759" s="124" t="n"/>
      <c r="FF759" s="124" t="n"/>
      <c r="FG759" s="124" t="n"/>
      <c r="FH759" s="124" t="n"/>
      <c r="FI759" s="124" t="n"/>
      <c r="FJ759" s="124" t="n"/>
      <c r="FK759" s="124" t="n"/>
      <c r="FL759" s="124" t="n"/>
      <c r="FM759" s="124" t="n"/>
      <c r="FN759" s="124" t="n"/>
      <c r="FO759" s="124" t="n"/>
      <c r="FP759" s="124" t="n"/>
      <c r="FQ759" s="124" t="n"/>
      <c r="FR759" s="124" t="n"/>
      <c r="FS759" s="124" t="n"/>
      <c r="FT759" s="124" t="n"/>
      <c r="FU759" s="124" t="n"/>
      <c r="FV759" s="124" t="n"/>
      <c r="FW759" s="124" t="n"/>
      <c r="FX759" s="124" t="n"/>
      <c r="FY759" s="124" t="n"/>
      <c r="FZ759" s="124" t="n"/>
      <c r="GA759" s="124" t="n"/>
      <c r="GB759" s="124" t="n"/>
      <c r="GC759" s="124" t="n"/>
      <c r="GD759" s="124" t="n"/>
      <c r="GE759" s="124" t="n"/>
      <c r="GF759" s="124" t="n"/>
      <c r="GG759" s="124" t="n"/>
      <c r="GH759" s="124" t="n"/>
      <c r="GI759" s="124" t="n"/>
      <c r="GJ759" s="124" t="n"/>
      <c r="GK759" s="124" t="n"/>
      <c r="GL759" s="124" t="n"/>
      <c r="GM759" s="124" t="n"/>
      <c r="GN759" s="124" t="n"/>
      <c r="GO759" s="124" t="n"/>
      <c r="GP759" s="124" t="n"/>
      <c r="GQ759" s="124" t="n"/>
      <c r="GR759" s="124" t="n"/>
      <c r="GS759" s="124" t="n"/>
      <c r="GT759" s="124" t="n"/>
      <c r="GU759" s="124" t="n"/>
      <c r="GV759" s="124" t="n"/>
      <c r="GW759" s="124" t="n"/>
      <c r="GX759" s="124" t="n"/>
      <c r="GY759" s="124" t="n"/>
      <c r="GZ759" s="124" t="n"/>
      <c r="HA759" s="124" t="n"/>
      <c r="HB759" s="124" t="n"/>
      <c r="HC759" s="124" t="n"/>
      <c r="HD759" s="124" t="n"/>
      <c r="HE759" s="124" t="n"/>
      <c r="HF759" s="124" t="n"/>
      <c r="HG759" s="124" t="n"/>
      <c r="HH759" s="124" t="n"/>
      <c r="HI759" s="124" t="n"/>
      <c r="HJ759" s="124" t="n"/>
      <c r="HK759" s="124" t="n"/>
      <c r="HL759" s="124" t="n"/>
    </row>
    <row r="760" customFormat="1" s="3">
      <c r="A760" s="33" t="inlineStr">
        <is>
          <t>7 этап</t>
        </is>
      </c>
      <c r="B760" s="34" t="n"/>
      <c r="C760" s="38" t="inlineStr">
        <is>
          <t>Монтаж труб ф 108х4</t>
        </is>
      </c>
      <c r="D760" s="36" t="inlineStr">
        <is>
          <t>м</t>
        </is>
      </c>
      <c r="E760" s="123" t="n">
        <v>80</v>
      </c>
      <c r="F760" s="124" t="n"/>
      <c r="G760" s="124" t="n"/>
      <c r="H760" s="124" t="n"/>
      <c r="I760" s="124" t="n"/>
      <c r="J760" s="124" t="n"/>
      <c r="K760" s="124" t="n"/>
      <c r="L760" s="124" t="n"/>
      <c r="M760" s="124" t="n"/>
      <c r="N760" s="124" t="n"/>
      <c r="O760" s="124" t="n"/>
      <c r="P760" s="124" t="n"/>
      <c r="Q760" s="124" t="n"/>
      <c r="R760" s="124" t="n"/>
      <c r="S760" s="124" t="n"/>
      <c r="T760" s="124" t="n"/>
      <c r="U760" s="124" t="n"/>
      <c r="V760" s="124" t="n"/>
      <c r="W760" s="124" t="n"/>
      <c r="X760" s="124" t="n"/>
      <c r="Y760" s="124" t="n"/>
      <c r="Z760" s="124" t="n"/>
      <c r="AA760" s="124" t="n"/>
      <c r="AB760" s="124" t="n"/>
      <c r="AC760" s="124" t="n"/>
      <c r="AD760" s="124" t="n"/>
      <c r="AE760" s="124" t="n"/>
      <c r="AF760" s="124" t="n"/>
      <c r="AG760" s="124" t="n"/>
      <c r="AH760" s="124" t="n"/>
      <c r="AI760" s="124" t="n"/>
      <c r="AJ760" s="124" t="n"/>
      <c r="AK760" s="124" t="n"/>
      <c r="AL760" s="124" t="n"/>
      <c r="AM760" s="124" t="n"/>
      <c r="AN760" s="124" t="n"/>
      <c r="AO760" s="124" t="n"/>
      <c r="AP760" s="124" t="n"/>
      <c r="AQ760" s="124" t="n"/>
      <c r="AR760" s="124" t="n"/>
      <c r="AS760" s="124" t="n"/>
      <c r="AT760" s="124" t="n"/>
      <c r="AU760" s="124" t="n"/>
      <c r="AV760" s="124" t="n"/>
      <c r="AW760" s="124" t="n"/>
      <c r="AX760" s="124" t="n"/>
      <c r="AY760" s="124" t="n"/>
      <c r="AZ760" s="124" t="n"/>
      <c r="BA760" s="124" t="n"/>
      <c r="BB760" s="124" t="n"/>
      <c r="BC760" s="124" t="n"/>
      <c r="BD760" s="124" t="n"/>
      <c r="BE760" s="124" t="n"/>
      <c r="BF760" s="124" t="n"/>
      <c r="BG760" s="124" t="n"/>
      <c r="BH760" s="124" t="n"/>
      <c r="BI760" s="124" t="n"/>
      <c r="BJ760" s="124" t="n"/>
      <c r="BK760" s="124" t="n"/>
      <c r="BL760" s="124" t="n"/>
      <c r="BM760" s="124" t="n"/>
      <c r="BN760" s="124" t="n"/>
      <c r="BO760" s="124" t="n"/>
      <c r="BP760" s="124" t="n"/>
      <c r="BQ760" s="124" t="n"/>
      <c r="BR760" s="124" t="n"/>
      <c r="BS760" s="124" t="n"/>
      <c r="BT760" s="124" t="n"/>
      <c r="BU760" s="124" t="n"/>
      <c r="BV760" s="124" t="n"/>
      <c r="BW760" s="124" t="n"/>
      <c r="BX760" s="124" t="n"/>
      <c r="BY760" s="124" t="n"/>
      <c r="BZ760" s="124" t="n"/>
      <c r="CA760" s="124" t="n"/>
      <c r="CB760" s="124" t="n"/>
      <c r="CC760" s="124" t="n"/>
      <c r="CD760" s="124" t="n"/>
      <c r="CE760" s="124" t="n"/>
      <c r="CF760" s="124" t="n"/>
      <c r="CG760" s="124" t="n"/>
      <c r="CH760" s="124" t="n"/>
      <c r="CI760" s="124" t="n"/>
      <c r="CJ760" s="124" t="n"/>
      <c r="CK760" s="124" t="n"/>
      <c r="CL760" s="124" t="n"/>
      <c r="CM760" s="124" t="n"/>
      <c r="CN760" s="124" t="n"/>
      <c r="CO760" s="124" t="n"/>
      <c r="CP760" s="124" t="n"/>
      <c r="CQ760" s="124" t="n"/>
      <c r="CR760" s="124" t="n"/>
      <c r="CS760" s="124" t="n"/>
      <c r="CT760" s="124" t="n"/>
      <c r="CU760" s="124" t="n"/>
      <c r="CV760" s="124" t="n"/>
      <c r="CW760" s="124" t="n"/>
      <c r="CX760" s="124" t="n"/>
      <c r="CY760" s="124" t="n"/>
      <c r="CZ760" s="124" t="n"/>
      <c r="DA760" s="124" t="n"/>
      <c r="DB760" s="124" t="n"/>
      <c r="DC760" s="124" t="n"/>
      <c r="DD760" s="124" t="n"/>
      <c r="DE760" s="124" t="n"/>
      <c r="DF760" s="124" t="n"/>
      <c r="DG760" s="124" t="n"/>
      <c r="DH760" s="124" t="n"/>
      <c r="DI760" s="124" t="n"/>
      <c r="DJ760" s="124" t="n"/>
      <c r="DK760" s="124" t="n"/>
      <c r="DL760" s="124" t="n"/>
      <c r="DM760" s="124" t="n"/>
      <c r="DN760" s="124" t="n"/>
      <c r="DO760" s="124" t="n"/>
      <c r="DP760" s="124" t="n"/>
      <c r="DQ760" s="124" t="n"/>
      <c r="DR760" s="124" t="n"/>
      <c r="DS760" s="124" t="n"/>
      <c r="DT760" s="124" t="n"/>
      <c r="DU760" s="124" t="n"/>
      <c r="DV760" s="124" t="n"/>
      <c r="DW760" s="124" t="n"/>
      <c r="DX760" s="124" t="n"/>
      <c r="DY760" s="124" t="n"/>
      <c r="DZ760" s="124" t="n"/>
      <c r="EA760" s="124" t="n"/>
      <c r="EB760" s="124" t="n"/>
      <c r="EC760" s="124" t="n"/>
      <c r="ED760" s="124" t="n"/>
      <c r="EE760" s="124" t="n"/>
      <c r="EF760" s="124" t="n"/>
      <c r="EG760" s="124" t="n"/>
      <c r="EH760" s="124" t="n"/>
      <c r="EI760" s="124" t="n"/>
      <c r="EJ760" s="124" t="n"/>
      <c r="EK760" s="124" t="n"/>
      <c r="EL760" s="124" t="n"/>
      <c r="EM760" s="124" t="n"/>
      <c r="EN760" s="124" t="n"/>
      <c r="EO760" s="124" t="n"/>
      <c r="EP760" s="124" t="n"/>
      <c r="EQ760" s="124" t="n"/>
      <c r="ER760" s="124" t="n"/>
      <c r="ES760" s="124" t="n"/>
      <c r="ET760" s="124" t="n"/>
      <c r="EU760" s="124" t="n"/>
      <c r="EV760" s="124" t="n"/>
      <c r="EW760" s="124" t="n"/>
      <c r="EX760" s="124" t="n"/>
      <c r="EY760" s="124" t="n"/>
      <c r="EZ760" s="124" t="n"/>
      <c r="FA760" s="124" t="n"/>
      <c r="FB760" s="124" t="n"/>
      <c r="FC760" s="124" t="n"/>
      <c r="FD760" s="124" t="n"/>
      <c r="FE760" s="124" t="n"/>
      <c r="FF760" s="124" t="n"/>
      <c r="FG760" s="124" t="n"/>
      <c r="FH760" s="124" t="n"/>
      <c r="FI760" s="124" t="n"/>
      <c r="FJ760" s="124" t="n"/>
      <c r="FK760" s="124" t="n"/>
      <c r="FL760" s="124" t="n"/>
      <c r="FM760" s="124" t="n"/>
      <c r="FN760" s="124" t="n"/>
      <c r="FO760" s="124" t="n"/>
      <c r="FP760" s="124" t="n"/>
      <c r="FQ760" s="124" t="n"/>
      <c r="FR760" s="124" t="n"/>
      <c r="FS760" s="124" t="n"/>
      <c r="FT760" s="124" t="n"/>
      <c r="FU760" s="124" t="n"/>
      <c r="FV760" s="124" t="n"/>
      <c r="FW760" s="124" t="n"/>
      <c r="FX760" s="124" t="n"/>
      <c r="FY760" s="124" t="n"/>
      <c r="FZ760" s="124" t="n"/>
      <c r="GA760" s="124" t="n"/>
      <c r="GB760" s="124" t="n"/>
      <c r="GC760" s="124" t="n"/>
      <c r="GD760" s="124" t="n"/>
      <c r="GE760" s="124" t="n"/>
      <c r="GF760" s="124" t="n"/>
      <c r="GG760" s="124" t="n"/>
      <c r="GH760" s="124" t="n"/>
      <c r="GI760" s="124" t="n"/>
      <c r="GJ760" s="124" t="n"/>
      <c r="GK760" s="124" t="n"/>
      <c r="GL760" s="124" t="n"/>
      <c r="GM760" s="124" t="n"/>
      <c r="GN760" s="124" t="n"/>
      <c r="GO760" s="124" t="n"/>
      <c r="GP760" s="124" t="n"/>
      <c r="GQ760" s="124" t="n"/>
      <c r="GR760" s="124" t="n"/>
      <c r="GS760" s="124" t="n"/>
      <c r="GT760" s="124" t="n"/>
      <c r="GU760" s="124" t="n"/>
      <c r="GV760" s="124" t="n"/>
      <c r="GW760" s="124" t="n"/>
      <c r="GX760" s="124" t="n"/>
      <c r="GY760" s="124" t="n"/>
      <c r="GZ760" s="124" t="n"/>
      <c r="HA760" s="124" t="n"/>
      <c r="HB760" s="124" t="n"/>
      <c r="HC760" s="124" t="n"/>
      <c r="HD760" s="124" t="n"/>
      <c r="HE760" s="124" t="n"/>
      <c r="HF760" s="124" t="n"/>
      <c r="HG760" s="124" t="n"/>
      <c r="HH760" s="124" t="n"/>
      <c r="HI760" s="124" t="n"/>
      <c r="HJ760" s="124" t="n"/>
      <c r="HK760" s="124" t="n"/>
      <c r="HL760" s="124" t="n"/>
    </row>
    <row r="761" customFormat="1" s="3">
      <c r="A761" s="33" t="inlineStr">
        <is>
          <t>7 этап</t>
        </is>
      </c>
      <c r="B761" s="34" t="n"/>
      <c r="C761" s="38" t="inlineStr">
        <is>
          <t>Монтаж труб ф 89х3,5</t>
        </is>
      </c>
      <c r="D761" s="36" t="inlineStr">
        <is>
          <t>м</t>
        </is>
      </c>
      <c r="E761" s="123" t="n">
        <v>160</v>
      </c>
      <c r="F761" s="124" t="n"/>
      <c r="G761" s="124" t="n"/>
      <c r="H761" s="124" t="n"/>
      <c r="I761" s="124" t="n"/>
      <c r="J761" s="124" t="n"/>
      <c r="K761" s="124" t="n"/>
      <c r="L761" s="124" t="n"/>
      <c r="M761" s="124" t="n"/>
      <c r="N761" s="124" t="n"/>
      <c r="O761" s="124" t="n"/>
      <c r="P761" s="124" t="n"/>
      <c r="Q761" s="124" t="n"/>
      <c r="R761" s="124" t="n"/>
      <c r="S761" s="124" t="n"/>
      <c r="T761" s="124" t="n"/>
      <c r="U761" s="124" t="n"/>
      <c r="V761" s="124" t="n"/>
      <c r="W761" s="124" t="n"/>
      <c r="X761" s="124" t="n"/>
      <c r="Y761" s="124" t="n"/>
      <c r="Z761" s="124" t="n"/>
      <c r="AA761" s="124" t="n"/>
      <c r="AB761" s="124" t="n"/>
      <c r="AC761" s="124" t="n"/>
      <c r="AD761" s="124" t="n"/>
      <c r="AE761" s="124" t="n"/>
      <c r="AF761" s="124" t="n"/>
      <c r="AG761" s="124" t="n"/>
      <c r="AH761" s="124" t="n"/>
      <c r="AI761" s="124" t="n"/>
      <c r="AJ761" s="124" t="n"/>
      <c r="AK761" s="124" t="n"/>
      <c r="AL761" s="124" t="n"/>
      <c r="AM761" s="124" t="n"/>
      <c r="AN761" s="124" t="n"/>
      <c r="AO761" s="124" t="n"/>
      <c r="AP761" s="124" t="n"/>
      <c r="AQ761" s="124" t="n"/>
      <c r="AR761" s="124" t="n"/>
      <c r="AS761" s="124" t="n"/>
      <c r="AT761" s="124" t="n"/>
      <c r="AU761" s="124" t="n"/>
      <c r="AV761" s="124" t="n"/>
      <c r="AW761" s="124" t="n"/>
      <c r="AX761" s="124" t="n"/>
      <c r="AY761" s="124" t="n"/>
      <c r="AZ761" s="124" t="n"/>
      <c r="BA761" s="124" t="n"/>
      <c r="BB761" s="124" t="n"/>
      <c r="BC761" s="124" t="n"/>
      <c r="BD761" s="124" t="n"/>
      <c r="BE761" s="124" t="n"/>
      <c r="BF761" s="124" t="n"/>
      <c r="BG761" s="124" t="n"/>
      <c r="BH761" s="124" t="n"/>
      <c r="BI761" s="124" t="n"/>
      <c r="BJ761" s="124" t="n"/>
      <c r="BK761" s="124" t="n"/>
      <c r="BL761" s="124" t="n"/>
      <c r="BM761" s="124" t="n"/>
      <c r="BN761" s="124" t="n"/>
      <c r="BO761" s="124" t="n"/>
      <c r="BP761" s="124" t="n"/>
      <c r="BQ761" s="124" t="n"/>
      <c r="BR761" s="124" t="n"/>
      <c r="BS761" s="124" t="n"/>
      <c r="BT761" s="124" t="n"/>
      <c r="BU761" s="124" t="n"/>
      <c r="BV761" s="124" t="n"/>
      <c r="BW761" s="124" t="n"/>
      <c r="BX761" s="124" t="n"/>
      <c r="BY761" s="124" t="n"/>
      <c r="BZ761" s="124" t="n"/>
      <c r="CA761" s="124" t="n"/>
      <c r="CB761" s="124" t="n"/>
      <c r="CC761" s="124" t="n"/>
      <c r="CD761" s="124" t="n"/>
      <c r="CE761" s="124" t="n"/>
      <c r="CF761" s="124" t="n"/>
      <c r="CG761" s="124" t="n"/>
      <c r="CH761" s="124" t="n"/>
      <c r="CI761" s="124" t="n"/>
      <c r="CJ761" s="124" t="n"/>
      <c r="CK761" s="124" t="n"/>
      <c r="CL761" s="124" t="n"/>
      <c r="CM761" s="124" t="n"/>
      <c r="CN761" s="124" t="n"/>
      <c r="CO761" s="124" t="n"/>
      <c r="CP761" s="124" t="n"/>
      <c r="CQ761" s="124" t="n"/>
      <c r="CR761" s="124" t="n"/>
      <c r="CS761" s="124" t="n"/>
      <c r="CT761" s="124" t="n"/>
      <c r="CU761" s="124" t="n"/>
      <c r="CV761" s="124" t="n"/>
      <c r="CW761" s="124" t="n"/>
      <c r="CX761" s="124" t="n"/>
      <c r="CY761" s="124" t="n"/>
      <c r="CZ761" s="124" t="n"/>
      <c r="DA761" s="124" t="n"/>
      <c r="DB761" s="124" t="n"/>
      <c r="DC761" s="124" t="n"/>
      <c r="DD761" s="124" t="n"/>
      <c r="DE761" s="124" t="n"/>
      <c r="DF761" s="124" t="n"/>
      <c r="DG761" s="124" t="n"/>
      <c r="DH761" s="124" t="n"/>
      <c r="DI761" s="124" t="n"/>
      <c r="DJ761" s="124" t="n"/>
      <c r="DK761" s="124" t="n"/>
      <c r="DL761" s="124" t="n"/>
      <c r="DM761" s="124" t="n"/>
      <c r="DN761" s="124" t="n"/>
      <c r="DO761" s="124" t="n"/>
      <c r="DP761" s="124" t="n"/>
      <c r="DQ761" s="124" t="n"/>
      <c r="DR761" s="124" t="n"/>
      <c r="DS761" s="124" t="n"/>
      <c r="DT761" s="124" t="n"/>
      <c r="DU761" s="124" t="n"/>
      <c r="DV761" s="124" t="n"/>
      <c r="DW761" s="124" t="n"/>
      <c r="DX761" s="124" t="n"/>
      <c r="DY761" s="124" t="n"/>
      <c r="DZ761" s="124" t="n"/>
      <c r="EA761" s="124" t="n"/>
      <c r="EB761" s="124" t="n"/>
      <c r="EC761" s="124" t="n"/>
      <c r="ED761" s="124" t="n"/>
      <c r="EE761" s="124" t="n"/>
      <c r="EF761" s="124" t="n"/>
      <c r="EG761" s="124" t="n"/>
      <c r="EH761" s="124" t="n"/>
      <c r="EI761" s="124" t="n"/>
      <c r="EJ761" s="124" t="n"/>
      <c r="EK761" s="124" t="n"/>
      <c r="EL761" s="124" t="n"/>
      <c r="EM761" s="124" t="n"/>
      <c r="EN761" s="124" t="n"/>
      <c r="EO761" s="124" t="n"/>
      <c r="EP761" s="124" t="n"/>
      <c r="EQ761" s="124" t="n"/>
      <c r="ER761" s="124" t="n"/>
      <c r="ES761" s="124" t="n"/>
      <c r="ET761" s="124" t="n"/>
      <c r="EU761" s="124" t="n"/>
      <c r="EV761" s="124" t="n"/>
      <c r="EW761" s="124" t="n"/>
      <c r="EX761" s="124" t="n"/>
      <c r="EY761" s="124" t="n"/>
      <c r="EZ761" s="124" t="n"/>
      <c r="FA761" s="124" t="n"/>
      <c r="FB761" s="124" t="n"/>
      <c r="FC761" s="124" t="n"/>
      <c r="FD761" s="124" t="n"/>
      <c r="FE761" s="124" t="n"/>
      <c r="FF761" s="124" t="n"/>
      <c r="FG761" s="124" t="n"/>
      <c r="FH761" s="124" t="n"/>
      <c r="FI761" s="124" t="n"/>
      <c r="FJ761" s="124" t="n"/>
      <c r="FK761" s="124" t="n"/>
      <c r="FL761" s="124" t="n"/>
      <c r="FM761" s="124" t="n"/>
      <c r="FN761" s="124" t="n"/>
      <c r="FO761" s="124" t="n"/>
      <c r="FP761" s="124" t="n"/>
      <c r="FQ761" s="124" t="n"/>
      <c r="FR761" s="124" t="n"/>
      <c r="FS761" s="124" t="n"/>
      <c r="FT761" s="124" t="n"/>
      <c r="FU761" s="124" t="n"/>
      <c r="FV761" s="124" t="n"/>
      <c r="FW761" s="124" t="n"/>
      <c r="FX761" s="124" t="n"/>
      <c r="FY761" s="124" t="n"/>
      <c r="FZ761" s="124" t="n"/>
      <c r="GA761" s="124" t="n"/>
      <c r="GB761" s="124" t="n"/>
      <c r="GC761" s="124" t="n"/>
      <c r="GD761" s="124" t="n"/>
      <c r="GE761" s="124" t="n"/>
      <c r="GF761" s="124" t="n"/>
      <c r="GG761" s="124" t="n"/>
      <c r="GH761" s="124" t="n"/>
      <c r="GI761" s="124" t="n"/>
      <c r="GJ761" s="124" t="n"/>
      <c r="GK761" s="124" t="n"/>
      <c r="GL761" s="124" t="n"/>
      <c r="GM761" s="124" t="n"/>
      <c r="GN761" s="124" t="n"/>
      <c r="GO761" s="124" t="n"/>
      <c r="GP761" s="124" t="n"/>
      <c r="GQ761" s="124" t="n"/>
      <c r="GR761" s="124" t="n"/>
      <c r="GS761" s="124" t="n"/>
      <c r="GT761" s="124" t="n"/>
      <c r="GU761" s="124" t="n"/>
      <c r="GV761" s="124" t="n"/>
      <c r="GW761" s="124" t="n"/>
      <c r="GX761" s="124" t="n"/>
      <c r="GY761" s="124" t="n"/>
      <c r="GZ761" s="124" t="n"/>
      <c r="HA761" s="124" t="n"/>
      <c r="HB761" s="124" t="n"/>
      <c r="HC761" s="124" t="n"/>
      <c r="HD761" s="124" t="n"/>
      <c r="HE761" s="124" t="n"/>
      <c r="HF761" s="124" t="n"/>
      <c r="HG761" s="124" t="n"/>
      <c r="HH761" s="124" t="n"/>
      <c r="HI761" s="124" t="n"/>
      <c r="HJ761" s="124" t="n"/>
      <c r="HK761" s="124" t="n"/>
      <c r="HL761" s="124" t="n"/>
    </row>
    <row r="762" customFormat="1" s="3">
      <c r="A762" s="33" t="inlineStr">
        <is>
          <t>7 этап</t>
        </is>
      </c>
      <c r="B762" s="34" t="n"/>
      <c r="C762" s="38" t="inlineStr">
        <is>
          <t>Монтаж труб ф 76х3</t>
        </is>
      </c>
      <c r="D762" s="36" t="inlineStr">
        <is>
          <t>м</t>
        </is>
      </c>
      <c r="E762" s="123" t="n">
        <v>180</v>
      </c>
      <c r="F762" s="124" t="n"/>
      <c r="G762" s="124" t="n"/>
      <c r="H762" s="124" t="n"/>
      <c r="I762" s="124" t="n"/>
      <c r="J762" s="124" t="n"/>
      <c r="K762" s="124" t="n"/>
      <c r="L762" s="124" t="n"/>
      <c r="M762" s="124" t="n"/>
      <c r="N762" s="124" t="n"/>
      <c r="O762" s="124" t="n"/>
      <c r="P762" s="124" t="n"/>
      <c r="Q762" s="124" t="n"/>
      <c r="R762" s="124" t="n"/>
      <c r="S762" s="124" t="n"/>
      <c r="T762" s="124" t="n"/>
      <c r="U762" s="124" t="n"/>
      <c r="V762" s="124" t="n"/>
      <c r="W762" s="124" t="n"/>
      <c r="X762" s="124" t="n"/>
      <c r="Y762" s="124" t="n"/>
      <c r="Z762" s="124" t="n"/>
      <c r="AA762" s="124" t="n"/>
      <c r="AB762" s="124" t="n"/>
      <c r="AC762" s="124" t="n"/>
      <c r="AD762" s="124" t="n"/>
      <c r="AE762" s="124" t="n"/>
      <c r="AF762" s="124" t="n"/>
      <c r="AG762" s="124" t="n"/>
      <c r="AH762" s="124" t="n"/>
      <c r="AI762" s="124" t="n"/>
      <c r="AJ762" s="124" t="n"/>
      <c r="AK762" s="124" t="n"/>
      <c r="AL762" s="124" t="n"/>
      <c r="AM762" s="124" t="n"/>
      <c r="AN762" s="124" t="n"/>
      <c r="AO762" s="124" t="n"/>
      <c r="AP762" s="124" t="n"/>
      <c r="AQ762" s="124" t="n"/>
      <c r="AR762" s="124" t="n"/>
      <c r="AS762" s="124" t="n"/>
      <c r="AT762" s="124" t="n"/>
      <c r="AU762" s="124" t="n"/>
      <c r="AV762" s="124" t="n"/>
      <c r="AW762" s="124" t="n"/>
      <c r="AX762" s="124" t="n"/>
      <c r="AY762" s="124" t="n"/>
      <c r="AZ762" s="124" t="n"/>
      <c r="BA762" s="124" t="n"/>
      <c r="BB762" s="124" t="n"/>
      <c r="BC762" s="124" t="n"/>
      <c r="BD762" s="124" t="n"/>
      <c r="BE762" s="124" t="n"/>
      <c r="BF762" s="124" t="n"/>
      <c r="BG762" s="124" t="n"/>
      <c r="BH762" s="124" t="n"/>
      <c r="BI762" s="124" t="n"/>
      <c r="BJ762" s="124" t="n"/>
      <c r="BK762" s="124" t="n"/>
      <c r="BL762" s="124" t="n"/>
      <c r="BM762" s="124" t="n"/>
      <c r="BN762" s="124" t="n"/>
      <c r="BO762" s="124" t="n"/>
      <c r="BP762" s="124" t="n"/>
      <c r="BQ762" s="124" t="n"/>
      <c r="BR762" s="124" t="n"/>
      <c r="BS762" s="124" t="n"/>
      <c r="BT762" s="124" t="n"/>
      <c r="BU762" s="124" t="n"/>
      <c r="BV762" s="124" t="n"/>
      <c r="BW762" s="124" t="n"/>
      <c r="BX762" s="124" t="n"/>
      <c r="BY762" s="124" t="n"/>
      <c r="BZ762" s="124" t="n"/>
      <c r="CA762" s="124" t="n"/>
      <c r="CB762" s="124" t="n"/>
      <c r="CC762" s="124" t="n"/>
      <c r="CD762" s="124" t="n"/>
      <c r="CE762" s="124" t="n"/>
      <c r="CF762" s="124" t="n"/>
      <c r="CG762" s="124" t="n"/>
      <c r="CH762" s="124" t="n"/>
      <c r="CI762" s="124" t="n"/>
      <c r="CJ762" s="124" t="n"/>
      <c r="CK762" s="124" t="n"/>
      <c r="CL762" s="124" t="n"/>
      <c r="CM762" s="124" t="n"/>
      <c r="CN762" s="124" t="n"/>
      <c r="CO762" s="124" t="n"/>
      <c r="CP762" s="124" t="n"/>
      <c r="CQ762" s="124" t="n"/>
      <c r="CR762" s="124" t="n"/>
      <c r="CS762" s="124" t="n"/>
      <c r="CT762" s="124" t="n"/>
      <c r="CU762" s="124" t="n"/>
      <c r="CV762" s="124" t="n"/>
      <c r="CW762" s="124" t="n"/>
      <c r="CX762" s="124" t="n"/>
      <c r="CY762" s="124" t="n"/>
      <c r="CZ762" s="124" t="n"/>
      <c r="DA762" s="124" t="n"/>
      <c r="DB762" s="124" t="n"/>
      <c r="DC762" s="124" t="n"/>
      <c r="DD762" s="124" t="n"/>
      <c r="DE762" s="124" t="n"/>
      <c r="DF762" s="124" t="n"/>
      <c r="DG762" s="124" t="n"/>
      <c r="DH762" s="124" t="n"/>
      <c r="DI762" s="124" t="n"/>
      <c r="DJ762" s="124" t="n"/>
      <c r="DK762" s="124" t="n"/>
      <c r="DL762" s="124" t="n"/>
      <c r="DM762" s="124" t="n"/>
      <c r="DN762" s="124" t="n"/>
      <c r="DO762" s="124" t="n"/>
      <c r="DP762" s="124" t="n"/>
      <c r="DQ762" s="124" t="n"/>
      <c r="DR762" s="124" t="n"/>
      <c r="DS762" s="124" t="n"/>
      <c r="DT762" s="124" t="n"/>
      <c r="DU762" s="124" t="n"/>
      <c r="DV762" s="124" t="n"/>
      <c r="DW762" s="124" t="n"/>
      <c r="DX762" s="124" t="n"/>
      <c r="DY762" s="124" t="n"/>
      <c r="DZ762" s="124" t="n"/>
      <c r="EA762" s="124" t="n"/>
      <c r="EB762" s="124" t="n"/>
      <c r="EC762" s="124" t="n"/>
      <c r="ED762" s="124" t="n"/>
      <c r="EE762" s="124" t="n"/>
      <c r="EF762" s="124" t="n"/>
      <c r="EG762" s="124" t="n"/>
      <c r="EH762" s="124" t="n"/>
      <c r="EI762" s="124" t="n"/>
      <c r="EJ762" s="124" t="n"/>
      <c r="EK762" s="124" t="n"/>
      <c r="EL762" s="124" t="n"/>
      <c r="EM762" s="124" t="n"/>
      <c r="EN762" s="124" t="n"/>
      <c r="EO762" s="124" t="n"/>
      <c r="EP762" s="124" t="n"/>
      <c r="EQ762" s="124" t="n"/>
      <c r="ER762" s="124" t="n"/>
      <c r="ES762" s="124" t="n"/>
      <c r="ET762" s="124" t="n"/>
      <c r="EU762" s="124" t="n"/>
      <c r="EV762" s="124" t="n"/>
      <c r="EW762" s="124" t="n"/>
      <c r="EX762" s="124" t="n"/>
      <c r="EY762" s="124" t="n"/>
      <c r="EZ762" s="124" t="n"/>
      <c r="FA762" s="124" t="n"/>
      <c r="FB762" s="124" t="n"/>
      <c r="FC762" s="124" t="n"/>
      <c r="FD762" s="124" t="n"/>
      <c r="FE762" s="124" t="n"/>
      <c r="FF762" s="124" t="n"/>
      <c r="FG762" s="124" t="n"/>
      <c r="FH762" s="124" t="n"/>
      <c r="FI762" s="124" t="n"/>
      <c r="FJ762" s="124" t="n"/>
      <c r="FK762" s="124" t="n"/>
      <c r="FL762" s="124" t="n"/>
      <c r="FM762" s="124" t="n"/>
      <c r="FN762" s="124" t="n"/>
      <c r="FO762" s="124" t="n"/>
      <c r="FP762" s="124" t="n"/>
      <c r="FQ762" s="124" t="n"/>
      <c r="FR762" s="124" t="n"/>
      <c r="FS762" s="124" t="n"/>
      <c r="FT762" s="124" t="n"/>
      <c r="FU762" s="124" t="n"/>
      <c r="FV762" s="124" t="n"/>
      <c r="FW762" s="124" t="n"/>
      <c r="FX762" s="124" t="n"/>
      <c r="FY762" s="124" t="n"/>
      <c r="FZ762" s="124" t="n"/>
      <c r="GA762" s="124" t="n"/>
      <c r="GB762" s="124" t="n"/>
      <c r="GC762" s="124" t="n"/>
      <c r="GD762" s="124" t="n"/>
      <c r="GE762" s="124" t="n"/>
      <c r="GF762" s="124" t="n"/>
      <c r="GG762" s="124" t="n"/>
      <c r="GH762" s="124" t="n"/>
      <c r="GI762" s="124" t="n"/>
      <c r="GJ762" s="124" t="n"/>
      <c r="GK762" s="124" t="n"/>
      <c r="GL762" s="124" t="n"/>
      <c r="GM762" s="124" t="n"/>
      <c r="GN762" s="124" t="n"/>
      <c r="GO762" s="124" t="n"/>
      <c r="GP762" s="124" t="n"/>
      <c r="GQ762" s="124" t="n"/>
      <c r="GR762" s="124" t="n"/>
      <c r="GS762" s="124" t="n"/>
      <c r="GT762" s="124" t="n"/>
      <c r="GU762" s="124" t="n"/>
      <c r="GV762" s="124" t="n"/>
      <c r="GW762" s="124" t="n"/>
      <c r="GX762" s="124" t="n"/>
      <c r="GY762" s="124" t="n"/>
      <c r="GZ762" s="124" t="n"/>
      <c r="HA762" s="124" t="n"/>
      <c r="HB762" s="124" t="n"/>
      <c r="HC762" s="124" t="n"/>
      <c r="HD762" s="124" t="n"/>
      <c r="HE762" s="124" t="n"/>
      <c r="HF762" s="124" t="n"/>
      <c r="HG762" s="124" t="n"/>
      <c r="HH762" s="124" t="n"/>
      <c r="HI762" s="124" t="n"/>
      <c r="HJ762" s="124" t="n"/>
      <c r="HK762" s="124" t="n"/>
      <c r="HL762" s="124" t="n"/>
    </row>
    <row r="763" customFormat="1" s="3">
      <c r="A763" s="33" t="inlineStr">
        <is>
          <t>7 этап</t>
        </is>
      </c>
      <c r="B763" s="34" t="n"/>
      <c r="C763" s="38" t="inlineStr">
        <is>
          <t>Монтаж труб ф 57х3</t>
        </is>
      </c>
      <c r="D763" s="36" t="inlineStr">
        <is>
          <t>м</t>
        </is>
      </c>
      <c r="E763" s="123" t="n">
        <v>90</v>
      </c>
      <c r="F763" s="124" t="n"/>
      <c r="G763" s="124" t="n"/>
      <c r="H763" s="124" t="n"/>
      <c r="I763" s="124" t="n"/>
      <c r="J763" s="124" t="n"/>
      <c r="K763" s="124" t="n"/>
      <c r="L763" s="124" t="n"/>
      <c r="M763" s="124" t="n"/>
      <c r="N763" s="124" t="n"/>
      <c r="O763" s="124" t="n"/>
      <c r="P763" s="124" t="n"/>
      <c r="Q763" s="124" t="n"/>
      <c r="R763" s="124" t="n"/>
      <c r="S763" s="124" t="n"/>
      <c r="T763" s="124" t="n"/>
      <c r="U763" s="124" t="n"/>
      <c r="V763" s="124" t="n"/>
      <c r="W763" s="124" t="n"/>
      <c r="X763" s="124" t="n"/>
      <c r="Y763" s="124" t="n"/>
      <c r="Z763" s="124" t="n"/>
      <c r="AA763" s="124" t="n"/>
      <c r="AB763" s="124" t="n"/>
      <c r="AC763" s="124" t="n"/>
      <c r="AD763" s="124" t="n"/>
      <c r="AE763" s="124" t="n"/>
      <c r="AF763" s="124" t="n"/>
      <c r="AG763" s="124" t="n"/>
      <c r="AH763" s="124" t="n"/>
      <c r="AI763" s="124" t="n"/>
      <c r="AJ763" s="124" t="n"/>
      <c r="AK763" s="124" t="n"/>
      <c r="AL763" s="124" t="n"/>
      <c r="AM763" s="124" t="n"/>
      <c r="AN763" s="124" t="n"/>
      <c r="AO763" s="124" t="n"/>
      <c r="AP763" s="124" t="n"/>
      <c r="AQ763" s="124" t="n"/>
      <c r="AR763" s="124" t="n"/>
      <c r="AS763" s="124" t="n"/>
      <c r="AT763" s="124" t="n"/>
      <c r="AU763" s="124" t="n"/>
      <c r="AV763" s="124" t="n"/>
      <c r="AW763" s="124" t="n"/>
      <c r="AX763" s="124" t="n"/>
      <c r="AY763" s="124" t="n"/>
      <c r="AZ763" s="124" t="n"/>
      <c r="BA763" s="124" t="n"/>
      <c r="BB763" s="124" t="n"/>
      <c r="BC763" s="124" t="n"/>
      <c r="BD763" s="124" t="n"/>
      <c r="BE763" s="124" t="n"/>
      <c r="BF763" s="124" t="n"/>
      <c r="BG763" s="124" t="n"/>
      <c r="BH763" s="124" t="n"/>
      <c r="BI763" s="124" t="n"/>
      <c r="BJ763" s="124" t="n"/>
      <c r="BK763" s="124" t="n"/>
      <c r="BL763" s="124" t="n"/>
      <c r="BM763" s="124" t="n"/>
      <c r="BN763" s="124" t="n"/>
      <c r="BO763" s="124" t="n"/>
      <c r="BP763" s="124" t="n"/>
      <c r="BQ763" s="124" t="n"/>
      <c r="BR763" s="124" t="n"/>
      <c r="BS763" s="124" t="n"/>
      <c r="BT763" s="124" t="n"/>
      <c r="BU763" s="124" t="n"/>
      <c r="BV763" s="124" t="n"/>
      <c r="BW763" s="124" t="n"/>
      <c r="BX763" s="124" t="n"/>
      <c r="BY763" s="124" t="n"/>
      <c r="BZ763" s="124" t="n"/>
      <c r="CA763" s="124" t="n"/>
      <c r="CB763" s="124" t="n"/>
      <c r="CC763" s="124" t="n"/>
      <c r="CD763" s="124" t="n"/>
      <c r="CE763" s="124" t="n"/>
      <c r="CF763" s="124" t="n"/>
      <c r="CG763" s="124" t="n"/>
      <c r="CH763" s="124" t="n"/>
      <c r="CI763" s="124" t="n"/>
      <c r="CJ763" s="124" t="n"/>
      <c r="CK763" s="124" t="n"/>
      <c r="CL763" s="124" t="n"/>
      <c r="CM763" s="124" t="n"/>
      <c r="CN763" s="124" t="n"/>
      <c r="CO763" s="124" t="n"/>
      <c r="CP763" s="124" t="n"/>
      <c r="CQ763" s="124" t="n"/>
      <c r="CR763" s="124" t="n"/>
      <c r="CS763" s="124" t="n"/>
      <c r="CT763" s="124" t="n"/>
      <c r="CU763" s="124" t="n"/>
      <c r="CV763" s="124" t="n"/>
      <c r="CW763" s="124" t="n"/>
      <c r="CX763" s="124" t="n"/>
      <c r="CY763" s="124" t="n"/>
      <c r="CZ763" s="124" t="n"/>
      <c r="DA763" s="124" t="n"/>
      <c r="DB763" s="124" t="n"/>
      <c r="DC763" s="124" t="n"/>
      <c r="DD763" s="124" t="n"/>
      <c r="DE763" s="124" t="n"/>
      <c r="DF763" s="124" t="n"/>
      <c r="DG763" s="124" t="n"/>
      <c r="DH763" s="124" t="n"/>
      <c r="DI763" s="124" t="n"/>
      <c r="DJ763" s="124" t="n"/>
      <c r="DK763" s="124" t="n"/>
      <c r="DL763" s="124" t="n"/>
      <c r="DM763" s="124" t="n"/>
      <c r="DN763" s="124" t="n"/>
      <c r="DO763" s="124" t="n"/>
      <c r="DP763" s="124" t="n"/>
      <c r="DQ763" s="124" t="n"/>
      <c r="DR763" s="124" t="n"/>
      <c r="DS763" s="124" t="n"/>
      <c r="DT763" s="124" t="n"/>
      <c r="DU763" s="124" t="n"/>
      <c r="DV763" s="124" t="n"/>
      <c r="DW763" s="124" t="n"/>
      <c r="DX763" s="124" t="n"/>
      <c r="DY763" s="124" t="n"/>
      <c r="DZ763" s="124" t="n"/>
      <c r="EA763" s="124" t="n"/>
      <c r="EB763" s="124" t="n"/>
      <c r="EC763" s="124" t="n"/>
      <c r="ED763" s="124" t="n"/>
      <c r="EE763" s="124" t="n"/>
      <c r="EF763" s="124" t="n"/>
      <c r="EG763" s="124" t="n"/>
      <c r="EH763" s="124" t="n"/>
      <c r="EI763" s="124" t="n"/>
      <c r="EJ763" s="124" t="n"/>
      <c r="EK763" s="124" t="n"/>
      <c r="EL763" s="124" t="n"/>
      <c r="EM763" s="124" t="n"/>
      <c r="EN763" s="124" t="n"/>
      <c r="EO763" s="124" t="n"/>
      <c r="EP763" s="124" t="n"/>
      <c r="EQ763" s="124" t="n"/>
      <c r="ER763" s="124" t="n"/>
      <c r="ES763" s="124" t="n"/>
      <c r="ET763" s="124" t="n"/>
      <c r="EU763" s="124" t="n"/>
      <c r="EV763" s="124" t="n"/>
      <c r="EW763" s="124" t="n"/>
      <c r="EX763" s="124" t="n"/>
      <c r="EY763" s="124" t="n"/>
      <c r="EZ763" s="124" t="n"/>
      <c r="FA763" s="124" t="n"/>
      <c r="FB763" s="124" t="n"/>
      <c r="FC763" s="124" t="n"/>
      <c r="FD763" s="124" t="n"/>
      <c r="FE763" s="124" t="n"/>
      <c r="FF763" s="124" t="n"/>
      <c r="FG763" s="124" t="n"/>
      <c r="FH763" s="124" t="n"/>
      <c r="FI763" s="124" t="n"/>
      <c r="FJ763" s="124" t="n"/>
      <c r="FK763" s="124" t="n"/>
      <c r="FL763" s="124" t="n"/>
      <c r="FM763" s="124" t="n"/>
      <c r="FN763" s="124" t="n"/>
      <c r="FO763" s="124" t="n"/>
      <c r="FP763" s="124" t="n"/>
      <c r="FQ763" s="124" t="n"/>
      <c r="FR763" s="124" t="n"/>
      <c r="FS763" s="124" t="n"/>
      <c r="FT763" s="124" t="n"/>
      <c r="FU763" s="124" t="n"/>
      <c r="FV763" s="124" t="n"/>
      <c r="FW763" s="124" t="n"/>
      <c r="FX763" s="124" t="n"/>
      <c r="FY763" s="124" t="n"/>
      <c r="FZ763" s="124" t="n"/>
      <c r="GA763" s="124" t="n"/>
      <c r="GB763" s="124" t="n"/>
      <c r="GC763" s="124" t="n"/>
      <c r="GD763" s="124" t="n"/>
      <c r="GE763" s="124" t="n"/>
      <c r="GF763" s="124" t="n"/>
      <c r="GG763" s="124" t="n"/>
      <c r="GH763" s="124" t="n"/>
      <c r="GI763" s="124" t="n"/>
      <c r="GJ763" s="124" t="n"/>
      <c r="GK763" s="124" t="n"/>
      <c r="GL763" s="124" t="n"/>
      <c r="GM763" s="124" t="n"/>
      <c r="GN763" s="124" t="n"/>
      <c r="GO763" s="124" t="n"/>
      <c r="GP763" s="124" t="n"/>
      <c r="GQ763" s="124" t="n"/>
      <c r="GR763" s="124" t="n"/>
      <c r="GS763" s="124" t="n"/>
      <c r="GT763" s="124" t="n"/>
      <c r="GU763" s="124" t="n"/>
      <c r="GV763" s="124" t="n"/>
      <c r="GW763" s="124" t="n"/>
      <c r="GX763" s="124" t="n"/>
      <c r="GY763" s="124" t="n"/>
      <c r="GZ763" s="124" t="n"/>
      <c r="HA763" s="124" t="n"/>
      <c r="HB763" s="124" t="n"/>
      <c r="HC763" s="124" t="n"/>
      <c r="HD763" s="124" t="n"/>
      <c r="HE763" s="124" t="n"/>
      <c r="HF763" s="124" t="n"/>
      <c r="HG763" s="124" t="n"/>
      <c r="HH763" s="124" t="n"/>
      <c r="HI763" s="124" t="n"/>
      <c r="HJ763" s="124" t="n"/>
      <c r="HK763" s="124" t="n"/>
      <c r="HL763" s="124" t="n"/>
    </row>
    <row r="764" customFormat="1" s="3">
      <c r="A764" s="33" t="inlineStr">
        <is>
          <t>7 этап</t>
        </is>
      </c>
      <c r="B764" s="34" t="n"/>
      <c r="C764" s="38" t="inlineStr">
        <is>
          <t>Монтаж труб ф 40х3</t>
        </is>
      </c>
      <c r="D764" s="36" t="inlineStr">
        <is>
          <t>м</t>
        </is>
      </c>
      <c r="E764" s="123" t="n">
        <v>90</v>
      </c>
      <c r="F764" s="124" t="n"/>
      <c r="G764" s="124" t="n"/>
      <c r="H764" s="124" t="n"/>
      <c r="I764" s="124" t="n"/>
      <c r="J764" s="124" t="n"/>
      <c r="K764" s="124" t="n"/>
      <c r="L764" s="124" t="n"/>
      <c r="M764" s="124" t="n"/>
      <c r="N764" s="124" t="n"/>
      <c r="O764" s="124" t="n"/>
      <c r="P764" s="124" t="n"/>
      <c r="Q764" s="124" t="n"/>
      <c r="R764" s="124" t="n"/>
      <c r="S764" s="124" t="n"/>
      <c r="T764" s="124" t="n"/>
      <c r="U764" s="124" t="n"/>
      <c r="V764" s="124" t="n"/>
      <c r="W764" s="124" t="n"/>
      <c r="X764" s="124" t="n"/>
      <c r="Y764" s="124" t="n"/>
      <c r="Z764" s="124" t="n"/>
      <c r="AA764" s="124" t="n"/>
      <c r="AB764" s="124" t="n"/>
      <c r="AC764" s="124" t="n"/>
      <c r="AD764" s="124" t="n"/>
      <c r="AE764" s="124" t="n"/>
      <c r="AF764" s="124" t="n"/>
      <c r="AG764" s="124" t="n"/>
      <c r="AH764" s="124" t="n"/>
      <c r="AI764" s="124" t="n"/>
      <c r="AJ764" s="124" t="n"/>
      <c r="AK764" s="124" t="n"/>
      <c r="AL764" s="124" t="n"/>
      <c r="AM764" s="124" t="n"/>
      <c r="AN764" s="124" t="n"/>
      <c r="AO764" s="124" t="n"/>
      <c r="AP764" s="124" t="n"/>
      <c r="AQ764" s="124" t="n"/>
      <c r="AR764" s="124" t="n"/>
      <c r="AS764" s="124" t="n"/>
      <c r="AT764" s="124" t="n"/>
      <c r="AU764" s="124" t="n"/>
      <c r="AV764" s="124" t="n"/>
      <c r="AW764" s="124" t="n"/>
      <c r="AX764" s="124" t="n"/>
      <c r="AY764" s="124" t="n"/>
      <c r="AZ764" s="124" t="n"/>
      <c r="BA764" s="124" t="n"/>
      <c r="BB764" s="124" t="n"/>
      <c r="BC764" s="124" t="n"/>
      <c r="BD764" s="124" t="n"/>
      <c r="BE764" s="124" t="n"/>
      <c r="BF764" s="124" t="n"/>
      <c r="BG764" s="124" t="n"/>
      <c r="BH764" s="124" t="n"/>
      <c r="BI764" s="124" t="n"/>
      <c r="BJ764" s="124" t="n"/>
      <c r="BK764" s="124" t="n"/>
      <c r="BL764" s="124" t="n"/>
      <c r="BM764" s="124" t="n"/>
      <c r="BN764" s="124" t="n"/>
      <c r="BO764" s="124" t="n"/>
      <c r="BP764" s="124" t="n"/>
      <c r="BQ764" s="124" t="n"/>
      <c r="BR764" s="124" t="n"/>
      <c r="BS764" s="124" t="n"/>
      <c r="BT764" s="124" t="n"/>
      <c r="BU764" s="124" t="n"/>
      <c r="BV764" s="124" t="n"/>
      <c r="BW764" s="124" t="n"/>
      <c r="BX764" s="124" t="n"/>
      <c r="BY764" s="124" t="n"/>
      <c r="BZ764" s="124" t="n"/>
      <c r="CA764" s="124" t="n"/>
      <c r="CB764" s="124" t="n"/>
      <c r="CC764" s="124" t="n"/>
      <c r="CD764" s="124" t="n"/>
      <c r="CE764" s="124" t="n"/>
      <c r="CF764" s="124" t="n"/>
      <c r="CG764" s="124" t="n"/>
      <c r="CH764" s="124" t="n"/>
      <c r="CI764" s="124" t="n"/>
      <c r="CJ764" s="124" t="n"/>
      <c r="CK764" s="124" t="n"/>
      <c r="CL764" s="124" t="n"/>
      <c r="CM764" s="124" t="n"/>
      <c r="CN764" s="124" t="n"/>
      <c r="CO764" s="124" t="n"/>
      <c r="CP764" s="124" t="n"/>
      <c r="CQ764" s="124" t="n"/>
      <c r="CR764" s="124" t="n"/>
      <c r="CS764" s="124" t="n"/>
      <c r="CT764" s="124" t="n"/>
      <c r="CU764" s="124" t="n"/>
      <c r="CV764" s="124" t="n"/>
      <c r="CW764" s="124" t="n"/>
      <c r="CX764" s="124" t="n"/>
      <c r="CY764" s="124" t="n"/>
      <c r="CZ764" s="124" t="n"/>
      <c r="DA764" s="124" t="n"/>
      <c r="DB764" s="124" t="n"/>
      <c r="DC764" s="124" t="n"/>
      <c r="DD764" s="124" t="n"/>
      <c r="DE764" s="124" t="n"/>
      <c r="DF764" s="124" t="n"/>
      <c r="DG764" s="124" t="n"/>
      <c r="DH764" s="124" t="n"/>
      <c r="DI764" s="124" t="n"/>
      <c r="DJ764" s="124" t="n"/>
      <c r="DK764" s="124" t="n"/>
      <c r="DL764" s="124" t="n"/>
      <c r="DM764" s="124" t="n"/>
      <c r="DN764" s="124" t="n"/>
      <c r="DO764" s="124" t="n"/>
      <c r="DP764" s="124" t="n"/>
      <c r="DQ764" s="124" t="n"/>
      <c r="DR764" s="124" t="n"/>
      <c r="DS764" s="124" t="n"/>
      <c r="DT764" s="124" t="n"/>
      <c r="DU764" s="124" t="n"/>
      <c r="DV764" s="124" t="n"/>
      <c r="DW764" s="124" t="n"/>
      <c r="DX764" s="124" t="n"/>
      <c r="DY764" s="124" t="n"/>
      <c r="DZ764" s="124" t="n"/>
      <c r="EA764" s="124" t="n"/>
      <c r="EB764" s="124" t="n"/>
      <c r="EC764" s="124" t="n"/>
      <c r="ED764" s="124" t="n"/>
      <c r="EE764" s="124" t="n"/>
      <c r="EF764" s="124" t="n"/>
      <c r="EG764" s="124" t="n"/>
      <c r="EH764" s="124" t="n"/>
      <c r="EI764" s="124" t="n"/>
      <c r="EJ764" s="124" t="n"/>
      <c r="EK764" s="124" t="n"/>
      <c r="EL764" s="124" t="n"/>
      <c r="EM764" s="124" t="n"/>
      <c r="EN764" s="124" t="n"/>
      <c r="EO764" s="124" t="n"/>
      <c r="EP764" s="124" t="n"/>
      <c r="EQ764" s="124" t="n"/>
      <c r="ER764" s="124" t="n"/>
      <c r="ES764" s="124" t="n"/>
      <c r="ET764" s="124" t="n"/>
      <c r="EU764" s="124" t="n"/>
      <c r="EV764" s="124" t="n"/>
      <c r="EW764" s="124" t="n"/>
      <c r="EX764" s="124" t="n"/>
      <c r="EY764" s="124" t="n"/>
      <c r="EZ764" s="124" t="n"/>
      <c r="FA764" s="124" t="n"/>
      <c r="FB764" s="124" t="n"/>
      <c r="FC764" s="124" t="n"/>
      <c r="FD764" s="124" t="n"/>
      <c r="FE764" s="124" t="n"/>
      <c r="FF764" s="124" t="n"/>
      <c r="FG764" s="124" t="n"/>
      <c r="FH764" s="124" t="n"/>
      <c r="FI764" s="124" t="n"/>
      <c r="FJ764" s="124" t="n"/>
      <c r="FK764" s="124" t="n"/>
      <c r="FL764" s="124" t="n"/>
      <c r="FM764" s="124" t="n"/>
      <c r="FN764" s="124" t="n"/>
      <c r="FO764" s="124" t="n"/>
      <c r="FP764" s="124" t="n"/>
      <c r="FQ764" s="124" t="n"/>
      <c r="FR764" s="124" t="n"/>
      <c r="FS764" s="124" t="n"/>
      <c r="FT764" s="124" t="n"/>
      <c r="FU764" s="124" t="n"/>
      <c r="FV764" s="124" t="n"/>
      <c r="FW764" s="124" t="n"/>
      <c r="FX764" s="124" t="n"/>
      <c r="FY764" s="124" t="n"/>
      <c r="FZ764" s="124" t="n"/>
      <c r="GA764" s="124" t="n"/>
      <c r="GB764" s="124" t="n"/>
      <c r="GC764" s="124" t="n"/>
      <c r="GD764" s="124" t="n"/>
      <c r="GE764" s="124" t="n"/>
      <c r="GF764" s="124" t="n"/>
      <c r="GG764" s="124" t="n"/>
      <c r="GH764" s="124" t="n"/>
      <c r="GI764" s="124" t="n"/>
      <c r="GJ764" s="124" t="n"/>
      <c r="GK764" s="124" t="n"/>
      <c r="GL764" s="124" t="n"/>
      <c r="GM764" s="124" t="n"/>
      <c r="GN764" s="124" t="n"/>
      <c r="GO764" s="124" t="n"/>
      <c r="GP764" s="124" t="n"/>
      <c r="GQ764" s="124" t="n"/>
      <c r="GR764" s="124" t="n"/>
      <c r="GS764" s="124" t="n"/>
      <c r="GT764" s="124" t="n"/>
      <c r="GU764" s="124" t="n"/>
      <c r="GV764" s="124" t="n"/>
      <c r="GW764" s="124" t="n"/>
      <c r="GX764" s="124" t="n"/>
      <c r="GY764" s="124" t="n"/>
      <c r="GZ764" s="124" t="n"/>
      <c r="HA764" s="124" t="n"/>
      <c r="HB764" s="124" t="n"/>
      <c r="HC764" s="124" t="n"/>
      <c r="HD764" s="124" t="n"/>
      <c r="HE764" s="124" t="n"/>
      <c r="HF764" s="124" t="n"/>
      <c r="HG764" s="124" t="n"/>
      <c r="HH764" s="124" t="n"/>
      <c r="HI764" s="124" t="n"/>
      <c r="HJ764" s="124" t="n"/>
      <c r="HK764" s="124" t="n"/>
      <c r="HL764" s="124" t="n"/>
    </row>
    <row r="765" customFormat="1" s="3">
      <c r="A765" s="33" t="inlineStr">
        <is>
          <t>7 этап</t>
        </is>
      </c>
      <c r="B765" s="34" t="n"/>
      <c r="C765" s="38" t="inlineStr">
        <is>
          <t>Монтаж труб ф 25х2,8</t>
        </is>
      </c>
      <c r="D765" s="36" t="inlineStr">
        <is>
          <t>м</t>
        </is>
      </c>
      <c r="E765" s="123" t="n">
        <v>4</v>
      </c>
      <c r="F765" s="124" t="n"/>
      <c r="G765" s="124" t="n"/>
      <c r="H765" s="124" t="n"/>
      <c r="I765" s="124" t="n"/>
      <c r="J765" s="124" t="n"/>
      <c r="K765" s="124" t="n"/>
      <c r="L765" s="124" t="n"/>
      <c r="M765" s="124" t="n"/>
      <c r="N765" s="124" t="n"/>
      <c r="O765" s="124" t="n"/>
      <c r="P765" s="124" t="n"/>
      <c r="Q765" s="124" t="n"/>
      <c r="R765" s="124" t="n"/>
      <c r="S765" s="124" t="n"/>
      <c r="T765" s="124" t="n"/>
      <c r="U765" s="124" t="n"/>
      <c r="V765" s="124" t="n"/>
      <c r="W765" s="124" t="n"/>
      <c r="X765" s="124" t="n"/>
      <c r="Y765" s="124" t="n"/>
      <c r="Z765" s="124" t="n"/>
      <c r="AA765" s="124" t="n"/>
      <c r="AB765" s="124" t="n"/>
      <c r="AC765" s="124" t="n"/>
      <c r="AD765" s="124" t="n"/>
      <c r="AE765" s="124" t="n"/>
      <c r="AF765" s="124" t="n"/>
      <c r="AG765" s="124" t="n"/>
      <c r="AH765" s="124" t="n"/>
      <c r="AI765" s="124" t="n"/>
      <c r="AJ765" s="124" t="n"/>
      <c r="AK765" s="124" t="n"/>
      <c r="AL765" s="124" t="n"/>
      <c r="AM765" s="124" t="n"/>
      <c r="AN765" s="124" t="n"/>
      <c r="AO765" s="124" t="n"/>
      <c r="AP765" s="124" t="n"/>
      <c r="AQ765" s="124" t="n"/>
      <c r="AR765" s="124" t="n"/>
      <c r="AS765" s="124" t="n"/>
      <c r="AT765" s="124" t="n"/>
      <c r="AU765" s="124" t="n"/>
      <c r="AV765" s="124" t="n"/>
      <c r="AW765" s="124" t="n"/>
      <c r="AX765" s="124" t="n"/>
      <c r="AY765" s="124" t="n"/>
      <c r="AZ765" s="124" t="n"/>
      <c r="BA765" s="124" t="n"/>
      <c r="BB765" s="124" t="n"/>
      <c r="BC765" s="124" t="n"/>
      <c r="BD765" s="124" t="n"/>
      <c r="BE765" s="124" t="n"/>
      <c r="BF765" s="124" t="n"/>
      <c r="BG765" s="124" t="n"/>
      <c r="BH765" s="124" t="n"/>
      <c r="BI765" s="124" t="n"/>
      <c r="BJ765" s="124" t="n"/>
      <c r="BK765" s="124" t="n"/>
      <c r="BL765" s="124" t="n"/>
      <c r="BM765" s="124" t="n"/>
      <c r="BN765" s="124" t="n"/>
      <c r="BO765" s="124" t="n"/>
      <c r="BP765" s="124" t="n"/>
      <c r="BQ765" s="124" t="n"/>
      <c r="BR765" s="124" t="n"/>
      <c r="BS765" s="124" t="n"/>
      <c r="BT765" s="124" t="n"/>
      <c r="BU765" s="124" t="n"/>
      <c r="BV765" s="124" t="n"/>
      <c r="BW765" s="124" t="n"/>
      <c r="BX765" s="124" t="n"/>
      <c r="BY765" s="124" t="n"/>
      <c r="BZ765" s="124" t="n"/>
      <c r="CA765" s="124" t="n"/>
      <c r="CB765" s="124" t="n"/>
      <c r="CC765" s="124" t="n"/>
      <c r="CD765" s="124" t="n"/>
      <c r="CE765" s="124" t="n"/>
      <c r="CF765" s="124" t="n"/>
      <c r="CG765" s="124" t="n"/>
      <c r="CH765" s="124" t="n"/>
      <c r="CI765" s="124" t="n"/>
      <c r="CJ765" s="124" t="n"/>
      <c r="CK765" s="124" t="n"/>
      <c r="CL765" s="124" t="n"/>
      <c r="CM765" s="124" t="n"/>
      <c r="CN765" s="124" t="n"/>
      <c r="CO765" s="124" t="n"/>
      <c r="CP765" s="124" t="n"/>
      <c r="CQ765" s="124" t="n"/>
      <c r="CR765" s="124" t="n"/>
      <c r="CS765" s="124" t="n"/>
      <c r="CT765" s="124" t="n"/>
      <c r="CU765" s="124" t="n"/>
      <c r="CV765" s="124" t="n"/>
      <c r="CW765" s="124" t="n"/>
      <c r="CX765" s="124" t="n"/>
      <c r="CY765" s="124" t="n"/>
      <c r="CZ765" s="124" t="n"/>
      <c r="DA765" s="124" t="n"/>
      <c r="DB765" s="124" t="n"/>
      <c r="DC765" s="124" t="n"/>
      <c r="DD765" s="124" t="n"/>
      <c r="DE765" s="124" t="n"/>
      <c r="DF765" s="124" t="n"/>
      <c r="DG765" s="124" t="n"/>
      <c r="DH765" s="124" t="n"/>
      <c r="DI765" s="124" t="n"/>
      <c r="DJ765" s="124" t="n"/>
      <c r="DK765" s="124" t="n"/>
      <c r="DL765" s="124" t="n"/>
      <c r="DM765" s="124" t="n"/>
      <c r="DN765" s="124" t="n"/>
      <c r="DO765" s="124" t="n"/>
      <c r="DP765" s="124" t="n"/>
      <c r="DQ765" s="124" t="n"/>
      <c r="DR765" s="124" t="n"/>
      <c r="DS765" s="124" t="n"/>
      <c r="DT765" s="124" t="n"/>
      <c r="DU765" s="124" t="n"/>
      <c r="DV765" s="124" t="n"/>
      <c r="DW765" s="124" t="n"/>
      <c r="DX765" s="124" t="n"/>
      <c r="DY765" s="124" t="n"/>
      <c r="DZ765" s="124" t="n"/>
      <c r="EA765" s="124" t="n"/>
      <c r="EB765" s="124" t="n"/>
      <c r="EC765" s="124" t="n"/>
      <c r="ED765" s="124" t="n"/>
      <c r="EE765" s="124" t="n"/>
      <c r="EF765" s="124" t="n"/>
      <c r="EG765" s="124" t="n"/>
      <c r="EH765" s="124" t="n"/>
      <c r="EI765" s="124" t="n"/>
      <c r="EJ765" s="124" t="n"/>
      <c r="EK765" s="124" t="n"/>
      <c r="EL765" s="124" t="n"/>
      <c r="EM765" s="124" t="n"/>
      <c r="EN765" s="124" t="n"/>
      <c r="EO765" s="124" t="n"/>
      <c r="EP765" s="124" t="n"/>
      <c r="EQ765" s="124" t="n"/>
      <c r="ER765" s="124" t="n"/>
      <c r="ES765" s="124" t="n"/>
      <c r="ET765" s="124" t="n"/>
      <c r="EU765" s="124" t="n"/>
      <c r="EV765" s="124" t="n"/>
      <c r="EW765" s="124" t="n"/>
      <c r="EX765" s="124" t="n"/>
      <c r="EY765" s="124" t="n"/>
      <c r="EZ765" s="124" t="n"/>
      <c r="FA765" s="124" t="n"/>
      <c r="FB765" s="124" t="n"/>
      <c r="FC765" s="124" t="n"/>
      <c r="FD765" s="124" t="n"/>
      <c r="FE765" s="124" t="n"/>
      <c r="FF765" s="124" t="n"/>
      <c r="FG765" s="124" t="n"/>
      <c r="FH765" s="124" t="n"/>
      <c r="FI765" s="124" t="n"/>
      <c r="FJ765" s="124" t="n"/>
      <c r="FK765" s="124" t="n"/>
      <c r="FL765" s="124" t="n"/>
      <c r="FM765" s="124" t="n"/>
      <c r="FN765" s="124" t="n"/>
      <c r="FO765" s="124" t="n"/>
      <c r="FP765" s="124" t="n"/>
      <c r="FQ765" s="124" t="n"/>
      <c r="FR765" s="124" t="n"/>
      <c r="FS765" s="124" t="n"/>
      <c r="FT765" s="124" t="n"/>
      <c r="FU765" s="124" t="n"/>
      <c r="FV765" s="124" t="n"/>
      <c r="FW765" s="124" t="n"/>
      <c r="FX765" s="124" t="n"/>
      <c r="FY765" s="124" t="n"/>
      <c r="FZ765" s="124" t="n"/>
      <c r="GA765" s="124" t="n"/>
      <c r="GB765" s="124" t="n"/>
      <c r="GC765" s="124" t="n"/>
      <c r="GD765" s="124" t="n"/>
      <c r="GE765" s="124" t="n"/>
      <c r="GF765" s="124" t="n"/>
      <c r="GG765" s="124" t="n"/>
      <c r="GH765" s="124" t="n"/>
      <c r="GI765" s="124" t="n"/>
      <c r="GJ765" s="124" t="n"/>
      <c r="GK765" s="124" t="n"/>
      <c r="GL765" s="124" t="n"/>
      <c r="GM765" s="124" t="n"/>
      <c r="GN765" s="124" t="n"/>
      <c r="GO765" s="124" t="n"/>
      <c r="GP765" s="124" t="n"/>
      <c r="GQ765" s="124" t="n"/>
      <c r="GR765" s="124" t="n"/>
      <c r="GS765" s="124" t="n"/>
      <c r="GT765" s="124" t="n"/>
      <c r="GU765" s="124" t="n"/>
      <c r="GV765" s="124" t="n"/>
      <c r="GW765" s="124" t="n"/>
      <c r="GX765" s="124" t="n"/>
      <c r="GY765" s="124" t="n"/>
      <c r="GZ765" s="124" t="n"/>
      <c r="HA765" s="124" t="n"/>
      <c r="HB765" s="124" t="n"/>
      <c r="HC765" s="124" t="n"/>
      <c r="HD765" s="124" t="n"/>
      <c r="HE765" s="124" t="n"/>
      <c r="HF765" s="124" t="n"/>
      <c r="HG765" s="124" t="n"/>
      <c r="HH765" s="124" t="n"/>
      <c r="HI765" s="124" t="n"/>
      <c r="HJ765" s="124" t="n"/>
      <c r="HK765" s="124" t="n"/>
      <c r="HL765" s="124" t="n"/>
    </row>
    <row r="766" ht="27.6" customFormat="1" customHeight="1" s="3">
      <c r="A766" s="33" t="inlineStr">
        <is>
          <t>7 этап</t>
        </is>
      </c>
      <c r="B766" s="34" t="n"/>
      <c r="C766" s="38" t="inlineStr">
        <is>
          <t>Изоляция труб органо-силикатная АС-8а (ОС-51-03)/ четыре слоя с отвердителем /ТУ84-725-83</t>
        </is>
      </c>
      <c r="D766" s="36" t="inlineStr">
        <is>
          <t>м2</t>
        </is>
      </c>
      <c r="E766" s="123" t="n">
        <v>184.73</v>
      </c>
      <c r="F766" s="124" t="n"/>
      <c r="G766" s="124" t="n"/>
      <c r="H766" s="124" t="n"/>
      <c r="I766" s="124" t="n"/>
      <c r="J766" s="124" t="n"/>
      <c r="K766" s="124" t="n"/>
      <c r="L766" s="124" t="n"/>
      <c r="M766" s="124" t="n"/>
      <c r="N766" s="124" t="n"/>
      <c r="O766" s="124" t="n"/>
      <c r="P766" s="124" t="n"/>
      <c r="Q766" s="124" t="n"/>
      <c r="R766" s="124" t="n"/>
      <c r="S766" s="124" t="n"/>
      <c r="T766" s="124" t="n"/>
      <c r="U766" s="124" t="n"/>
      <c r="V766" s="124" t="n"/>
      <c r="W766" s="124" t="n"/>
      <c r="X766" s="124" t="n"/>
      <c r="Y766" s="124" t="n"/>
      <c r="Z766" s="124" t="n"/>
      <c r="AA766" s="124" t="n"/>
      <c r="AB766" s="124" t="n"/>
      <c r="AC766" s="124" t="n"/>
      <c r="AD766" s="124" t="n"/>
      <c r="AE766" s="124" t="n"/>
      <c r="AF766" s="124" t="n"/>
      <c r="AG766" s="124" t="n"/>
      <c r="AH766" s="124" t="n"/>
      <c r="AI766" s="124" t="n"/>
      <c r="AJ766" s="124" t="n"/>
      <c r="AK766" s="124" t="n"/>
      <c r="AL766" s="124" t="n"/>
      <c r="AM766" s="124" t="n"/>
      <c r="AN766" s="124" t="n"/>
      <c r="AO766" s="124" t="n"/>
      <c r="AP766" s="124" t="n"/>
      <c r="AQ766" s="124" t="n"/>
      <c r="AR766" s="124" t="n"/>
      <c r="AS766" s="124" t="n"/>
      <c r="AT766" s="124" t="n"/>
      <c r="AU766" s="124" t="n"/>
      <c r="AV766" s="124" t="n"/>
      <c r="AW766" s="124" t="n"/>
      <c r="AX766" s="124" t="n"/>
      <c r="AY766" s="124" t="n"/>
      <c r="AZ766" s="124" t="n"/>
      <c r="BA766" s="124" t="n"/>
      <c r="BB766" s="124" t="n"/>
      <c r="BC766" s="124" t="n"/>
      <c r="BD766" s="124" t="n"/>
      <c r="BE766" s="124" t="n"/>
      <c r="BF766" s="124" t="n"/>
      <c r="BG766" s="124" t="n"/>
      <c r="BH766" s="124" t="n"/>
      <c r="BI766" s="124" t="n"/>
      <c r="BJ766" s="124" t="n"/>
      <c r="BK766" s="124" t="n"/>
      <c r="BL766" s="124" t="n"/>
      <c r="BM766" s="124" t="n"/>
      <c r="BN766" s="124" t="n"/>
      <c r="BO766" s="124" t="n"/>
      <c r="BP766" s="124" t="n"/>
      <c r="BQ766" s="124" t="n"/>
      <c r="BR766" s="124" t="n"/>
      <c r="BS766" s="124" t="n"/>
      <c r="BT766" s="124" t="n"/>
      <c r="BU766" s="124" t="n"/>
      <c r="BV766" s="124" t="n"/>
      <c r="BW766" s="124" t="n"/>
      <c r="BX766" s="124" t="n"/>
      <c r="BY766" s="124" t="n"/>
      <c r="BZ766" s="124" t="n"/>
      <c r="CA766" s="124" t="n"/>
      <c r="CB766" s="124" t="n"/>
      <c r="CC766" s="124" t="n"/>
      <c r="CD766" s="124" t="n"/>
      <c r="CE766" s="124" t="n"/>
      <c r="CF766" s="124" t="n"/>
      <c r="CG766" s="124" t="n"/>
      <c r="CH766" s="124" t="n"/>
      <c r="CI766" s="124" t="n"/>
      <c r="CJ766" s="124" t="n"/>
      <c r="CK766" s="124" t="n"/>
      <c r="CL766" s="124" t="n"/>
      <c r="CM766" s="124" t="n"/>
      <c r="CN766" s="124" t="n"/>
      <c r="CO766" s="124" t="n"/>
      <c r="CP766" s="124" t="n"/>
      <c r="CQ766" s="124" t="n"/>
      <c r="CR766" s="124" t="n"/>
      <c r="CS766" s="124" t="n"/>
      <c r="CT766" s="124" t="n"/>
      <c r="CU766" s="124" t="n"/>
      <c r="CV766" s="124" t="n"/>
      <c r="CW766" s="124" t="n"/>
      <c r="CX766" s="124" t="n"/>
      <c r="CY766" s="124" t="n"/>
      <c r="CZ766" s="124" t="n"/>
      <c r="DA766" s="124" t="n"/>
      <c r="DB766" s="124" t="n"/>
      <c r="DC766" s="124" t="n"/>
      <c r="DD766" s="124" t="n"/>
      <c r="DE766" s="124" t="n"/>
      <c r="DF766" s="124" t="n"/>
      <c r="DG766" s="124" t="n"/>
      <c r="DH766" s="124" t="n"/>
      <c r="DI766" s="124" t="n"/>
      <c r="DJ766" s="124" t="n"/>
      <c r="DK766" s="124" t="n"/>
      <c r="DL766" s="124" t="n"/>
      <c r="DM766" s="124" t="n"/>
      <c r="DN766" s="124" t="n"/>
      <c r="DO766" s="124" t="n"/>
      <c r="DP766" s="124" t="n"/>
      <c r="DQ766" s="124" t="n"/>
      <c r="DR766" s="124" t="n"/>
      <c r="DS766" s="124" t="n"/>
      <c r="DT766" s="124" t="n"/>
      <c r="DU766" s="124" t="n"/>
      <c r="DV766" s="124" t="n"/>
      <c r="DW766" s="124" t="n"/>
      <c r="DX766" s="124" t="n"/>
      <c r="DY766" s="124" t="n"/>
      <c r="DZ766" s="124" t="n"/>
      <c r="EA766" s="124" t="n"/>
      <c r="EB766" s="124" t="n"/>
      <c r="EC766" s="124" t="n"/>
      <c r="ED766" s="124" t="n"/>
      <c r="EE766" s="124" t="n"/>
      <c r="EF766" s="124" t="n"/>
      <c r="EG766" s="124" t="n"/>
      <c r="EH766" s="124" t="n"/>
      <c r="EI766" s="124" t="n"/>
      <c r="EJ766" s="124" t="n"/>
      <c r="EK766" s="124" t="n"/>
      <c r="EL766" s="124" t="n"/>
      <c r="EM766" s="124" t="n"/>
      <c r="EN766" s="124" t="n"/>
      <c r="EO766" s="124" t="n"/>
      <c r="EP766" s="124" t="n"/>
      <c r="EQ766" s="124" t="n"/>
      <c r="ER766" s="124" t="n"/>
      <c r="ES766" s="124" t="n"/>
      <c r="ET766" s="124" t="n"/>
      <c r="EU766" s="124" t="n"/>
      <c r="EV766" s="124" t="n"/>
      <c r="EW766" s="124" t="n"/>
      <c r="EX766" s="124" t="n"/>
      <c r="EY766" s="124" t="n"/>
      <c r="EZ766" s="124" t="n"/>
      <c r="FA766" s="124" t="n"/>
      <c r="FB766" s="124" t="n"/>
      <c r="FC766" s="124" t="n"/>
      <c r="FD766" s="124" t="n"/>
      <c r="FE766" s="124" t="n"/>
      <c r="FF766" s="124" t="n"/>
      <c r="FG766" s="124" t="n"/>
      <c r="FH766" s="124" t="n"/>
      <c r="FI766" s="124" t="n"/>
      <c r="FJ766" s="124" t="n"/>
      <c r="FK766" s="124" t="n"/>
      <c r="FL766" s="124" t="n"/>
      <c r="FM766" s="124" t="n"/>
      <c r="FN766" s="124" t="n"/>
      <c r="FO766" s="124" t="n"/>
      <c r="FP766" s="124" t="n"/>
      <c r="FQ766" s="124" t="n"/>
      <c r="FR766" s="124" t="n"/>
      <c r="FS766" s="124" t="n"/>
      <c r="FT766" s="124" t="n"/>
      <c r="FU766" s="124" t="n"/>
      <c r="FV766" s="124" t="n"/>
      <c r="FW766" s="124" t="n"/>
      <c r="FX766" s="124" t="n"/>
      <c r="FY766" s="124" t="n"/>
      <c r="FZ766" s="124" t="n"/>
      <c r="GA766" s="124" t="n"/>
      <c r="GB766" s="124" t="n"/>
      <c r="GC766" s="124" t="n"/>
      <c r="GD766" s="124" t="n"/>
      <c r="GE766" s="124" t="n"/>
      <c r="GF766" s="124" t="n"/>
      <c r="GG766" s="124" t="n"/>
      <c r="GH766" s="124" t="n"/>
      <c r="GI766" s="124" t="n"/>
      <c r="GJ766" s="124" t="n"/>
      <c r="GK766" s="124" t="n"/>
      <c r="GL766" s="124" t="n"/>
      <c r="GM766" s="124" t="n"/>
      <c r="GN766" s="124" t="n"/>
      <c r="GO766" s="124" t="n"/>
      <c r="GP766" s="124" t="n"/>
      <c r="GQ766" s="124" t="n"/>
      <c r="GR766" s="124" t="n"/>
      <c r="GS766" s="124" t="n"/>
      <c r="GT766" s="124" t="n"/>
      <c r="GU766" s="124" t="n"/>
      <c r="GV766" s="124" t="n"/>
      <c r="GW766" s="124" t="n"/>
      <c r="GX766" s="124" t="n"/>
      <c r="GY766" s="124" t="n"/>
      <c r="GZ766" s="124" t="n"/>
      <c r="HA766" s="124" t="n"/>
      <c r="HB766" s="124" t="n"/>
      <c r="HC766" s="124" t="n"/>
      <c r="HD766" s="124" t="n"/>
      <c r="HE766" s="124" t="n"/>
      <c r="HF766" s="124" t="n"/>
      <c r="HG766" s="124" t="n"/>
      <c r="HH766" s="124" t="n"/>
      <c r="HI766" s="124" t="n"/>
      <c r="HJ766" s="124" t="n"/>
      <c r="HK766" s="124" t="n"/>
      <c r="HL766" s="124" t="n"/>
    </row>
    <row r="767" ht="27.6" customFormat="1" customHeight="1" s="3">
      <c r="A767" s="33" t="inlineStr">
        <is>
          <t>7 этап</t>
        </is>
      </c>
      <c r="B767" s="34" t="n"/>
      <c r="C767" s="38" t="inlineStr">
        <is>
          <t>Теплоизоляционное покрытие труб минераловатными матами  прошивными М100</t>
        </is>
      </c>
      <c r="D767" s="36" t="inlineStr">
        <is>
          <t>м2</t>
        </is>
      </c>
      <c r="E767" s="123" t="n">
        <v>19.14</v>
      </c>
      <c r="F767" s="124" t="n"/>
      <c r="G767" s="124" t="n"/>
      <c r="H767" s="124" t="n"/>
      <c r="I767" s="124" t="n"/>
      <c r="J767" s="124" t="n"/>
      <c r="K767" s="124" t="n"/>
      <c r="L767" s="124" t="n"/>
      <c r="M767" s="124" t="n"/>
      <c r="N767" s="124" t="n"/>
      <c r="O767" s="124" t="n"/>
      <c r="P767" s="124" t="n"/>
      <c r="Q767" s="124" t="n"/>
      <c r="R767" s="124" t="n"/>
      <c r="S767" s="124" t="n"/>
      <c r="T767" s="124" t="n"/>
      <c r="U767" s="124" t="n"/>
      <c r="V767" s="124" t="n"/>
      <c r="W767" s="124" t="n"/>
      <c r="X767" s="124" t="n"/>
      <c r="Y767" s="124" t="n"/>
      <c r="Z767" s="124" t="n"/>
      <c r="AA767" s="124" t="n"/>
      <c r="AB767" s="124" t="n"/>
      <c r="AC767" s="124" t="n"/>
      <c r="AD767" s="124" t="n"/>
      <c r="AE767" s="124" t="n"/>
      <c r="AF767" s="124" t="n"/>
      <c r="AG767" s="124" t="n"/>
      <c r="AH767" s="124" t="n"/>
      <c r="AI767" s="124" t="n"/>
      <c r="AJ767" s="124" t="n"/>
      <c r="AK767" s="124" t="n"/>
      <c r="AL767" s="124" t="n"/>
      <c r="AM767" s="124" t="n"/>
      <c r="AN767" s="124" t="n"/>
      <c r="AO767" s="124" t="n"/>
      <c r="AP767" s="124" t="n"/>
      <c r="AQ767" s="124" t="n"/>
      <c r="AR767" s="124" t="n"/>
      <c r="AS767" s="124" t="n"/>
      <c r="AT767" s="124" t="n"/>
      <c r="AU767" s="124" t="n"/>
      <c r="AV767" s="124" t="n"/>
      <c r="AW767" s="124" t="n"/>
      <c r="AX767" s="124" t="n"/>
      <c r="AY767" s="124" t="n"/>
      <c r="AZ767" s="124" t="n"/>
      <c r="BA767" s="124" t="n"/>
      <c r="BB767" s="124" t="n"/>
      <c r="BC767" s="124" t="n"/>
      <c r="BD767" s="124" t="n"/>
      <c r="BE767" s="124" t="n"/>
      <c r="BF767" s="124" t="n"/>
      <c r="BG767" s="124" t="n"/>
      <c r="BH767" s="124" t="n"/>
      <c r="BI767" s="124" t="n"/>
      <c r="BJ767" s="124" t="n"/>
      <c r="BK767" s="124" t="n"/>
      <c r="BL767" s="124" t="n"/>
      <c r="BM767" s="124" t="n"/>
      <c r="BN767" s="124" t="n"/>
      <c r="BO767" s="124" t="n"/>
      <c r="BP767" s="124" t="n"/>
      <c r="BQ767" s="124" t="n"/>
      <c r="BR767" s="124" t="n"/>
      <c r="BS767" s="124" t="n"/>
      <c r="BT767" s="124" t="n"/>
      <c r="BU767" s="124" t="n"/>
      <c r="BV767" s="124" t="n"/>
      <c r="BW767" s="124" t="n"/>
      <c r="BX767" s="124" t="n"/>
      <c r="BY767" s="124" t="n"/>
      <c r="BZ767" s="124" t="n"/>
      <c r="CA767" s="124" t="n"/>
      <c r="CB767" s="124" t="n"/>
      <c r="CC767" s="124" t="n"/>
      <c r="CD767" s="124" t="n"/>
      <c r="CE767" s="124" t="n"/>
      <c r="CF767" s="124" t="n"/>
      <c r="CG767" s="124" t="n"/>
      <c r="CH767" s="124" t="n"/>
      <c r="CI767" s="124" t="n"/>
      <c r="CJ767" s="124" t="n"/>
      <c r="CK767" s="124" t="n"/>
      <c r="CL767" s="124" t="n"/>
      <c r="CM767" s="124" t="n"/>
      <c r="CN767" s="124" t="n"/>
      <c r="CO767" s="124" t="n"/>
      <c r="CP767" s="124" t="n"/>
      <c r="CQ767" s="124" t="n"/>
      <c r="CR767" s="124" t="n"/>
      <c r="CS767" s="124" t="n"/>
      <c r="CT767" s="124" t="n"/>
      <c r="CU767" s="124" t="n"/>
      <c r="CV767" s="124" t="n"/>
      <c r="CW767" s="124" t="n"/>
      <c r="CX767" s="124" t="n"/>
      <c r="CY767" s="124" t="n"/>
      <c r="CZ767" s="124" t="n"/>
      <c r="DA767" s="124" t="n"/>
      <c r="DB767" s="124" t="n"/>
      <c r="DC767" s="124" t="n"/>
      <c r="DD767" s="124" t="n"/>
      <c r="DE767" s="124" t="n"/>
      <c r="DF767" s="124" t="n"/>
      <c r="DG767" s="124" t="n"/>
      <c r="DH767" s="124" t="n"/>
      <c r="DI767" s="124" t="n"/>
      <c r="DJ767" s="124" t="n"/>
      <c r="DK767" s="124" t="n"/>
      <c r="DL767" s="124" t="n"/>
      <c r="DM767" s="124" t="n"/>
      <c r="DN767" s="124" t="n"/>
      <c r="DO767" s="124" t="n"/>
      <c r="DP767" s="124" t="n"/>
      <c r="DQ767" s="124" t="n"/>
      <c r="DR767" s="124" t="n"/>
      <c r="DS767" s="124" t="n"/>
      <c r="DT767" s="124" t="n"/>
      <c r="DU767" s="124" t="n"/>
      <c r="DV767" s="124" t="n"/>
      <c r="DW767" s="124" t="n"/>
      <c r="DX767" s="124" t="n"/>
      <c r="DY767" s="124" t="n"/>
      <c r="DZ767" s="124" t="n"/>
      <c r="EA767" s="124" t="n"/>
      <c r="EB767" s="124" t="n"/>
      <c r="EC767" s="124" t="n"/>
      <c r="ED767" s="124" t="n"/>
      <c r="EE767" s="124" t="n"/>
      <c r="EF767" s="124" t="n"/>
      <c r="EG767" s="124" t="n"/>
      <c r="EH767" s="124" t="n"/>
      <c r="EI767" s="124" t="n"/>
      <c r="EJ767" s="124" t="n"/>
      <c r="EK767" s="124" t="n"/>
      <c r="EL767" s="124" t="n"/>
      <c r="EM767" s="124" t="n"/>
      <c r="EN767" s="124" t="n"/>
      <c r="EO767" s="124" t="n"/>
      <c r="EP767" s="124" t="n"/>
      <c r="EQ767" s="124" t="n"/>
      <c r="ER767" s="124" t="n"/>
      <c r="ES767" s="124" t="n"/>
      <c r="ET767" s="124" t="n"/>
      <c r="EU767" s="124" t="n"/>
      <c r="EV767" s="124" t="n"/>
      <c r="EW767" s="124" t="n"/>
      <c r="EX767" s="124" t="n"/>
      <c r="EY767" s="124" t="n"/>
      <c r="EZ767" s="124" t="n"/>
      <c r="FA767" s="124" t="n"/>
      <c r="FB767" s="124" t="n"/>
      <c r="FC767" s="124" t="n"/>
      <c r="FD767" s="124" t="n"/>
      <c r="FE767" s="124" t="n"/>
      <c r="FF767" s="124" t="n"/>
      <c r="FG767" s="124" t="n"/>
      <c r="FH767" s="124" t="n"/>
      <c r="FI767" s="124" t="n"/>
      <c r="FJ767" s="124" t="n"/>
      <c r="FK767" s="124" t="n"/>
      <c r="FL767" s="124" t="n"/>
      <c r="FM767" s="124" t="n"/>
      <c r="FN767" s="124" t="n"/>
      <c r="FO767" s="124" t="n"/>
      <c r="FP767" s="124" t="n"/>
      <c r="FQ767" s="124" t="n"/>
      <c r="FR767" s="124" t="n"/>
      <c r="FS767" s="124" t="n"/>
      <c r="FT767" s="124" t="n"/>
      <c r="FU767" s="124" t="n"/>
      <c r="FV767" s="124" t="n"/>
      <c r="FW767" s="124" t="n"/>
      <c r="FX767" s="124" t="n"/>
      <c r="FY767" s="124" t="n"/>
      <c r="FZ767" s="124" t="n"/>
      <c r="GA767" s="124" t="n"/>
      <c r="GB767" s="124" t="n"/>
      <c r="GC767" s="124" t="n"/>
      <c r="GD767" s="124" t="n"/>
      <c r="GE767" s="124" t="n"/>
      <c r="GF767" s="124" t="n"/>
      <c r="GG767" s="124" t="n"/>
      <c r="GH767" s="124" t="n"/>
      <c r="GI767" s="124" t="n"/>
      <c r="GJ767" s="124" t="n"/>
      <c r="GK767" s="124" t="n"/>
      <c r="GL767" s="124" t="n"/>
      <c r="GM767" s="124" t="n"/>
      <c r="GN767" s="124" t="n"/>
      <c r="GO767" s="124" t="n"/>
      <c r="GP767" s="124" t="n"/>
      <c r="GQ767" s="124" t="n"/>
      <c r="GR767" s="124" t="n"/>
      <c r="GS767" s="124" t="n"/>
      <c r="GT767" s="124" t="n"/>
      <c r="GU767" s="124" t="n"/>
      <c r="GV767" s="124" t="n"/>
      <c r="GW767" s="124" t="n"/>
      <c r="GX767" s="124" t="n"/>
      <c r="GY767" s="124" t="n"/>
      <c r="GZ767" s="124" t="n"/>
      <c r="HA767" s="124" t="n"/>
      <c r="HB767" s="124" t="n"/>
      <c r="HC767" s="124" t="n"/>
      <c r="HD767" s="124" t="n"/>
      <c r="HE767" s="124" t="n"/>
      <c r="HF767" s="124" t="n"/>
      <c r="HG767" s="124" t="n"/>
      <c r="HH767" s="124" t="n"/>
      <c r="HI767" s="124" t="n"/>
      <c r="HJ767" s="124" t="n"/>
      <c r="HK767" s="124" t="n"/>
      <c r="HL767" s="124" t="n"/>
    </row>
    <row r="768" customFormat="1" s="3">
      <c r="A768" s="33" t="inlineStr">
        <is>
          <t>7 этап</t>
        </is>
      </c>
      <c r="B768" s="34" t="n"/>
      <c r="C768" s="38" t="inlineStr">
        <is>
          <t>Монтаж стеклопластика РСТ ТУ 6-11-145-80</t>
        </is>
      </c>
      <c r="D768" s="36" t="inlineStr">
        <is>
          <t>м2</t>
        </is>
      </c>
      <c r="E768" s="123" t="n">
        <v>453.44</v>
      </c>
      <c r="F768" s="124" t="n"/>
      <c r="G768" s="124" t="n"/>
      <c r="H768" s="124" t="n"/>
      <c r="I768" s="124" t="n"/>
      <c r="J768" s="124" t="n"/>
      <c r="K768" s="124" t="n"/>
      <c r="L768" s="124" t="n"/>
      <c r="M768" s="124" t="n"/>
      <c r="N768" s="124" t="n"/>
      <c r="O768" s="124" t="n"/>
      <c r="P768" s="124" t="n"/>
      <c r="Q768" s="124" t="n"/>
      <c r="R768" s="124" t="n"/>
      <c r="S768" s="124" t="n"/>
      <c r="T768" s="124" t="n"/>
      <c r="U768" s="124" t="n"/>
      <c r="V768" s="124" t="n"/>
      <c r="W768" s="124" t="n"/>
      <c r="X768" s="124" t="n"/>
      <c r="Y768" s="124" t="n"/>
      <c r="Z768" s="124" t="n"/>
      <c r="AA768" s="124" t="n"/>
      <c r="AB768" s="124" t="n"/>
      <c r="AC768" s="124" t="n"/>
      <c r="AD768" s="124" t="n"/>
      <c r="AE768" s="124" t="n"/>
      <c r="AF768" s="124" t="n"/>
      <c r="AG768" s="124" t="n"/>
      <c r="AH768" s="124" t="n"/>
      <c r="AI768" s="124" t="n"/>
      <c r="AJ768" s="124" t="n"/>
      <c r="AK768" s="124" t="n"/>
      <c r="AL768" s="124" t="n"/>
      <c r="AM768" s="124" t="n"/>
      <c r="AN768" s="124" t="n"/>
      <c r="AO768" s="124" t="n"/>
      <c r="AP768" s="124" t="n"/>
      <c r="AQ768" s="124" t="n"/>
      <c r="AR768" s="124" t="n"/>
      <c r="AS768" s="124" t="n"/>
      <c r="AT768" s="124" t="n"/>
      <c r="AU768" s="124" t="n"/>
      <c r="AV768" s="124" t="n"/>
      <c r="AW768" s="124" t="n"/>
      <c r="AX768" s="124" t="n"/>
      <c r="AY768" s="124" t="n"/>
      <c r="AZ768" s="124" t="n"/>
      <c r="BA768" s="124" t="n"/>
      <c r="BB768" s="124" t="n"/>
      <c r="BC768" s="124" t="n"/>
      <c r="BD768" s="124" t="n"/>
      <c r="BE768" s="124" t="n"/>
      <c r="BF768" s="124" t="n"/>
      <c r="BG768" s="124" t="n"/>
      <c r="BH768" s="124" t="n"/>
      <c r="BI768" s="124" t="n"/>
      <c r="BJ768" s="124" t="n"/>
      <c r="BK768" s="124" t="n"/>
      <c r="BL768" s="124" t="n"/>
      <c r="BM768" s="124" t="n"/>
      <c r="BN768" s="124" t="n"/>
      <c r="BO768" s="124" t="n"/>
      <c r="BP768" s="124" t="n"/>
      <c r="BQ768" s="124" t="n"/>
      <c r="BR768" s="124" t="n"/>
      <c r="BS768" s="124" t="n"/>
      <c r="BT768" s="124" t="n"/>
      <c r="BU768" s="124" t="n"/>
      <c r="BV768" s="124" t="n"/>
      <c r="BW768" s="124" t="n"/>
      <c r="BX768" s="124" t="n"/>
      <c r="BY768" s="124" t="n"/>
      <c r="BZ768" s="124" t="n"/>
      <c r="CA768" s="124" t="n"/>
      <c r="CB768" s="124" t="n"/>
      <c r="CC768" s="124" t="n"/>
      <c r="CD768" s="124" t="n"/>
      <c r="CE768" s="124" t="n"/>
      <c r="CF768" s="124" t="n"/>
      <c r="CG768" s="124" t="n"/>
      <c r="CH768" s="124" t="n"/>
      <c r="CI768" s="124" t="n"/>
      <c r="CJ768" s="124" t="n"/>
      <c r="CK768" s="124" t="n"/>
      <c r="CL768" s="124" t="n"/>
      <c r="CM768" s="124" t="n"/>
      <c r="CN768" s="124" t="n"/>
      <c r="CO768" s="124" t="n"/>
      <c r="CP768" s="124" t="n"/>
      <c r="CQ768" s="124" t="n"/>
      <c r="CR768" s="124" t="n"/>
      <c r="CS768" s="124" t="n"/>
      <c r="CT768" s="124" t="n"/>
      <c r="CU768" s="124" t="n"/>
      <c r="CV768" s="124" t="n"/>
      <c r="CW768" s="124" t="n"/>
      <c r="CX768" s="124" t="n"/>
      <c r="CY768" s="124" t="n"/>
      <c r="CZ768" s="124" t="n"/>
      <c r="DA768" s="124" t="n"/>
      <c r="DB768" s="124" t="n"/>
      <c r="DC768" s="124" t="n"/>
      <c r="DD768" s="124" t="n"/>
      <c r="DE768" s="124" t="n"/>
      <c r="DF768" s="124" t="n"/>
      <c r="DG768" s="124" t="n"/>
      <c r="DH768" s="124" t="n"/>
      <c r="DI768" s="124" t="n"/>
      <c r="DJ768" s="124" t="n"/>
      <c r="DK768" s="124" t="n"/>
      <c r="DL768" s="124" t="n"/>
      <c r="DM768" s="124" t="n"/>
      <c r="DN768" s="124" t="n"/>
      <c r="DO768" s="124" t="n"/>
      <c r="DP768" s="124" t="n"/>
      <c r="DQ768" s="124" t="n"/>
      <c r="DR768" s="124" t="n"/>
      <c r="DS768" s="124" t="n"/>
      <c r="DT768" s="124" t="n"/>
      <c r="DU768" s="124" t="n"/>
      <c r="DV768" s="124" t="n"/>
      <c r="DW768" s="124" t="n"/>
      <c r="DX768" s="124" t="n"/>
      <c r="DY768" s="124" t="n"/>
      <c r="DZ768" s="124" t="n"/>
      <c r="EA768" s="124" t="n"/>
      <c r="EB768" s="124" t="n"/>
      <c r="EC768" s="124" t="n"/>
      <c r="ED768" s="124" t="n"/>
      <c r="EE768" s="124" t="n"/>
      <c r="EF768" s="124" t="n"/>
      <c r="EG768" s="124" t="n"/>
      <c r="EH768" s="124" t="n"/>
      <c r="EI768" s="124" t="n"/>
      <c r="EJ768" s="124" t="n"/>
      <c r="EK768" s="124" t="n"/>
      <c r="EL768" s="124" t="n"/>
      <c r="EM768" s="124" t="n"/>
      <c r="EN768" s="124" t="n"/>
      <c r="EO768" s="124" t="n"/>
      <c r="EP768" s="124" t="n"/>
      <c r="EQ768" s="124" t="n"/>
      <c r="ER768" s="124" t="n"/>
      <c r="ES768" s="124" t="n"/>
      <c r="ET768" s="124" t="n"/>
      <c r="EU768" s="124" t="n"/>
      <c r="EV768" s="124" t="n"/>
      <c r="EW768" s="124" t="n"/>
      <c r="EX768" s="124" t="n"/>
      <c r="EY768" s="124" t="n"/>
      <c r="EZ768" s="124" t="n"/>
      <c r="FA768" s="124" t="n"/>
      <c r="FB768" s="124" t="n"/>
      <c r="FC768" s="124" t="n"/>
      <c r="FD768" s="124" t="n"/>
      <c r="FE768" s="124" t="n"/>
      <c r="FF768" s="124" t="n"/>
      <c r="FG768" s="124" t="n"/>
      <c r="FH768" s="124" t="n"/>
      <c r="FI768" s="124" t="n"/>
      <c r="FJ768" s="124" t="n"/>
      <c r="FK768" s="124" t="n"/>
      <c r="FL768" s="124" t="n"/>
      <c r="FM768" s="124" t="n"/>
      <c r="FN768" s="124" t="n"/>
      <c r="FO768" s="124" t="n"/>
      <c r="FP768" s="124" t="n"/>
      <c r="FQ768" s="124" t="n"/>
      <c r="FR768" s="124" t="n"/>
      <c r="FS768" s="124" t="n"/>
      <c r="FT768" s="124" t="n"/>
      <c r="FU768" s="124" t="n"/>
      <c r="FV768" s="124" t="n"/>
      <c r="FW768" s="124" t="n"/>
      <c r="FX768" s="124" t="n"/>
      <c r="FY768" s="124" t="n"/>
      <c r="FZ768" s="124" t="n"/>
      <c r="GA768" s="124" t="n"/>
      <c r="GB768" s="124" t="n"/>
      <c r="GC768" s="124" t="n"/>
      <c r="GD768" s="124" t="n"/>
      <c r="GE768" s="124" t="n"/>
      <c r="GF768" s="124" t="n"/>
      <c r="GG768" s="124" t="n"/>
      <c r="GH768" s="124" t="n"/>
      <c r="GI768" s="124" t="n"/>
      <c r="GJ768" s="124" t="n"/>
      <c r="GK768" s="124" t="n"/>
      <c r="GL768" s="124" t="n"/>
      <c r="GM768" s="124" t="n"/>
      <c r="GN768" s="124" t="n"/>
      <c r="GO768" s="124" t="n"/>
      <c r="GP768" s="124" t="n"/>
      <c r="GQ768" s="124" t="n"/>
      <c r="GR768" s="124" t="n"/>
      <c r="GS768" s="124" t="n"/>
      <c r="GT768" s="124" t="n"/>
      <c r="GU768" s="124" t="n"/>
      <c r="GV768" s="124" t="n"/>
      <c r="GW768" s="124" t="n"/>
      <c r="GX768" s="124" t="n"/>
      <c r="GY768" s="124" t="n"/>
      <c r="GZ768" s="124" t="n"/>
      <c r="HA768" s="124" t="n"/>
      <c r="HB768" s="124" t="n"/>
      <c r="HC768" s="124" t="n"/>
      <c r="HD768" s="124" t="n"/>
      <c r="HE768" s="124" t="n"/>
      <c r="HF768" s="124" t="n"/>
      <c r="HG768" s="124" t="n"/>
      <c r="HH768" s="124" t="n"/>
      <c r="HI768" s="124" t="n"/>
      <c r="HJ768" s="124" t="n"/>
      <c r="HK768" s="124" t="n"/>
      <c r="HL768" s="124" t="n"/>
    </row>
    <row r="769" ht="27.6" customFormat="1" customHeight="1" s="3">
      <c r="A769" s="33" t="inlineStr">
        <is>
          <t>7 этап</t>
        </is>
      </c>
      <c r="B769" s="27" t="n"/>
      <c r="C769" s="38" t="inlineStr">
        <is>
          <t>Обертывание изолированных труб металической сеткой и штукатурка</t>
        </is>
      </c>
      <c r="D769" s="36" t="inlineStr">
        <is>
          <t>м2</t>
        </is>
      </c>
      <c r="E769" s="123" t="n">
        <v>32.33</v>
      </c>
      <c r="F769" s="124" t="n"/>
      <c r="G769" s="124" t="n"/>
      <c r="H769" s="124" t="n"/>
      <c r="I769" s="124" t="n"/>
      <c r="J769" s="124" t="n"/>
      <c r="K769" s="124" t="n"/>
      <c r="L769" s="124" t="n"/>
      <c r="M769" s="124" t="n"/>
      <c r="N769" s="124" t="n"/>
      <c r="O769" s="124" t="n"/>
      <c r="P769" s="124" t="n"/>
      <c r="Q769" s="124" t="n"/>
      <c r="R769" s="124" t="n"/>
      <c r="S769" s="124" t="n"/>
      <c r="T769" s="124" t="n"/>
      <c r="U769" s="124" t="n"/>
      <c r="V769" s="124" t="n"/>
      <c r="W769" s="124" t="n"/>
      <c r="X769" s="124" t="n"/>
      <c r="Y769" s="124" t="n"/>
      <c r="Z769" s="124" t="n"/>
      <c r="AA769" s="124" t="n"/>
      <c r="AB769" s="124" t="n"/>
      <c r="AC769" s="124" t="n"/>
      <c r="AD769" s="124" t="n"/>
      <c r="AE769" s="124" t="n"/>
      <c r="AF769" s="124" t="n"/>
      <c r="AG769" s="124" t="n"/>
      <c r="AH769" s="124" t="n"/>
      <c r="AI769" s="124" t="n"/>
      <c r="AJ769" s="124" t="n"/>
      <c r="AK769" s="124" t="n"/>
      <c r="AL769" s="124" t="n"/>
      <c r="AM769" s="124" t="n"/>
      <c r="AN769" s="124" t="n"/>
      <c r="AO769" s="124" t="n"/>
      <c r="AP769" s="124" t="n"/>
      <c r="AQ769" s="124" t="n"/>
      <c r="AR769" s="124" t="n"/>
      <c r="AS769" s="124" t="n"/>
      <c r="AT769" s="124" t="n"/>
      <c r="AU769" s="124" t="n"/>
      <c r="AV769" s="124" t="n"/>
      <c r="AW769" s="124" t="n"/>
      <c r="AX769" s="124" t="n"/>
      <c r="AY769" s="124" t="n"/>
      <c r="AZ769" s="124" t="n"/>
      <c r="BA769" s="124" t="n"/>
      <c r="BB769" s="124" t="n"/>
      <c r="BC769" s="124" t="n"/>
      <c r="BD769" s="124" t="n"/>
      <c r="BE769" s="124" t="n"/>
      <c r="BF769" s="124" t="n"/>
      <c r="BG769" s="124" t="n"/>
      <c r="BH769" s="124" t="n"/>
      <c r="BI769" s="124" t="n"/>
      <c r="BJ769" s="124" t="n"/>
      <c r="BK769" s="124" t="n"/>
      <c r="BL769" s="124" t="n"/>
      <c r="BM769" s="124" t="n"/>
      <c r="BN769" s="124" t="n"/>
      <c r="BO769" s="124" t="n"/>
      <c r="BP769" s="124" t="n"/>
      <c r="BQ769" s="124" t="n"/>
      <c r="BR769" s="124" t="n"/>
      <c r="BS769" s="124" t="n"/>
      <c r="BT769" s="124" t="n"/>
      <c r="BU769" s="124" t="n"/>
      <c r="BV769" s="124" t="n"/>
      <c r="BW769" s="124" t="n"/>
      <c r="BX769" s="124" t="n"/>
      <c r="BY769" s="124" t="n"/>
      <c r="BZ769" s="124" t="n"/>
      <c r="CA769" s="124" t="n"/>
      <c r="CB769" s="124" t="n"/>
      <c r="CC769" s="124" t="n"/>
      <c r="CD769" s="124" t="n"/>
      <c r="CE769" s="124" t="n"/>
      <c r="CF769" s="124" t="n"/>
      <c r="CG769" s="124" t="n"/>
      <c r="CH769" s="124" t="n"/>
      <c r="CI769" s="124" t="n"/>
      <c r="CJ769" s="124" t="n"/>
      <c r="CK769" s="124" t="n"/>
      <c r="CL769" s="124" t="n"/>
      <c r="CM769" s="124" t="n"/>
      <c r="CN769" s="124" t="n"/>
      <c r="CO769" s="124" t="n"/>
      <c r="CP769" s="124" t="n"/>
      <c r="CQ769" s="124" t="n"/>
      <c r="CR769" s="124" t="n"/>
      <c r="CS769" s="124" t="n"/>
      <c r="CT769" s="124" t="n"/>
      <c r="CU769" s="124" t="n"/>
      <c r="CV769" s="124" t="n"/>
      <c r="CW769" s="124" t="n"/>
      <c r="CX769" s="124" t="n"/>
      <c r="CY769" s="124" t="n"/>
      <c r="CZ769" s="124" t="n"/>
      <c r="DA769" s="124" t="n"/>
      <c r="DB769" s="124" t="n"/>
      <c r="DC769" s="124" t="n"/>
      <c r="DD769" s="124" t="n"/>
      <c r="DE769" s="124" t="n"/>
      <c r="DF769" s="124" t="n"/>
      <c r="DG769" s="124" t="n"/>
      <c r="DH769" s="124" t="n"/>
      <c r="DI769" s="124" t="n"/>
      <c r="DJ769" s="124" t="n"/>
      <c r="DK769" s="124" t="n"/>
      <c r="DL769" s="124" t="n"/>
      <c r="DM769" s="124" t="n"/>
      <c r="DN769" s="124" t="n"/>
      <c r="DO769" s="124" t="n"/>
      <c r="DP769" s="124" t="n"/>
      <c r="DQ769" s="124" t="n"/>
      <c r="DR769" s="124" t="n"/>
      <c r="DS769" s="124" t="n"/>
      <c r="DT769" s="124" t="n"/>
      <c r="DU769" s="124" t="n"/>
      <c r="DV769" s="124" t="n"/>
      <c r="DW769" s="124" t="n"/>
      <c r="DX769" s="124" t="n"/>
      <c r="DY769" s="124" t="n"/>
      <c r="DZ769" s="124" t="n"/>
      <c r="EA769" s="124" t="n"/>
      <c r="EB769" s="124" t="n"/>
      <c r="EC769" s="124" t="n"/>
      <c r="ED769" s="124" t="n"/>
      <c r="EE769" s="124" t="n"/>
      <c r="EF769" s="124" t="n"/>
      <c r="EG769" s="124" t="n"/>
      <c r="EH769" s="124" t="n"/>
      <c r="EI769" s="124" t="n"/>
      <c r="EJ769" s="124" t="n"/>
      <c r="EK769" s="124" t="n"/>
      <c r="EL769" s="124" t="n"/>
      <c r="EM769" s="124" t="n"/>
      <c r="EN769" s="124" t="n"/>
      <c r="EO769" s="124" t="n"/>
      <c r="EP769" s="124" t="n"/>
      <c r="EQ769" s="124" t="n"/>
      <c r="ER769" s="124" t="n"/>
      <c r="ES769" s="124" t="n"/>
      <c r="ET769" s="124" t="n"/>
      <c r="EU769" s="124" t="n"/>
      <c r="EV769" s="124" t="n"/>
      <c r="EW769" s="124" t="n"/>
      <c r="EX769" s="124" t="n"/>
      <c r="EY769" s="124" t="n"/>
      <c r="EZ769" s="124" t="n"/>
      <c r="FA769" s="124" t="n"/>
      <c r="FB769" s="124" t="n"/>
      <c r="FC769" s="124" t="n"/>
      <c r="FD769" s="124" t="n"/>
      <c r="FE769" s="124" t="n"/>
      <c r="FF769" s="124" t="n"/>
      <c r="FG769" s="124" t="n"/>
      <c r="FH769" s="124" t="n"/>
      <c r="FI769" s="124" t="n"/>
      <c r="FJ769" s="124" t="n"/>
      <c r="FK769" s="124" t="n"/>
      <c r="FL769" s="124" t="n"/>
      <c r="FM769" s="124" t="n"/>
      <c r="FN769" s="124" t="n"/>
      <c r="FO769" s="124" t="n"/>
      <c r="FP769" s="124" t="n"/>
      <c r="FQ769" s="124" t="n"/>
      <c r="FR769" s="124" t="n"/>
      <c r="FS769" s="124" t="n"/>
      <c r="FT769" s="124" t="n"/>
      <c r="FU769" s="124" t="n"/>
      <c r="FV769" s="124" t="n"/>
      <c r="FW769" s="124" t="n"/>
      <c r="FX769" s="124" t="n"/>
      <c r="FY769" s="124" t="n"/>
      <c r="FZ769" s="124" t="n"/>
      <c r="GA769" s="124" t="n"/>
      <c r="GB769" s="124" t="n"/>
      <c r="GC769" s="124" t="n"/>
      <c r="GD769" s="124" t="n"/>
      <c r="GE769" s="124" t="n"/>
      <c r="GF769" s="124" t="n"/>
      <c r="GG769" s="124" t="n"/>
      <c r="GH769" s="124" t="n"/>
      <c r="GI769" s="124" t="n"/>
      <c r="GJ769" s="124" t="n"/>
      <c r="GK769" s="124" t="n"/>
      <c r="GL769" s="124" t="n"/>
      <c r="GM769" s="124" t="n"/>
      <c r="GN769" s="124" t="n"/>
      <c r="GO769" s="124" t="n"/>
      <c r="GP769" s="124" t="n"/>
      <c r="GQ769" s="124" t="n"/>
      <c r="GR769" s="124" t="n"/>
      <c r="GS769" s="124" t="n"/>
      <c r="GT769" s="124" t="n"/>
      <c r="GU769" s="124" t="n"/>
      <c r="GV769" s="124" t="n"/>
      <c r="GW769" s="124" t="n"/>
      <c r="GX769" s="124" t="n"/>
      <c r="GY769" s="124" t="n"/>
      <c r="GZ769" s="124" t="n"/>
      <c r="HA769" s="124" t="n"/>
      <c r="HB769" s="124" t="n"/>
      <c r="HC769" s="124" t="n"/>
      <c r="HD769" s="124" t="n"/>
      <c r="HE769" s="124" t="n"/>
      <c r="HF769" s="124" t="n"/>
      <c r="HG769" s="124" t="n"/>
      <c r="HH769" s="124" t="n"/>
      <c r="HI769" s="124" t="n"/>
      <c r="HJ769" s="124" t="n"/>
      <c r="HK769" s="124" t="n"/>
      <c r="HL769" s="124" t="n"/>
    </row>
    <row r="770" ht="14.4" customFormat="1" customHeight="1" s="3">
      <c r="A770" s="33" t="inlineStr">
        <is>
          <t>7 этап</t>
        </is>
      </c>
      <c r="B770" s="27" t="n"/>
      <c r="C770" s="38" t="inlineStr">
        <is>
          <t xml:space="preserve">Опора неподвижная лобовая </t>
        </is>
      </c>
      <c r="D770" s="36" t="inlineStr">
        <is>
          <t>шт.</t>
        </is>
      </c>
      <c r="E770" s="123" t="n">
        <v>23</v>
      </c>
      <c r="F770" s="124" t="n"/>
      <c r="G770" s="124" t="n"/>
      <c r="H770" s="124" t="n"/>
      <c r="I770" s="124" t="n"/>
      <c r="J770" s="124" t="n"/>
      <c r="K770" s="124" t="n"/>
      <c r="L770" s="124" t="n"/>
      <c r="M770" s="124" t="n"/>
      <c r="N770" s="124" t="n"/>
      <c r="O770" s="124" t="n"/>
      <c r="P770" s="124" t="n"/>
      <c r="Q770" s="124" t="n"/>
      <c r="R770" s="124" t="n"/>
      <c r="S770" s="124" t="n"/>
      <c r="T770" s="124" t="n"/>
      <c r="U770" s="124" t="n"/>
      <c r="V770" s="124" t="n"/>
      <c r="W770" s="124" t="n"/>
      <c r="X770" s="124" t="n"/>
      <c r="Y770" s="124" t="n"/>
      <c r="Z770" s="124" t="n"/>
      <c r="AA770" s="124" t="n"/>
      <c r="AB770" s="124" t="n"/>
      <c r="AC770" s="124" t="n"/>
      <c r="AD770" s="124" t="n"/>
      <c r="AE770" s="124" t="n"/>
      <c r="AF770" s="124" t="n"/>
      <c r="AG770" s="124" t="n"/>
      <c r="AH770" s="124" t="n"/>
      <c r="AI770" s="124" t="n"/>
      <c r="AJ770" s="124" t="n"/>
      <c r="AK770" s="124" t="n"/>
      <c r="AL770" s="124" t="n"/>
      <c r="AM770" s="124" t="n"/>
      <c r="AN770" s="124" t="n"/>
      <c r="AO770" s="124" t="n"/>
      <c r="AP770" s="124" t="n"/>
      <c r="AQ770" s="124" t="n"/>
      <c r="AR770" s="124" t="n"/>
      <c r="AS770" s="124" t="n"/>
      <c r="AT770" s="124" t="n"/>
      <c r="AU770" s="124" t="n"/>
      <c r="AV770" s="124" t="n"/>
      <c r="AW770" s="124" t="n"/>
      <c r="AX770" s="124" t="n"/>
      <c r="AY770" s="124" t="n"/>
      <c r="AZ770" s="124" t="n"/>
      <c r="BA770" s="124" t="n"/>
      <c r="BB770" s="124" t="n"/>
      <c r="BC770" s="124" t="n"/>
      <c r="BD770" s="124" t="n"/>
      <c r="BE770" s="124" t="n"/>
      <c r="BF770" s="124" t="n"/>
      <c r="BG770" s="124" t="n"/>
      <c r="BH770" s="124" t="n"/>
      <c r="BI770" s="124" t="n"/>
      <c r="BJ770" s="124" t="n"/>
      <c r="BK770" s="124" t="n"/>
      <c r="BL770" s="124" t="n"/>
      <c r="BM770" s="124" t="n"/>
      <c r="BN770" s="124" t="n"/>
      <c r="BO770" s="124" t="n"/>
      <c r="BP770" s="124" t="n"/>
      <c r="BQ770" s="124" t="n"/>
      <c r="BR770" s="124" t="n"/>
      <c r="BS770" s="124" t="n"/>
      <c r="BT770" s="124" t="n"/>
      <c r="BU770" s="124" t="n"/>
      <c r="BV770" s="124" t="n"/>
      <c r="BW770" s="124" t="n"/>
      <c r="BX770" s="124" t="n"/>
      <c r="BY770" s="124" t="n"/>
      <c r="BZ770" s="124" t="n"/>
      <c r="CA770" s="124" t="n"/>
      <c r="CB770" s="124" t="n"/>
      <c r="CC770" s="124" t="n"/>
      <c r="CD770" s="124" t="n"/>
      <c r="CE770" s="124" t="n"/>
      <c r="CF770" s="124" t="n"/>
      <c r="CG770" s="124" t="n"/>
      <c r="CH770" s="124" t="n"/>
      <c r="CI770" s="124" t="n"/>
      <c r="CJ770" s="124" t="n"/>
      <c r="CK770" s="124" t="n"/>
      <c r="CL770" s="124" t="n"/>
      <c r="CM770" s="124" t="n"/>
      <c r="CN770" s="124" t="n"/>
      <c r="CO770" s="124" t="n"/>
      <c r="CP770" s="124" t="n"/>
      <c r="CQ770" s="124" t="n"/>
      <c r="CR770" s="124" t="n"/>
      <c r="CS770" s="124" t="n"/>
      <c r="CT770" s="124" t="n"/>
      <c r="CU770" s="124" t="n"/>
      <c r="CV770" s="124" t="n"/>
      <c r="CW770" s="124" t="n"/>
      <c r="CX770" s="124" t="n"/>
      <c r="CY770" s="124" t="n"/>
      <c r="CZ770" s="124" t="n"/>
      <c r="DA770" s="124" t="n"/>
      <c r="DB770" s="124" t="n"/>
      <c r="DC770" s="124" t="n"/>
      <c r="DD770" s="124" t="n"/>
      <c r="DE770" s="124" t="n"/>
      <c r="DF770" s="124" t="n"/>
      <c r="DG770" s="124" t="n"/>
      <c r="DH770" s="124" t="n"/>
      <c r="DI770" s="124" t="n"/>
      <c r="DJ770" s="124" t="n"/>
      <c r="DK770" s="124" t="n"/>
      <c r="DL770" s="124" t="n"/>
      <c r="DM770" s="124" t="n"/>
      <c r="DN770" s="124" t="n"/>
      <c r="DO770" s="124" t="n"/>
      <c r="DP770" s="124" t="n"/>
      <c r="DQ770" s="124" t="n"/>
      <c r="DR770" s="124" t="n"/>
      <c r="DS770" s="124" t="n"/>
      <c r="DT770" s="124" t="n"/>
      <c r="DU770" s="124" t="n"/>
      <c r="DV770" s="124" t="n"/>
      <c r="DW770" s="124" t="n"/>
      <c r="DX770" s="124" t="n"/>
      <c r="DY770" s="124" t="n"/>
      <c r="DZ770" s="124" t="n"/>
      <c r="EA770" s="124" t="n"/>
      <c r="EB770" s="124" t="n"/>
      <c r="EC770" s="124" t="n"/>
      <c r="ED770" s="124" t="n"/>
      <c r="EE770" s="124" t="n"/>
      <c r="EF770" s="124" t="n"/>
      <c r="EG770" s="124" t="n"/>
      <c r="EH770" s="124" t="n"/>
      <c r="EI770" s="124" t="n"/>
      <c r="EJ770" s="124" t="n"/>
      <c r="EK770" s="124" t="n"/>
      <c r="EL770" s="124" t="n"/>
      <c r="EM770" s="124" t="n"/>
      <c r="EN770" s="124" t="n"/>
      <c r="EO770" s="124" t="n"/>
      <c r="EP770" s="124" t="n"/>
      <c r="EQ770" s="124" t="n"/>
      <c r="ER770" s="124" t="n"/>
      <c r="ES770" s="124" t="n"/>
      <c r="ET770" s="124" t="n"/>
      <c r="EU770" s="124" t="n"/>
      <c r="EV770" s="124" t="n"/>
      <c r="EW770" s="124" t="n"/>
      <c r="EX770" s="124" t="n"/>
      <c r="EY770" s="124" t="n"/>
      <c r="EZ770" s="124" t="n"/>
      <c r="FA770" s="124" t="n"/>
      <c r="FB770" s="124" t="n"/>
      <c r="FC770" s="124" t="n"/>
      <c r="FD770" s="124" t="n"/>
      <c r="FE770" s="124" t="n"/>
      <c r="FF770" s="124" t="n"/>
      <c r="FG770" s="124" t="n"/>
      <c r="FH770" s="124" t="n"/>
      <c r="FI770" s="124" t="n"/>
      <c r="FJ770" s="124" t="n"/>
      <c r="FK770" s="124" t="n"/>
      <c r="FL770" s="124" t="n"/>
      <c r="FM770" s="124" t="n"/>
      <c r="FN770" s="124" t="n"/>
      <c r="FO770" s="124" t="n"/>
      <c r="FP770" s="124" t="n"/>
      <c r="FQ770" s="124" t="n"/>
      <c r="FR770" s="124" t="n"/>
      <c r="FS770" s="124" t="n"/>
      <c r="FT770" s="124" t="n"/>
      <c r="FU770" s="124" t="n"/>
      <c r="FV770" s="124" t="n"/>
      <c r="FW770" s="124" t="n"/>
      <c r="FX770" s="124" t="n"/>
      <c r="FY770" s="124" t="n"/>
      <c r="FZ770" s="124" t="n"/>
      <c r="GA770" s="124" t="n"/>
      <c r="GB770" s="124" t="n"/>
      <c r="GC770" s="124" t="n"/>
      <c r="GD770" s="124" t="n"/>
      <c r="GE770" s="124" t="n"/>
      <c r="GF770" s="124" t="n"/>
      <c r="GG770" s="124" t="n"/>
      <c r="GH770" s="124" t="n"/>
      <c r="GI770" s="124" t="n"/>
      <c r="GJ770" s="124" t="n"/>
      <c r="GK770" s="124" t="n"/>
      <c r="GL770" s="124" t="n"/>
      <c r="GM770" s="124" t="n"/>
      <c r="GN770" s="124" t="n"/>
      <c r="GO770" s="124" t="n"/>
      <c r="GP770" s="124" t="n"/>
      <c r="GQ770" s="124" t="n"/>
      <c r="GR770" s="124" t="n"/>
      <c r="GS770" s="124" t="n"/>
      <c r="GT770" s="124" t="n"/>
      <c r="GU770" s="124" t="n"/>
      <c r="GV770" s="124" t="n"/>
      <c r="GW770" s="124" t="n"/>
      <c r="GX770" s="124" t="n"/>
      <c r="GY770" s="124" t="n"/>
      <c r="GZ770" s="124" t="n"/>
      <c r="HA770" s="124" t="n"/>
      <c r="HB770" s="124" t="n"/>
      <c r="HC770" s="124" t="n"/>
      <c r="HD770" s="124" t="n"/>
      <c r="HE770" s="124" t="n"/>
      <c r="HF770" s="124" t="n"/>
      <c r="HG770" s="124" t="n"/>
      <c r="HH770" s="124" t="n"/>
      <c r="HI770" s="124" t="n"/>
      <c r="HJ770" s="124" t="n"/>
      <c r="HK770" s="124" t="n"/>
      <c r="HL770" s="124" t="n"/>
    </row>
    <row r="771" ht="14.4" customFormat="1" customHeight="1" s="3">
      <c r="A771" s="33" t="inlineStr">
        <is>
          <t>7 этап</t>
        </is>
      </c>
      <c r="B771" s="27" t="n"/>
      <c r="C771" s="38" t="inlineStr">
        <is>
          <t>Опора скользящая</t>
        </is>
      </c>
      <c r="D771" s="36" t="inlineStr">
        <is>
          <t>шт.</t>
        </is>
      </c>
      <c r="E771" s="123" t="n">
        <v>180</v>
      </c>
      <c r="F771" s="124" t="n"/>
      <c r="G771" s="124" t="n"/>
      <c r="H771" s="124" t="n"/>
      <c r="I771" s="124" t="n"/>
      <c r="J771" s="124" t="n"/>
      <c r="K771" s="124" t="n"/>
      <c r="L771" s="124" t="n"/>
      <c r="M771" s="124" t="n"/>
      <c r="N771" s="124" t="n"/>
      <c r="O771" s="124" t="n"/>
      <c r="P771" s="124" t="n"/>
      <c r="Q771" s="124" t="n"/>
      <c r="R771" s="124" t="n"/>
      <c r="S771" s="124" t="n"/>
      <c r="T771" s="124" t="n"/>
      <c r="U771" s="124" t="n"/>
      <c r="V771" s="124" t="n"/>
      <c r="W771" s="124" t="n"/>
      <c r="X771" s="124" t="n"/>
      <c r="Y771" s="124" t="n"/>
      <c r="Z771" s="124" t="n"/>
      <c r="AA771" s="124" t="n"/>
      <c r="AB771" s="124" t="n"/>
      <c r="AC771" s="124" t="n"/>
      <c r="AD771" s="124" t="n"/>
      <c r="AE771" s="124" t="n"/>
      <c r="AF771" s="124" t="n"/>
      <c r="AG771" s="124" t="n"/>
      <c r="AH771" s="124" t="n"/>
      <c r="AI771" s="124" t="n"/>
      <c r="AJ771" s="124" t="n"/>
      <c r="AK771" s="124" t="n"/>
      <c r="AL771" s="124" t="n"/>
      <c r="AM771" s="124" t="n"/>
      <c r="AN771" s="124" t="n"/>
      <c r="AO771" s="124" t="n"/>
      <c r="AP771" s="124" t="n"/>
      <c r="AQ771" s="124" t="n"/>
      <c r="AR771" s="124" t="n"/>
      <c r="AS771" s="124" t="n"/>
      <c r="AT771" s="124" t="n"/>
      <c r="AU771" s="124" t="n"/>
      <c r="AV771" s="124" t="n"/>
      <c r="AW771" s="124" t="n"/>
      <c r="AX771" s="124" t="n"/>
      <c r="AY771" s="124" t="n"/>
      <c r="AZ771" s="124" t="n"/>
      <c r="BA771" s="124" t="n"/>
      <c r="BB771" s="124" t="n"/>
      <c r="BC771" s="124" t="n"/>
      <c r="BD771" s="124" t="n"/>
      <c r="BE771" s="124" t="n"/>
      <c r="BF771" s="124" t="n"/>
      <c r="BG771" s="124" t="n"/>
      <c r="BH771" s="124" t="n"/>
      <c r="BI771" s="124" t="n"/>
      <c r="BJ771" s="124" t="n"/>
      <c r="BK771" s="124" t="n"/>
      <c r="BL771" s="124" t="n"/>
      <c r="BM771" s="124" t="n"/>
      <c r="BN771" s="124" t="n"/>
      <c r="BO771" s="124" t="n"/>
      <c r="BP771" s="124" t="n"/>
      <c r="BQ771" s="124" t="n"/>
      <c r="BR771" s="124" t="n"/>
      <c r="BS771" s="124" t="n"/>
      <c r="BT771" s="124" t="n"/>
      <c r="BU771" s="124" t="n"/>
      <c r="BV771" s="124" t="n"/>
      <c r="BW771" s="124" t="n"/>
      <c r="BX771" s="124" t="n"/>
      <c r="BY771" s="124" t="n"/>
      <c r="BZ771" s="124" t="n"/>
      <c r="CA771" s="124" t="n"/>
      <c r="CB771" s="124" t="n"/>
      <c r="CC771" s="124" t="n"/>
      <c r="CD771" s="124" t="n"/>
      <c r="CE771" s="124" t="n"/>
      <c r="CF771" s="124" t="n"/>
      <c r="CG771" s="124" t="n"/>
      <c r="CH771" s="124" t="n"/>
      <c r="CI771" s="124" t="n"/>
      <c r="CJ771" s="124" t="n"/>
      <c r="CK771" s="124" t="n"/>
      <c r="CL771" s="124" t="n"/>
      <c r="CM771" s="124" t="n"/>
      <c r="CN771" s="124" t="n"/>
      <c r="CO771" s="124" t="n"/>
      <c r="CP771" s="124" t="n"/>
      <c r="CQ771" s="124" t="n"/>
      <c r="CR771" s="124" t="n"/>
      <c r="CS771" s="124" t="n"/>
      <c r="CT771" s="124" t="n"/>
      <c r="CU771" s="124" t="n"/>
      <c r="CV771" s="124" t="n"/>
      <c r="CW771" s="124" t="n"/>
      <c r="CX771" s="124" t="n"/>
      <c r="CY771" s="124" t="n"/>
      <c r="CZ771" s="124" t="n"/>
      <c r="DA771" s="124" t="n"/>
      <c r="DB771" s="124" t="n"/>
      <c r="DC771" s="124" t="n"/>
      <c r="DD771" s="124" t="n"/>
      <c r="DE771" s="124" t="n"/>
      <c r="DF771" s="124" t="n"/>
      <c r="DG771" s="124" t="n"/>
      <c r="DH771" s="124" t="n"/>
      <c r="DI771" s="124" t="n"/>
      <c r="DJ771" s="124" t="n"/>
      <c r="DK771" s="124" t="n"/>
      <c r="DL771" s="124" t="n"/>
      <c r="DM771" s="124" t="n"/>
      <c r="DN771" s="124" t="n"/>
      <c r="DO771" s="124" t="n"/>
      <c r="DP771" s="124" t="n"/>
      <c r="DQ771" s="124" t="n"/>
      <c r="DR771" s="124" t="n"/>
      <c r="DS771" s="124" t="n"/>
      <c r="DT771" s="124" t="n"/>
      <c r="DU771" s="124" t="n"/>
      <c r="DV771" s="124" t="n"/>
      <c r="DW771" s="124" t="n"/>
      <c r="DX771" s="124" t="n"/>
      <c r="DY771" s="124" t="n"/>
      <c r="DZ771" s="124" t="n"/>
      <c r="EA771" s="124" t="n"/>
      <c r="EB771" s="124" t="n"/>
      <c r="EC771" s="124" t="n"/>
      <c r="ED771" s="124" t="n"/>
      <c r="EE771" s="124" t="n"/>
      <c r="EF771" s="124" t="n"/>
      <c r="EG771" s="124" t="n"/>
      <c r="EH771" s="124" t="n"/>
      <c r="EI771" s="124" t="n"/>
      <c r="EJ771" s="124" t="n"/>
      <c r="EK771" s="124" t="n"/>
      <c r="EL771" s="124" t="n"/>
      <c r="EM771" s="124" t="n"/>
      <c r="EN771" s="124" t="n"/>
      <c r="EO771" s="124" t="n"/>
      <c r="EP771" s="124" t="n"/>
      <c r="EQ771" s="124" t="n"/>
      <c r="ER771" s="124" t="n"/>
      <c r="ES771" s="124" t="n"/>
      <c r="ET771" s="124" t="n"/>
      <c r="EU771" s="124" t="n"/>
      <c r="EV771" s="124" t="n"/>
      <c r="EW771" s="124" t="n"/>
      <c r="EX771" s="124" t="n"/>
      <c r="EY771" s="124" t="n"/>
      <c r="EZ771" s="124" t="n"/>
      <c r="FA771" s="124" t="n"/>
      <c r="FB771" s="124" t="n"/>
      <c r="FC771" s="124" t="n"/>
      <c r="FD771" s="124" t="n"/>
      <c r="FE771" s="124" t="n"/>
      <c r="FF771" s="124" t="n"/>
      <c r="FG771" s="124" t="n"/>
      <c r="FH771" s="124" t="n"/>
      <c r="FI771" s="124" t="n"/>
      <c r="FJ771" s="124" t="n"/>
      <c r="FK771" s="124" t="n"/>
      <c r="FL771" s="124" t="n"/>
      <c r="FM771" s="124" t="n"/>
      <c r="FN771" s="124" t="n"/>
      <c r="FO771" s="124" t="n"/>
      <c r="FP771" s="124" t="n"/>
      <c r="FQ771" s="124" t="n"/>
      <c r="FR771" s="124" t="n"/>
      <c r="FS771" s="124" t="n"/>
      <c r="FT771" s="124" t="n"/>
      <c r="FU771" s="124" t="n"/>
      <c r="FV771" s="124" t="n"/>
      <c r="FW771" s="124" t="n"/>
      <c r="FX771" s="124" t="n"/>
      <c r="FY771" s="124" t="n"/>
      <c r="FZ771" s="124" t="n"/>
      <c r="GA771" s="124" t="n"/>
      <c r="GB771" s="124" t="n"/>
      <c r="GC771" s="124" t="n"/>
      <c r="GD771" s="124" t="n"/>
      <c r="GE771" s="124" t="n"/>
      <c r="GF771" s="124" t="n"/>
      <c r="GG771" s="124" t="n"/>
      <c r="GH771" s="124" t="n"/>
      <c r="GI771" s="124" t="n"/>
      <c r="GJ771" s="124" t="n"/>
      <c r="GK771" s="124" t="n"/>
      <c r="GL771" s="124" t="n"/>
      <c r="GM771" s="124" t="n"/>
      <c r="GN771" s="124" t="n"/>
      <c r="GO771" s="124" t="n"/>
      <c r="GP771" s="124" t="n"/>
      <c r="GQ771" s="124" t="n"/>
      <c r="GR771" s="124" t="n"/>
      <c r="GS771" s="124" t="n"/>
      <c r="GT771" s="124" t="n"/>
      <c r="GU771" s="124" t="n"/>
      <c r="GV771" s="124" t="n"/>
      <c r="GW771" s="124" t="n"/>
      <c r="GX771" s="124" t="n"/>
      <c r="GY771" s="124" t="n"/>
      <c r="GZ771" s="124" t="n"/>
      <c r="HA771" s="124" t="n"/>
      <c r="HB771" s="124" t="n"/>
      <c r="HC771" s="124" t="n"/>
      <c r="HD771" s="124" t="n"/>
      <c r="HE771" s="124" t="n"/>
      <c r="HF771" s="124" t="n"/>
      <c r="HG771" s="124" t="n"/>
      <c r="HH771" s="124" t="n"/>
      <c r="HI771" s="124" t="n"/>
      <c r="HJ771" s="124" t="n"/>
      <c r="HK771" s="124" t="n"/>
      <c r="HL771" s="124" t="n"/>
    </row>
    <row r="772" customFormat="1" s="3">
      <c r="A772" s="33" t="inlineStr">
        <is>
          <t>7 этап</t>
        </is>
      </c>
      <c r="B772" s="34" t="n"/>
      <c r="C772" s="108" t="inlineStr">
        <is>
          <t>Фасонные элементы</t>
        </is>
      </c>
      <c r="D772" s="36" t="inlineStr">
        <is>
          <t>шт.</t>
        </is>
      </c>
      <c r="E772" s="123" t="n">
        <v>26</v>
      </c>
      <c r="F772" s="124" t="n"/>
      <c r="G772" s="124" t="n"/>
      <c r="H772" s="124" t="n"/>
      <c r="I772" s="124" t="n"/>
      <c r="J772" s="124" t="n"/>
      <c r="K772" s="124" t="n"/>
      <c r="L772" s="124" t="n"/>
      <c r="M772" s="124" t="n"/>
      <c r="N772" s="124" t="n"/>
      <c r="O772" s="124" t="n"/>
      <c r="P772" s="124" t="n"/>
      <c r="Q772" s="124" t="n"/>
      <c r="R772" s="124" t="n"/>
      <c r="S772" s="124" t="n"/>
      <c r="T772" s="124" t="n"/>
      <c r="U772" s="124" t="n"/>
      <c r="V772" s="124" t="n"/>
      <c r="W772" s="124" t="n"/>
      <c r="X772" s="124" t="n"/>
      <c r="Y772" s="124" t="n"/>
      <c r="Z772" s="124" t="n"/>
      <c r="AA772" s="124" t="n"/>
      <c r="AB772" s="124" t="n"/>
      <c r="AC772" s="124" t="n"/>
      <c r="AD772" s="124" t="n"/>
      <c r="AE772" s="124" t="n"/>
      <c r="AF772" s="124" t="n"/>
      <c r="AG772" s="124" t="n"/>
      <c r="AH772" s="124" t="n"/>
      <c r="AI772" s="124" t="n"/>
      <c r="AJ772" s="124" t="n"/>
      <c r="AK772" s="124" t="n"/>
      <c r="AL772" s="124" t="n"/>
      <c r="AM772" s="124" t="n"/>
      <c r="AN772" s="124" t="n"/>
      <c r="AO772" s="124" t="n"/>
      <c r="AP772" s="124" t="n"/>
      <c r="AQ772" s="124" t="n"/>
      <c r="AR772" s="124" t="n"/>
      <c r="AS772" s="124" t="n"/>
      <c r="AT772" s="124" t="n"/>
      <c r="AU772" s="124" t="n"/>
      <c r="AV772" s="124" t="n"/>
      <c r="AW772" s="124" t="n"/>
      <c r="AX772" s="124" t="n"/>
      <c r="AY772" s="124" t="n"/>
      <c r="AZ772" s="124" t="n"/>
      <c r="BA772" s="124" t="n"/>
      <c r="BB772" s="124" t="n"/>
      <c r="BC772" s="124" t="n"/>
      <c r="BD772" s="124" t="n"/>
      <c r="BE772" s="124" t="n"/>
      <c r="BF772" s="124" t="n"/>
      <c r="BG772" s="124" t="n"/>
      <c r="BH772" s="124" t="n"/>
      <c r="BI772" s="124" t="n"/>
      <c r="BJ772" s="124" t="n"/>
      <c r="BK772" s="124" t="n"/>
      <c r="BL772" s="124" t="n"/>
      <c r="BM772" s="124" t="n"/>
      <c r="BN772" s="124" t="n"/>
      <c r="BO772" s="124" t="n"/>
      <c r="BP772" s="124" t="n"/>
      <c r="BQ772" s="124" t="n"/>
      <c r="BR772" s="124" t="n"/>
      <c r="BS772" s="124" t="n"/>
      <c r="BT772" s="124" t="n"/>
      <c r="BU772" s="124" t="n"/>
      <c r="BV772" s="124" t="n"/>
      <c r="BW772" s="124" t="n"/>
      <c r="BX772" s="124" t="n"/>
      <c r="BY772" s="124" t="n"/>
      <c r="BZ772" s="124" t="n"/>
      <c r="CA772" s="124" t="n"/>
      <c r="CB772" s="124" t="n"/>
      <c r="CC772" s="124" t="n"/>
      <c r="CD772" s="124" t="n"/>
      <c r="CE772" s="124" t="n"/>
      <c r="CF772" s="124" t="n"/>
      <c r="CG772" s="124" t="n"/>
      <c r="CH772" s="124" t="n"/>
      <c r="CI772" s="124" t="n"/>
      <c r="CJ772" s="124" t="n"/>
      <c r="CK772" s="124" t="n"/>
      <c r="CL772" s="124" t="n"/>
      <c r="CM772" s="124" t="n"/>
      <c r="CN772" s="124" t="n"/>
      <c r="CO772" s="124" t="n"/>
      <c r="CP772" s="124" t="n"/>
      <c r="CQ772" s="124" t="n"/>
      <c r="CR772" s="124" t="n"/>
      <c r="CS772" s="124" t="n"/>
      <c r="CT772" s="124" t="n"/>
      <c r="CU772" s="124" t="n"/>
      <c r="CV772" s="124" t="n"/>
      <c r="CW772" s="124" t="n"/>
      <c r="CX772" s="124" t="n"/>
      <c r="CY772" s="124" t="n"/>
      <c r="CZ772" s="124" t="n"/>
      <c r="DA772" s="124" t="n"/>
      <c r="DB772" s="124" t="n"/>
      <c r="DC772" s="124" t="n"/>
      <c r="DD772" s="124" t="n"/>
      <c r="DE772" s="124" t="n"/>
      <c r="DF772" s="124" t="n"/>
      <c r="DG772" s="124" t="n"/>
      <c r="DH772" s="124" t="n"/>
      <c r="DI772" s="124" t="n"/>
      <c r="DJ772" s="124" t="n"/>
      <c r="DK772" s="124" t="n"/>
      <c r="DL772" s="124" t="n"/>
      <c r="DM772" s="124" t="n"/>
      <c r="DN772" s="124" t="n"/>
      <c r="DO772" s="124" t="n"/>
      <c r="DP772" s="124" t="n"/>
      <c r="DQ772" s="124" t="n"/>
      <c r="DR772" s="124" t="n"/>
      <c r="DS772" s="124" t="n"/>
      <c r="DT772" s="124" t="n"/>
      <c r="DU772" s="124" t="n"/>
      <c r="DV772" s="124" t="n"/>
      <c r="DW772" s="124" t="n"/>
      <c r="DX772" s="124" t="n"/>
      <c r="DY772" s="124" t="n"/>
      <c r="DZ772" s="124" t="n"/>
      <c r="EA772" s="124" t="n"/>
      <c r="EB772" s="124" t="n"/>
      <c r="EC772" s="124" t="n"/>
      <c r="ED772" s="124" t="n"/>
      <c r="EE772" s="124" t="n"/>
      <c r="EF772" s="124" t="n"/>
      <c r="EG772" s="124" t="n"/>
      <c r="EH772" s="124" t="n"/>
      <c r="EI772" s="124" t="n"/>
      <c r="EJ772" s="124" t="n"/>
      <c r="EK772" s="124" t="n"/>
      <c r="EL772" s="124" t="n"/>
      <c r="EM772" s="124" t="n"/>
      <c r="EN772" s="124" t="n"/>
      <c r="EO772" s="124" t="n"/>
      <c r="EP772" s="124" t="n"/>
      <c r="EQ772" s="124" t="n"/>
      <c r="ER772" s="124" t="n"/>
      <c r="ES772" s="124" t="n"/>
      <c r="ET772" s="124" t="n"/>
      <c r="EU772" s="124" t="n"/>
      <c r="EV772" s="124" t="n"/>
      <c r="EW772" s="124" t="n"/>
      <c r="EX772" s="124" t="n"/>
      <c r="EY772" s="124" t="n"/>
      <c r="EZ772" s="124" t="n"/>
      <c r="FA772" s="124" t="n"/>
      <c r="FB772" s="124" t="n"/>
      <c r="FC772" s="124" t="n"/>
      <c r="FD772" s="124" t="n"/>
      <c r="FE772" s="124" t="n"/>
      <c r="FF772" s="124" t="n"/>
      <c r="FG772" s="124" t="n"/>
      <c r="FH772" s="124" t="n"/>
      <c r="FI772" s="124" t="n"/>
      <c r="FJ772" s="124" t="n"/>
      <c r="FK772" s="124" t="n"/>
      <c r="FL772" s="124" t="n"/>
      <c r="FM772" s="124" t="n"/>
      <c r="FN772" s="124" t="n"/>
      <c r="FO772" s="124" t="n"/>
      <c r="FP772" s="124" t="n"/>
      <c r="FQ772" s="124" t="n"/>
      <c r="FR772" s="124" t="n"/>
      <c r="FS772" s="124" t="n"/>
      <c r="FT772" s="124" t="n"/>
      <c r="FU772" s="124" t="n"/>
      <c r="FV772" s="124" t="n"/>
      <c r="FW772" s="124" t="n"/>
      <c r="FX772" s="124" t="n"/>
      <c r="FY772" s="124" t="n"/>
      <c r="FZ772" s="124" t="n"/>
      <c r="GA772" s="124" t="n"/>
      <c r="GB772" s="124" t="n"/>
      <c r="GC772" s="124" t="n"/>
      <c r="GD772" s="124" t="n"/>
      <c r="GE772" s="124" t="n"/>
      <c r="GF772" s="124" t="n"/>
      <c r="GG772" s="124" t="n"/>
      <c r="GH772" s="124" t="n"/>
      <c r="GI772" s="124" t="n"/>
      <c r="GJ772" s="124" t="n"/>
      <c r="GK772" s="124" t="n"/>
      <c r="GL772" s="124" t="n"/>
      <c r="GM772" s="124" t="n"/>
      <c r="GN772" s="124" t="n"/>
      <c r="GO772" s="124" t="n"/>
      <c r="GP772" s="124" t="n"/>
      <c r="GQ772" s="124" t="n"/>
      <c r="GR772" s="124" t="n"/>
      <c r="GS772" s="124" t="n"/>
      <c r="GT772" s="124" t="n"/>
      <c r="GU772" s="124" t="n"/>
      <c r="GV772" s="124" t="n"/>
      <c r="GW772" s="124" t="n"/>
      <c r="GX772" s="124" t="n"/>
      <c r="GY772" s="124" t="n"/>
      <c r="GZ772" s="124" t="n"/>
      <c r="HA772" s="124" t="n"/>
      <c r="HB772" s="124" t="n"/>
      <c r="HC772" s="124" t="n"/>
      <c r="HD772" s="124" t="n"/>
      <c r="HE772" s="124" t="n"/>
      <c r="HF772" s="124" t="n"/>
      <c r="HG772" s="124" t="n"/>
      <c r="HH772" s="124" t="n"/>
      <c r="HI772" s="124" t="n"/>
      <c r="HJ772" s="124" t="n"/>
      <c r="HK772" s="124" t="n"/>
      <c r="HL772" s="124" t="n"/>
    </row>
    <row r="773" customFormat="1" s="3">
      <c r="A773" s="33" t="inlineStr">
        <is>
          <t>7 этап</t>
        </is>
      </c>
      <c r="B773" s="34" t="n"/>
      <c r="C773" s="108" t="inlineStr">
        <is>
          <t>Арматура (краны шаровые ф25-125 Р=2,5 Мпа</t>
        </is>
      </c>
      <c r="D773" s="36" t="inlineStr">
        <is>
          <t>шт.</t>
        </is>
      </c>
      <c r="E773" s="123" t="n">
        <v>20</v>
      </c>
      <c r="F773" s="124" t="n"/>
      <c r="G773" s="124" t="n"/>
      <c r="H773" s="124" t="n"/>
      <c r="I773" s="124" t="n"/>
      <c r="J773" s="124" t="n"/>
      <c r="K773" s="124" t="n"/>
      <c r="L773" s="124" t="n"/>
      <c r="M773" s="124" t="n"/>
      <c r="N773" s="124" t="n"/>
      <c r="O773" s="124" t="n"/>
      <c r="P773" s="124" t="n"/>
      <c r="Q773" s="124" t="n"/>
      <c r="R773" s="124" t="n"/>
      <c r="S773" s="124" t="n"/>
      <c r="T773" s="124" t="n"/>
      <c r="U773" s="124" t="n"/>
      <c r="V773" s="124" t="n"/>
      <c r="W773" s="124" t="n"/>
      <c r="X773" s="124" t="n"/>
      <c r="Y773" s="124" t="n"/>
      <c r="Z773" s="124" t="n"/>
      <c r="AA773" s="124" t="n"/>
      <c r="AB773" s="124" t="n"/>
      <c r="AC773" s="124" t="n"/>
      <c r="AD773" s="124" t="n"/>
      <c r="AE773" s="124" t="n"/>
      <c r="AF773" s="124" t="n"/>
      <c r="AG773" s="124" t="n"/>
      <c r="AH773" s="124" t="n"/>
      <c r="AI773" s="124" t="n"/>
      <c r="AJ773" s="124" t="n"/>
      <c r="AK773" s="124" t="n"/>
      <c r="AL773" s="124" t="n"/>
      <c r="AM773" s="124" t="n"/>
      <c r="AN773" s="124" t="n"/>
      <c r="AO773" s="124" t="n"/>
      <c r="AP773" s="124" t="n"/>
      <c r="AQ773" s="124" t="n"/>
      <c r="AR773" s="124" t="n"/>
      <c r="AS773" s="124" t="n"/>
      <c r="AT773" s="124" t="n"/>
      <c r="AU773" s="124" t="n"/>
      <c r="AV773" s="124" t="n"/>
      <c r="AW773" s="124" t="n"/>
      <c r="AX773" s="124" t="n"/>
      <c r="AY773" s="124" t="n"/>
      <c r="AZ773" s="124" t="n"/>
      <c r="BA773" s="124" t="n"/>
      <c r="BB773" s="124" t="n"/>
      <c r="BC773" s="124" t="n"/>
      <c r="BD773" s="124" t="n"/>
      <c r="BE773" s="124" t="n"/>
      <c r="BF773" s="124" t="n"/>
      <c r="BG773" s="124" t="n"/>
      <c r="BH773" s="124" t="n"/>
      <c r="BI773" s="124" t="n"/>
      <c r="BJ773" s="124" t="n"/>
      <c r="BK773" s="124" t="n"/>
      <c r="BL773" s="124" t="n"/>
      <c r="BM773" s="124" t="n"/>
      <c r="BN773" s="124" t="n"/>
      <c r="BO773" s="124" t="n"/>
      <c r="BP773" s="124" t="n"/>
      <c r="BQ773" s="124" t="n"/>
      <c r="BR773" s="124" t="n"/>
      <c r="BS773" s="124" t="n"/>
      <c r="BT773" s="124" t="n"/>
      <c r="BU773" s="124" t="n"/>
      <c r="BV773" s="124" t="n"/>
      <c r="BW773" s="124" t="n"/>
      <c r="BX773" s="124" t="n"/>
      <c r="BY773" s="124" t="n"/>
      <c r="BZ773" s="124" t="n"/>
      <c r="CA773" s="124" t="n"/>
      <c r="CB773" s="124" t="n"/>
      <c r="CC773" s="124" t="n"/>
      <c r="CD773" s="124" t="n"/>
      <c r="CE773" s="124" t="n"/>
      <c r="CF773" s="124" t="n"/>
      <c r="CG773" s="124" t="n"/>
      <c r="CH773" s="124" t="n"/>
      <c r="CI773" s="124" t="n"/>
      <c r="CJ773" s="124" t="n"/>
      <c r="CK773" s="124" t="n"/>
      <c r="CL773" s="124" t="n"/>
      <c r="CM773" s="124" t="n"/>
      <c r="CN773" s="124" t="n"/>
      <c r="CO773" s="124" t="n"/>
      <c r="CP773" s="124" t="n"/>
      <c r="CQ773" s="124" t="n"/>
      <c r="CR773" s="124" t="n"/>
      <c r="CS773" s="124" t="n"/>
      <c r="CT773" s="124" t="n"/>
      <c r="CU773" s="124" t="n"/>
      <c r="CV773" s="124" t="n"/>
      <c r="CW773" s="124" t="n"/>
      <c r="CX773" s="124" t="n"/>
      <c r="CY773" s="124" t="n"/>
      <c r="CZ773" s="124" t="n"/>
      <c r="DA773" s="124" t="n"/>
      <c r="DB773" s="124" t="n"/>
      <c r="DC773" s="124" t="n"/>
      <c r="DD773" s="124" t="n"/>
      <c r="DE773" s="124" t="n"/>
      <c r="DF773" s="124" t="n"/>
      <c r="DG773" s="124" t="n"/>
      <c r="DH773" s="124" t="n"/>
      <c r="DI773" s="124" t="n"/>
      <c r="DJ773" s="124" t="n"/>
      <c r="DK773" s="124" t="n"/>
      <c r="DL773" s="124" t="n"/>
      <c r="DM773" s="124" t="n"/>
      <c r="DN773" s="124" t="n"/>
      <c r="DO773" s="124" t="n"/>
      <c r="DP773" s="124" t="n"/>
      <c r="DQ773" s="124" t="n"/>
      <c r="DR773" s="124" t="n"/>
      <c r="DS773" s="124" t="n"/>
      <c r="DT773" s="124" t="n"/>
      <c r="DU773" s="124" t="n"/>
      <c r="DV773" s="124" t="n"/>
      <c r="DW773" s="124" t="n"/>
      <c r="DX773" s="124" t="n"/>
      <c r="DY773" s="124" t="n"/>
      <c r="DZ773" s="124" t="n"/>
      <c r="EA773" s="124" t="n"/>
      <c r="EB773" s="124" t="n"/>
      <c r="EC773" s="124" t="n"/>
      <c r="ED773" s="124" t="n"/>
      <c r="EE773" s="124" t="n"/>
      <c r="EF773" s="124" t="n"/>
      <c r="EG773" s="124" t="n"/>
      <c r="EH773" s="124" t="n"/>
      <c r="EI773" s="124" t="n"/>
      <c r="EJ773" s="124" t="n"/>
      <c r="EK773" s="124" t="n"/>
      <c r="EL773" s="124" t="n"/>
      <c r="EM773" s="124" t="n"/>
      <c r="EN773" s="124" t="n"/>
      <c r="EO773" s="124" t="n"/>
      <c r="EP773" s="124" t="n"/>
      <c r="EQ773" s="124" t="n"/>
      <c r="ER773" s="124" t="n"/>
      <c r="ES773" s="124" t="n"/>
      <c r="ET773" s="124" t="n"/>
      <c r="EU773" s="124" t="n"/>
      <c r="EV773" s="124" t="n"/>
      <c r="EW773" s="124" t="n"/>
      <c r="EX773" s="124" t="n"/>
      <c r="EY773" s="124" t="n"/>
      <c r="EZ773" s="124" t="n"/>
      <c r="FA773" s="124" t="n"/>
      <c r="FB773" s="124" t="n"/>
      <c r="FC773" s="124" t="n"/>
      <c r="FD773" s="124" t="n"/>
      <c r="FE773" s="124" t="n"/>
      <c r="FF773" s="124" t="n"/>
      <c r="FG773" s="124" t="n"/>
      <c r="FH773" s="124" t="n"/>
      <c r="FI773" s="124" t="n"/>
      <c r="FJ773" s="124" t="n"/>
      <c r="FK773" s="124" t="n"/>
      <c r="FL773" s="124" t="n"/>
      <c r="FM773" s="124" t="n"/>
      <c r="FN773" s="124" t="n"/>
      <c r="FO773" s="124" t="n"/>
      <c r="FP773" s="124" t="n"/>
      <c r="FQ773" s="124" t="n"/>
      <c r="FR773" s="124" t="n"/>
      <c r="FS773" s="124" t="n"/>
      <c r="FT773" s="124" t="n"/>
      <c r="FU773" s="124" t="n"/>
      <c r="FV773" s="124" t="n"/>
      <c r="FW773" s="124" t="n"/>
      <c r="FX773" s="124" t="n"/>
      <c r="FY773" s="124" t="n"/>
      <c r="FZ773" s="124" t="n"/>
      <c r="GA773" s="124" t="n"/>
      <c r="GB773" s="124" t="n"/>
      <c r="GC773" s="124" t="n"/>
      <c r="GD773" s="124" t="n"/>
      <c r="GE773" s="124" t="n"/>
      <c r="GF773" s="124" t="n"/>
      <c r="GG773" s="124" t="n"/>
      <c r="GH773" s="124" t="n"/>
      <c r="GI773" s="124" t="n"/>
      <c r="GJ773" s="124" t="n"/>
      <c r="GK773" s="124" t="n"/>
      <c r="GL773" s="124" t="n"/>
      <c r="GM773" s="124" t="n"/>
      <c r="GN773" s="124" t="n"/>
      <c r="GO773" s="124" t="n"/>
      <c r="GP773" s="124" t="n"/>
      <c r="GQ773" s="124" t="n"/>
      <c r="GR773" s="124" t="n"/>
      <c r="GS773" s="124" t="n"/>
      <c r="GT773" s="124" t="n"/>
      <c r="GU773" s="124" t="n"/>
      <c r="GV773" s="124" t="n"/>
      <c r="GW773" s="124" t="n"/>
      <c r="GX773" s="124" t="n"/>
      <c r="GY773" s="124" t="n"/>
      <c r="GZ773" s="124" t="n"/>
      <c r="HA773" s="124" t="n"/>
      <c r="HB773" s="124" t="n"/>
      <c r="HC773" s="124" t="n"/>
      <c r="HD773" s="124" t="n"/>
      <c r="HE773" s="124" t="n"/>
      <c r="HF773" s="124" t="n"/>
      <c r="HG773" s="124" t="n"/>
      <c r="HH773" s="124" t="n"/>
      <c r="HI773" s="124" t="n"/>
      <c r="HJ773" s="124" t="n"/>
      <c r="HK773" s="124" t="n"/>
      <c r="HL773" s="124" t="n"/>
    </row>
    <row r="774" customFormat="1" s="3">
      <c r="A774" s="33" t="inlineStr">
        <is>
          <t>7 этап</t>
        </is>
      </c>
      <c r="B774" s="34" t="n"/>
      <c r="C774" s="108" t="inlineStr">
        <is>
          <t>Узел герметизации ввода трубопроводов тепловой сети</t>
        </is>
      </c>
      <c r="D774" s="36" t="inlineStr">
        <is>
          <t>шт.</t>
        </is>
      </c>
      <c r="E774" s="123" t="n">
        <v>2</v>
      </c>
      <c r="F774" s="124" t="n"/>
      <c r="G774" s="124" t="n"/>
      <c r="H774" s="124" t="n"/>
      <c r="I774" s="124" t="n"/>
      <c r="J774" s="124" t="n"/>
      <c r="K774" s="124" t="n"/>
      <c r="L774" s="124" t="n"/>
      <c r="M774" s="124" t="n"/>
      <c r="N774" s="124" t="n"/>
      <c r="O774" s="124" t="n"/>
      <c r="P774" s="124" t="n"/>
      <c r="Q774" s="124" t="n"/>
      <c r="R774" s="124" t="n"/>
      <c r="S774" s="124" t="n"/>
      <c r="T774" s="124" t="n"/>
      <c r="U774" s="124" t="n"/>
      <c r="V774" s="124" t="n"/>
      <c r="W774" s="124" t="n"/>
      <c r="X774" s="124" t="n"/>
      <c r="Y774" s="124" t="n"/>
      <c r="Z774" s="124" t="n"/>
      <c r="AA774" s="124" t="n"/>
      <c r="AB774" s="124" t="n"/>
      <c r="AC774" s="124" t="n"/>
      <c r="AD774" s="124" t="n"/>
      <c r="AE774" s="124" t="n"/>
      <c r="AF774" s="124" t="n"/>
      <c r="AG774" s="124" t="n"/>
      <c r="AH774" s="124" t="n"/>
      <c r="AI774" s="124" t="n"/>
      <c r="AJ774" s="124" t="n"/>
      <c r="AK774" s="124" t="n"/>
      <c r="AL774" s="124" t="n"/>
      <c r="AM774" s="124" t="n"/>
      <c r="AN774" s="124" t="n"/>
      <c r="AO774" s="124" t="n"/>
      <c r="AP774" s="124" t="n"/>
      <c r="AQ774" s="124" t="n"/>
      <c r="AR774" s="124" t="n"/>
      <c r="AS774" s="124" t="n"/>
      <c r="AT774" s="124" t="n"/>
      <c r="AU774" s="124" t="n"/>
      <c r="AV774" s="124" t="n"/>
      <c r="AW774" s="124" t="n"/>
      <c r="AX774" s="124" t="n"/>
      <c r="AY774" s="124" t="n"/>
      <c r="AZ774" s="124" t="n"/>
      <c r="BA774" s="124" t="n"/>
      <c r="BB774" s="124" t="n"/>
      <c r="BC774" s="124" t="n"/>
      <c r="BD774" s="124" t="n"/>
      <c r="BE774" s="124" t="n"/>
      <c r="BF774" s="124" t="n"/>
      <c r="BG774" s="124" t="n"/>
      <c r="BH774" s="124" t="n"/>
      <c r="BI774" s="124" t="n"/>
      <c r="BJ774" s="124" t="n"/>
      <c r="BK774" s="124" t="n"/>
      <c r="BL774" s="124" t="n"/>
      <c r="BM774" s="124" t="n"/>
      <c r="BN774" s="124" t="n"/>
      <c r="BO774" s="124" t="n"/>
      <c r="BP774" s="124" t="n"/>
      <c r="BQ774" s="124" t="n"/>
      <c r="BR774" s="124" t="n"/>
      <c r="BS774" s="124" t="n"/>
      <c r="BT774" s="124" t="n"/>
      <c r="BU774" s="124" t="n"/>
      <c r="BV774" s="124" t="n"/>
      <c r="BW774" s="124" t="n"/>
      <c r="BX774" s="124" t="n"/>
      <c r="BY774" s="124" t="n"/>
      <c r="BZ774" s="124" t="n"/>
      <c r="CA774" s="124" t="n"/>
      <c r="CB774" s="124" t="n"/>
      <c r="CC774" s="124" t="n"/>
      <c r="CD774" s="124" t="n"/>
      <c r="CE774" s="124" t="n"/>
      <c r="CF774" s="124" t="n"/>
      <c r="CG774" s="124" t="n"/>
      <c r="CH774" s="124" t="n"/>
      <c r="CI774" s="124" t="n"/>
      <c r="CJ774" s="124" t="n"/>
      <c r="CK774" s="124" t="n"/>
      <c r="CL774" s="124" t="n"/>
      <c r="CM774" s="124" t="n"/>
      <c r="CN774" s="124" t="n"/>
      <c r="CO774" s="124" t="n"/>
      <c r="CP774" s="124" t="n"/>
      <c r="CQ774" s="124" t="n"/>
      <c r="CR774" s="124" t="n"/>
      <c r="CS774" s="124" t="n"/>
      <c r="CT774" s="124" t="n"/>
      <c r="CU774" s="124" t="n"/>
      <c r="CV774" s="124" t="n"/>
      <c r="CW774" s="124" t="n"/>
      <c r="CX774" s="124" t="n"/>
      <c r="CY774" s="124" t="n"/>
      <c r="CZ774" s="124" t="n"/>
      <c r="DA774" s="124" t="n"/>
      <c r="DB774" s="124" t="n"/>
      <c r="DC774" s="124" t="n"/>
      <c r="DD774" s="124" t="n"/>
      <c r="DE774" s="124" t="n"/>
      <c r="DF774" s="124" t="n"/>
      <c r="DG774" s="124" t="n"/>
      <c r="DH774" s="124" t="n"/>
      <c r="DI774" s="124" t="n"/>
      <c r="DJ774" s="124" t="n"/>
      <c r="DK774" s="124" t="n"/>
      <c r="DL774" s="124" t="n"/>
      <c r="DM774" s="124" t="n"/>
      <c r="DN774" s="124" t="n"/>
      <c r="DO774" s="124" t="n"/>
      <c r="DP774" s="124" t="n"/>
      <c r="DQ774" s="124" t="n"/>
      <c r="DR774" s="124" t="n"/>
      <c r="DS774" s="124" t="n"/>
      <c r="DT774" s="124" t="n"/>
      <c r="DU774" s="124" t="n"/>
      <c r="DV774" s="124" t="n"/>
      <c r="DW774" s="124" t="n"/>
      <c r="DX774" s="124" t="n"/>
      <c r="DY774" s="124" t="n"/>
      <c r="DZ774" s="124" t="n"/>
      <c r="EA774" s="124" t="n"/>
      <c r="EB774" s="124" t="n"/>
      <c r="EC774" s="124" t="n"/>
      <c r="ED774" s="124" t="n"/>
      <c r="EE774" s="124" t="n"/>
      <c r="EF774" s="124" t="n"/>
      <c r="EG774" s="124" t="n"/>
      <c r="EH774" s="124" t="n"/>
      <c r="EI774" s="124" t="n"/>
      <c r="EJ774" s="124" t="n"/>
      <c r="EK774" s="124" t="n"/>
      <c r="EL774" s="124" t="n"/>
      <c r="EM774" s="124" t="n"/>
      <c r="EN774" s="124" t="n"/>
      <c r="EO774" s="124" t="n"/>
      <c r="EP774" s="124" t="n"/>
      <c r="EQ774" s="124" t="n"/>
      <c r="ER774" s="124" t="n"/>
      <c r="ES774" s="124" t="n"/>
      <c r="ET774" s="124" t="n"/>
      <c r="EU774" s="124" t="n"/>
      <c r="EV774" s="124" t="n"/>
      <c r="EW774" s="124" t="n"/>
      <c r="EX774" s="124" t="n"/>
      <c r="EY774" s="124" t="n"/>
      <c r="EZ774" s="124" t="n"/>
      <c r="FA774" s="124" t="n"/>
      <c r="FB774" s="124" t="n"/>
      <c r="FC774" s="124" t="n"/>
      <c r="FD774" s="124" t="n"/>
      <c r="FE774" s="124" t="n"/>
      <c r="FF774" s="124" t="n"/>
      <c r="FG774" s="124" t="n"/>
      <c r="FH774" s="124" t="n"/>
      <c r="FI774" s="124" t="n"/>
      <c r="FJ774" s="124" t="n"/>
      <c r="FK774" s="124" t="n"/>
      <c r="FL774" s="124" t="n"/>
      <c r="FM774" s="124" t="n"/>
      <c r="FN774" s="124" t="n"/>
      <c r="FO774" s="124" t="n"/>
      <c r="FP774" s="124" t="n"/>
      <c r="FQ774" s="124" t="n"/>
      <c r="FR774" s="124" t="n"/>
      <c r="FS774" s="124" t="n"/>
      <c r="FT774" s="124" t="n"/>
      <c r="FU774" s="124" t="n"/>
      <c r="FV774" s="124" t="n"/>
      <c r="FW774" s="124" t="n"/>
      <c r="FX774" s="124" t="n"/>
      <c r="FY774" s="124" t="n"/>
      <c r="FZ774" s="124" t="n"/>
      <c r="GA774" s="124" t="n"/>
      <c r="GB774" s="124" t="n"/>
      <c r="GC774" s="124" t="n"/>
      <c r="GD774" s="124" t="n"/>
      <c r="GE774" s="124" t="n"/>
      <c r="GF774" s="124" t="n"/>
      <c r="GG774" s="124" t="n"/>
      <c r="GH774" s="124" t="n"/>
      <c r="GI774" s="124" t="n"/>
      <c r="GJ774" s="124" t="n"/>
      <c r="GK774" s="124" t="n"/>
      <c r="GL774" s="124" t="n"/>
      <c r="GM774" s="124" t="n"/>
      <c r="GN774" s="124" t="n"/>
      <c r="GO774" s="124" t="n"/>
      <c r="GP774" s="124" t="n"/>
      <c r="GQ774" s="124" t="n"/>
      <c r="GR774" s="124" t="n"/>
      <c r="GS774" s="124" t="n"/>
      <c r="GT774" s="124" t="n"/>
      <c r="GU774" s="124" t="n"/>
      <c r="GV774" s="124" t="n"/>
      <c r="GW774" s="124" t="n"/>
      <c r="GX774" s="124" t="n"/>
      <c r="GY774" s="124" t="n"/>
      <c r="GZ774" s="124" t="n"/>
      <c r="HA774" s="124" t="n"/>
      <c r="HB774" s="124" t="n"/>
      <c r="HC774" s="124" t="n"/>
      <c r="HD774" s="124" t="n"/>
      <c r="HE774" s="124" t="n"/>
      <c r="HF774" s="124" t="n"/>
      <c r="HG774" s="124" t="n"/>
      <c r="HH774" s="124" t="n"/>
      <c r="HI774" s="124" t="n"/>
      <c r="HJ774" s="124" t="n"/>
      <c r="HK774" s="124" t="n"/>
      <c r="HL774" s="124" t="n"/>
    </row>
    <row r="775" customFormat="1" s="3">
      <c r="A775" s="33" t="inlineStr">
        <is>
          <t>7 этап</t>
        </is>
      </c>
      <c r="B775" s="34" t="n"/>
      <c r="C775" s="108" t="inlineStr">
        <is>
          <t>Люк чугунный "Т" ф 700</t>
        </is>
      </c>
      <c r="D775" s="36" t="inlineStr">
        <is>
          <t>шт.</t>
        </is>
      </c>
      <c r="E775" s="123" t="n">
        <v>2</v>
      </c>
      <c r="F775" s="124" t="n"/>
      <c r="G775" s="124" t="n"/>
      <c r="H775" s="124" t="n"/>
      <c r="I775" s="124" t="n"/>
      <c r="J775" s="124" t="n"/>
      <c r="K775" s="124" t="n"/>
      <c r="L775" s="124" t="n"/>
      <c r="M775" s="124" t="n"/>
      <c r="N775" s="124" t="n"/>
      <c r="O775" s="124" t="n"/>
      <c r="P775" s="124" t="n"/>
      <c r="Q775" s="124" t="n"/>
      <c r="R775" s="124" t="n"/>
      <c r="S775" s="124" t="n"/>
      <c r="T775" s="124" t="n"/>
      <c r="U775" s="124" t="n"/>
      <c r="V775" s="124" t="n"/>
      <c r="W775" s="124" t="n"/>
      <c r="X775" s="124" t="n"/>
      <c r="Y775" s="124" t="n"/>
      <c r="Z775" s="124" t="n"/>
      <c r="AA775" s="124" t="n"/>
      <c r="AB775" s="124" t="n"/>
      <c r="AC775" s="124" t="n"/>
      <c r="AD775" s="124" t="n"/>
      <c r="AE775" s="124" t="n"/>
      <c r="AF775" s="124" t="n"/>
      <c r="AG775" s="124" t="n"/>
      <c r="AH775" s="124" t="n"/>
      <c r="AI775" s="124" t="n"/>
      <c r="AJ775" s="124" t="n"/>
      <c r="AK775" s="124" t="n"/>
      <c r="AL775" s="124" t="n"/>
      <c r="AM775" s="124" t="n"/>
      <c r="AN775" s="124" t="n"/>
      <c r="AO775" s="124" t="n"/>
      <c r="AP775" s="124" t="n"/>
      <c r="AQ775" s="124" t="n"/>
      <c r="AR775" s="124" t="n"/>
      <c r="AS775" s="124" t="n"/>
      <c r="AT775" s="124" t="n"/>
      <c r="AU775" s="124" t="n"/>
      <c r="AV775" s="124" t="n"/>
      <c r="AW775" s="124" t="n"/>
      <c r="AX775" s="124" t="n"/>
      <c r="AY775" s="124" t="n"/>
      <c r="AZ775" s="124" t="n"/>
      <c r="BA775" s="124" t="n"/>
      <c r="BB775" s="124" t="n"/>
      <c r="BC775" s="124" t="n"/>
      <c r="BD775" s="124" t="n"/>
      <c r="BE775" s="124" t="n"/>
      <c r="BF775" s="124" t="n"/>
      <c r="BG775" s="124" t="n"/>
      <c r="BH775" s="124" t="n"/>
      <c r="BI775" s="124" t="n"/>
      <c r="BJ775" s="124" t="n"/>
      <c r="BK775" s="124" t="n"/>
      <c r="BL775" s="124" t="n"/>
      <c r="BM775" s="124" t="n"/>
      <c r="BN775" s="124" t="n"/>
      <c r="BO775" s="124" t="n"/>
      <c r="BP775" s="124" t="n"/>
      <c r="BQ775" s="124" t="n"/>
      <c r="BR775" s="124" t="n"/>
      <c r="BS775" s="124" t="n"/>
      <c r="BT775" s="124" t="n"/>
      <c r="BU775" s="124" t="n"/>
      <c r="BV775" s="124" t="n"/>
      <c r="BW775" s="124" t="n"/>
      <c r="BX775" s="124" t="n"/>
      <c r="BY775" s="124" t="n"/>
      <c r="BZ775" s="124" t="n"/>
      <c r="CA775" s="124" t="n"/>
      <c r="CB775" s="124" t="n"/>
      <c r="CC775" s="124" t="n"/>
      <c r="CD775" s="124" t="n"/>
      <c r="CE775" s="124" t="n"/>
      <c r="CF775" s="124" t="n"/>
      <c r="CG775" s="124" t="n"/>
      <c r="CH775" s="124" t="n"/>
      <c r="CI775" s="124" t="n"/>
      <c r="CJ775" s="124" t="n"/>
      <c r="CK775" s="124" t="n"/>
      <c r="CL775" s="124" t="n"/>
      <c r="CM775" s="124" t="n"/>
      <c r="CN775" s="124" t="n"/>
      <c r="CO775" s="124" t="n"/>
      <c r="CP775" s="124" t="n"/>
      <c r="CQ775" s="124" t="n"/>
      <c r="CR775" s="124" t="n"/>
      <c r="CS775" s="124" t="n"/>
      <c r="CT775" s="124" t="n"/>
      <c r="CU775" s="124" t="n"/>
      <c r="CV775" s="124" t="n"/>
      <c r="CW775" s="124" t="n"/>
      <c r="CX775" s="124" t="n"/>
      <c r="CY775" s="124" t="n"/>
      <c r="CZ775" s="124" t="n"/>
      <c r="DA775" s="124" t="n"/>
      <c r="DB775" s="124" t="n"/>
      <c r="DC775" s="124" t="n"/>
      <c r="DD775" s="124" t="n"/>
      <c r="DE775" s="124" t="n"/>
      <c r="DF775" s="124" t="n"/>
      <c r="DG775" s="124" t="n"/>
      <c r="DH775" s="124" t="n"/>
      <c r="DI775" s="124" t="n"/>
      <c r="DJ775" s="124" t="n"/>
      <c r="DK775" s="124" t="n"/>
      <c r="DL775" s="124" t="n"/>
      <c r="DM775" s="124" t="n"/>
      <c r="DN775" s="124" t="n"/>
      <c r="DO775" s="124" t="n"/>
      <c r="DP775" s="124" t="n"/>
      <c r="DQ775" s="124" t="n"/>
      <c r="DR775" s="124" t="n"/>
      <c r="DS775" s="124" t="n"/>
      <c r="DT775" s="124" t="n"/>
      <c r="DU775" s="124" t="n"/>
      <c r="DV775" s="124" t="n"/>
      <c r="DW775" s="124" t="n"/>
      <c r="DX775" s="124" t="n"/>
      <c r="DY775" s="124" t="n"/>
      <c r="DZ775" s="124" t="n"/>
      <c r="EA775" s="124" t="n"/>
      <c r="EB775" s="124" t="n"/>
      <c r="EC775" s="124" t="n"/>
      <c r="ED775" s="124" t="n"/>
      <c r="EE775" s="124" t="n"/>
      <c r="EF775" s="124" t="n"/>
      <c r="EG775" s="124" t="n"/>
      <c r="EH775" s="124" t="n"/>
      <c r="EI775" s="124" t="n"/>
      <c r="EJ775" s="124" t="n"/>
      <c r="EK775" s="124" t="n"/>
      <c r="EL775" s="124" t="n"/>
      <c r="EM775" s="124" t="n"/>
      <c r="EN775" s="124" t="n"/>
      <c r="EO775" s="124" t="n"/>
      <c r="EP775" s="124" t="n"/>
      <c r="EQ775" s="124" t="n"/>
      <c r="ER775" s="124" t="n"/>
      <c r="ES775" s="124" t="n"/>
      <c r="ET775" s="124" t="n"/>
      <c r="EU775" s="124" t="n"/>
      <c r="EV775" s="124" t="n"/>
      <c r="EW775" s="124" t="n"/>
      <c r="EX775" s="124" t="n"/>
      <c r="EY775" s="124" t="n"/>
      <c r="EZ775" s="124" t="n"/>
      <c r="FA775" s="124" t="n"/>
      <c r="FB775" s="124" t="n"/>
      <c r="FC775" s="124" t="n"/>
      <c r="FD775" s="124" t="n"/>
      <c r="FE775" s="124" t="n"/>
      <c r="FF775" s="124" t="n"/>
      <c r="FG775" s="124" t="n"/>
      <c r="FH775" s="124" t="n"/>
      <c r="FI775" s="124" t="n"/>
      <c r="FJ775" s="124" t="n"/>
      <c r="FK775" s="124" t="n"/>
      <c r="FL775" s="124" t="n"/>
      <c r="FM775" s="124" t="n"/>
      <c r="FN775" s="124" t="n"/>
      <c r="FO775" s="124" t="n"/>
      <c r="FP775" s="124" t="n"/>
      <c r="FQ775" s="124" t="n"/>
      <c r="FR775" s="124" t="n"/>
      <c r="FS775" s="124" t="n"/>
      <c r="FT775" s="124" t="n"/>
      <c r="FU775" s="124" t="n"/>
      <c r="FV775" s="124" t="n"/>
      <c r="FW775" s="124" t="n"/>
      <c r="FX775" s="124" t="n"/>
      <c r="FY775" s="124" t="n"/>
      <c r="FZ775" s="124" t="n"/>
      <c r="GA775" s="124" t="n"/>
      <c r="GB775" s="124" t="n"/>
      <c r="GC775" s="124" t="n"/>
      <c r="GD775" s="124" t="n"/>
      <c r="GE775" s="124" t="n"/>
      <c r="GF775" s="124" t="n"/>
      <c r="GG775" s="124" t="n"/>
      <c r="GH775" s="124" t="n"/>
      <c r="GI775" s="124" t="n"/>
      <c r="GJ775" s="124" t="n"/>
      <c r="GK775" s="124" t="n"/>
      <c r="GL775" s="124" t="n"/>
      <c r="GM775" s="124" t="n"/>
      <c r="GN775" s="124" t="n"/>
      <c r="GO775" s="124" t="n"/>
      <c r="GP775" s="124" t="n"/>
      <c r="GQ775" s="124" t="n"/>
      <c r="GR775" s="124" t="n"/>
      <c r="GS775" s="124" t="n"/>
      <c r="GT775" s="124" t="n"/>
      <c r="GU775" s="124" t="n"/>
      <c r="GV775" s="124" t="n"/>
      <c r="GW775" s="124" t="n"/>
      <c r="GX775" s="124" t="n"/>
      <c r="GY775" s="124" t="n"/>
      <c r="GZ775" s="124" t="n"/>
      <c r="HA775" s="124" t="n"/>
      <c r="HB775" s="124" t="n"/>
      <c r="HC775" s="124" t="n"/>
      <c r="HD775" s="124" t="n"/>
      <c r="HE775" s="124" t="n"/>
      <c r="HF775" s="124" t="n"/>
      <c r="HG775" s="124" t="n"/>
      <c r="HH775" s="124" t="n"/>
      <c r="HI775" s="124" t="n"/>
      <c r="HJ775" s="124" t="n"/>
      <c r="HK775" s="124" t="n"/>
      <c r="HL775" s="124" t="n"/>
    </row>
    <row r="776" customFormat="1" s="3">
      <c r="A776" s="33" t="inlineStr">
        <is>
          <t>7 этап</t>
        </is>
      </c>
      <c r="B776" s="34" t="n"/>
      <c r="C776" s="108" t="inlineStr">
        <is>
          <t>Узел управления №1 (отопление и вентиляция) АБК</t>
        </is>
      </c>
      <c r="D776" s="36" t="inlineStr">
        <is>
          <t>шт.</t>
        </is>
      </c>
      <c r="E776" s="123" t="n">
        <v>1</v>
      </c>
      <c r="F776" s="124" t="n"/>
      <c r="G776" s="124" t="n"/>
      <c r="H776" s="124" t="n"/>
      <c r="I776" s="124" t="n"/>
      <c r="J776" s="124" t="n"/>
      <c r="K776" s="124" t="n"/>
      <c r="L776" s="124" t="n"/>
      <c r="M776" s="124" t="n"/>
      <c r="N776" s="124" t="n"/>
      <c r="O776" s="124" t="n"/>
      <c r="P776" s="124" t="n"/>
      <c r="Q776" s="124" t="n"/>
      <c r="R776" s="124" t="n"/>
      <c r="S776" s="124" t="n"/>
      <c r="T776" s="124" t="n"/>
      <c r="U776" s="124" t="n"/>
      <c r="V776" s="124" t="n"/>
      <c r="W776" s="124" t="n"/>
      <c r="X776" s="124" t="n"/>
      <c r="Y776" s="124" t="n"/>
      <c r="Z776" s="124" t="n"/>
      <c r="AA776" s="124" t="n"/>
      <c r="AB776" s="124" t="n"/>
      <c r="AC776" s="124" t="n"/>
      <c r="AD776" s="124" t="n"/>
      <c r="AE776" s="124" t="n"/>
      <c r="AF776" s="124" t="n"/>
      <c r="AG776" s="124" t="n"/>
      <c r="AH776" s="124" t="n"/>
      <c r="AI776" s="124" t="n"/>
      <c r="AJ776" s="124" t="n"/>
      <c r="AK776" s="124" t="n"/>
      <c r="AL776" s="124" t="n"/>
      <c r="AM776" s="124" t="n"/>
      <c r="AN776" s="124" t="n"/>
      <c r="AO776" s="124" t="n"/>
      <c r="AP776" s="124" t="n"/>
      <c r="AQ776" s="124" t="n"/>
      <c r="AR776" s="124" t="n"/>
      <c r="AS776" s="124" t="n"/>
      <c r="AT776" s="124" t="n"/>
      <c r="AU776" s="124" t="n"/>
      <c r="AV776" s="124" t="n"/>
      <c r="AW776" s="124" t="n"/>
      <c r="AX776" s="124" t="n"/>
      <c r="AY776" s="124" t="n"/>
      <c r="AZ776" s="124" t="n"/>
      <c r="BA776" s="124" t="n"/>
      <c r="BB776" s="124" t="n"/>
      <c r="BC776" s="124" t="n"/>
      <c r="BD776" s="124" t="n"/>
      <c r="BE776" s="124" t="n"/>
      <c r="BF776" s="124" t="n"/>
      <c r="BG776" s="124" t="n"/>
      <c r="BH776" s="124" t="n"/>
      <c r="BI776" s="124" t="n"/>
      <c r="BJ776" s="124" t="n"/>
      <c r="BK776" s="124" t="n"/>
      <c r="BL776" s="124" t="n"/>
      <c r="BM776" s="124" t="n"/>
      <c r="BN776" s="124" t="n"/>
      <c r="BO776" s="124" t="n"/>
      <c r="BP776" s="124" t="n"/>
      <c r="BQ776" s="124" t="n"/>
      <c r="BR776" s="124" t="n"/>
      <c r="BS776" s="124" t="n"/>
      <c r="BT776" s="124" t="n"/>
      <c r="BU776" s="124" t="n"/>
      <c r="BV776" s="124" t="n"/>
      <c r="BW776" s="124" t="n"/>
      <c r="BX776" s="124" t="n"/>
      <c r="BY776" s="124" t="n"/>
      <c r="BZ776" s="124" t="n"/>
      <c r="CA776" s="124" t="n"/>
      <c r="CB776" s="124" t="n"/>
      <c r="CC776" s="124" t="n"/>
      <c r="CD776" s="124" t="n"/>
      <c r="CE776" s="124" t="n"/>
      <c r="CF776" s="124" t="n"/>
      <c r="CG776" s="124" t="n"/>
      <c r="CH776" s="124" t="n"/>
      <c r="CI776" s="124" t="n"/>
      <c r="CJ776" s="124" t="n"/>
      <c r="CK776" s="124" t="n"/>
      <c r="CL776" s="124" t="n"/>
      <c r="CM776" s="124" t="n"/>
      <c r="CN776" s="124" t="n"/>
      <c r="CO776" s="124" t="n"/>
      <c r="CP776" s="124" t="n"/>
      <c r="CQ776" s="124" t="n"/>
      <c r="CR776" s="124" t="n"/>
      <c r="CS776" s="124" t="n"/>
      <c r="CT776" s="124" t="n"/>
      <c r="CU776" s="124" t="n"/>
      <c r="CV776" s="124" t="n"/>
      <c r="CW776" s="124" t="n"/>
      <c r="CX776" s="124" t="n"/>
      <c r="CY776" s="124" t="n"/>
      <c r="CZ776" s="124" t="n"/>
      <c r="DA776" s="124" t="n"/>
      <c r="DB776" s="124" t="n"/>
      <c r="DC776" s="124" t="n"/>
      <c r="DD776" s="124" t="n"/>
      <c r="DE776" s="124" t="n"/>
      <c r="DF776" s="124" t="n"/>
      <c r="DG776" s="124" t="n"/>
      <c r="DH776" s="124" t="n"/>
      <c r="DI776" s="124" t="n"/>
      <c r="DJ776" s="124" t="n"/>
      <c r="DK776" s="124" t="n"/>
      <c r="DL776" s="124" t="n"/>
      <c r="DM776" s="124" t="n"/>
      <c r="DN776" s="124" t="n"/>
      <c r="DO776" s="124" t="n"/>
      <c r="DP776" s="124" t="n"/>
      <c r="DQ776" s="124" t="n"/>
      <c r="DR776" s="124" t="n"/>
      <c r="DS776" s="124" t="n"/>
      <c r="DT776" s="124" t="n"/>
      <c r="DU776" s="124" t="n"/>
      <c r="DV776" s="124" t="n"/>
      <c r="DW776" s="124" t="n"/>
      <c r="DX776" s="124" t="n"/>
      <c r="DY776" s="124" t="n"/>
      <c r="DZ776" s="124" t="n"/>
      <c r="EA776" s="124" t="n"/>
      <c r="EB776" s="124" t="n"/>
      <c r="EC776" s="124" t="n"/>
      <c r="ED776" s="124" t="n"/>
      <c r="EE776" s="124" t="n"/>
      <c r="EF776" s="124" t="n"/>
      <c r="EG776" s="124" t="n"/>
      <c r="EH776" s="124" t="n"/>
      <c r="EI776" s="124" t="n"/>
      <c r="EJ776" s="124" t="n"/>
      <c r="EK776" s="124" t="n"/>
      <c r="EL776" s="124" t="n"/>
      <c r="EM776" s="124" t="n"/>
      <c r="EN776" s="124" t="n"/>
      <c r="EO776" s="124" t="n"/>
      <c r="EP776" s="124" t="n"/>
      <c r="EQ776" s="124" t="n"/>
      <c r="ER776" s="124" t="n"/>
      <c r="ES776" s="124" t="n"/>
      <c r="ET776" s="124" t="n"/>
      <c r="EU776" s="124" t="n"/>
      <c r="EV776" s="124" t="n"/>
      <c r="EW776" s="124" t="n"/>
      <c r="EX776" s="124" t="n"/>
      <c r="EY776" s="124" t="n"/>
      <c r="EZ776" s="124" t="n"/>
      <c r="FA776" s="124" t="n"/>
      <c r="FB776" s="124" t="n"/>
      <c r="FC776" s="124" t="n"/>
      <c r="FD776" s="124" t="n"/>
      <c r="FE776" s="124" t="n"/>
      <c r="FF776" s="124" t="n"/>
      <c r="FG776" s="124" t="n"/>
      <c r="FH776" s="124" t="n"/>
      <c r="FI776" s="124" t="n"/>
      <c r="FJ776" s="124" t="n"/>
      <c r="FK776" s="124" t="n"/>
      <c r="FL776" s="124" t="n"/>
      <c r="FM776" s="124" t="n"/>
      <c r="FN776" s="124" t="n"/>
      <c r="FO776" s="124" t="n"/>
      <c r="FP776" s="124" t="n"/>
      <c r="FQ776" s="124" t="n"/>
      <c r="FR776" s="124" t="n"/>
      <c r="FS776" s="124" t="n"/>
      <c r="FT776" s="124" t="n"/>
      <c r="FU776" s="124" t="n"/>
      <c r="FV776" s="124" t="n"/>
      <c r="FW776" s="124" t="n"/>
      <c r="FX776" s="124" t="n"/>
      <c r="FY776" s="124" t="n"/>
      <c r="FZ776" s="124" t="n"/>
      <c r="GA776" s="124" t="n"/>
      <c r="GB776" s="124" t="n"/>
      <c r="GC776" s="124" t="n"/>
      <c r="GD776" s="124" t="n"/>
      <c r="GE776" s="124" t="n"/>
      <c r="GF776" s="124" t="n"/>
      <c r="GG776" s="124" t="n"/>
      <c r="GH776" s="124" t="n"/>
      <c r="GI776" s="124" t="n"/>
      <c r="GJ776" s="124" t="n"/>
      <c r="GK776" s="124" t="n"/>
      <c r="GL776" s="124" t="n"/>
      <c r="GM776" s="124" t="n"/>
      <c r="GN776" s="124" t="n"/>
      <c r="GO776" s="124" t="n"/>
      <c r="GP776" s="124" t="n"/>
      <c r="GQ776" s="124" t="n"/>
      <c r="GR776" s="124" t="n"/>
      <c r="GS776" s="124" t="n"/>
      <c r="GT776" s="124" t="n"/>
      <c r="GU776" s="124" t="n"/>
      <c r="GV776" s="124" t="n"/>
      <c r="GW776" s="124" t="n"/>
      <c r="GX776" s="124" t="n"/>
      <c r="GY776" s="124" t="n"/>
      <c r="GZ776" s="124" t="n"/>
      <c r="HA776" s="124" t="n"/>
      <c r="HB776" s="124" t="n"/>
      <c r="HC776" s="124" t="n"/>
      <c r="HD776" s="124" t="n"/>
      <c r="HE776" s="124" t="n"/>
      <c r="HF776" s="124" t="n"/>
      <c r="HG776" s="124" t="n"/>
      <c r="HH776" s="124" t="n"/>
      <c r="HI776" s="124" t="n"/>
      <c r="HJ776" s="124" t="n"/>
      <c r="HK776" s="124" t="n"/>
      <c r="HL776" s="124" t="n"/>
    </row>
    <row r="777" customFormat="1" s="3">
      <c r="A777" s="33" t="inlineStr">
        <is>
          <t>7 этап</t>
        </is>
      </c>
      <c r="B777" s="34" t="n"/>
      <c r="C777" s="108" t="inlineStr">
        <is>
          <t>Узел управления №2 (ГВС) АБК</t>
        </is>
      </c>
      <c r="D777" s="36" t="inlineStr">
        <is>
          <t>шт.</t>
        </is>
      </c>
      <c r="E777" s="123" t="n">
        <v>1</v>
      </c>
      <c r="F777" s="124" t="n"/>
      <c r="G777" s="124" t="n"/>
      <c r="H777" s="124" t="n"/>
      <c r="I777" s="124" t="n"/>
      <c r="J777" s="124" t="n"/>
      <c r="K777" s="124" t="n"/>
      <c r="L777" s="124" t="n"/>
      <c r="M777" s="124" t="n"/>
      <c r="N777" s="124" t="n"/>
      <c r="O777" s="124" t="n"/>
      <c r="P777" s="124" t="n"/>
      <c r="Q777" s="124" t="n"/>
      <c r="R777" s="124" t="n"/>
      <c r="S777" s="124" t="n"/>
      <c r="T777" s="124" t="n"/>
      <c r="U777" s="124" t="n"/>
      <c r="V777" s="124" t="n"/>
      <c r="W777" s="124" t="n"/>
      <c r="X777" s="124" t="n"/>
      <c r="Y777" s="124" t="n"/>
      <c r="Z777" s="124" t="n"/>
      <c r="AA777" s="124" t="n"/>
      <c r="AB777" s="124" t="n"/>
      <c r="AC777" s="124" t="n"/>
      <c r="AD777" s="124" t="n"/>
      <c r="AE777" s="124" t="n"/>
      <c r="AF777" s="124" t="n"/>
      <c r="AG777" s="124" t="n"/>
      <c r="AH777" s="124" t="n"/>
      <c r="AI777" s="124" t="n"/>
      <c r="AJ777" s="124" t="n"/>
      <c r="AK777" s="124" t="n"/>
      <c r="AL777" s="124" t="n"/>
      <c r="AM777" s="124" t="n"/>
      <c r="AN777" s="124" t="n"/>
      <c r="AO777" s="124" t="n"/>
      <c r="AP777" s="124" t="n"/>
      <c r="AQ777" s="124" t="n"/>
      <c r="AR777" s="124" t="n"/>
      <c r="AS777" s="124" t="n"/>
      <c r="AT777" s="124" t="n"/>
      <c r="AU777" s="124" t="n"/>
      <c r="AV777" s="124" t="n"/>
      <c r="AW777" s="124" t="n"/>
      <c r="AX777" s="124" t="n"/>
      <c r="AY777" s="124" t="n"/>
      <c r="AZ777" s="124" t="n"/>
      <c r="BA777" s="124" t="n"/>
      <c r="BB777" s="124" t="n"/>
      <c r="BC777" s="124" t="n"/>
      <c r="BD777" s="124" t="n"/>
      <c r="BE777" s="124" t="n"/>
      <c r="BF777" s="124" t="n"/>
      <c r="BG777" s="124" t="n"/>
      <c r="BH777" s="124" t="n"/>
      <c r="BI777" s="124" t="n"/>
      <c r="BJ777" s="124" t="n"/>
      <c r="BK777" s="124" t="n"/>
      <c r="BL777" s="124" t="n"/>
      <c r="BM777" s="124" t="n"/>
      <c r="BN777" s="124" t="n"/>
      <c r="BO777" s="124" t="n"/>
      <c r="BP777" s="124" t="n"/>
      <c r="BQ777" s="124" t="n"/>
      <c r="BR777" s="124" t="n"/>
      <c r="BS777" s="124" t="n"/>
      <c r="BT777" s="124" t="n"/>
      <c r="BU777" s="124" t="n"/>
      <c r="BV777" s="124" t="n"/>
      <c r="BW777" s="124" t="n"/>
      <c r="BX777" s="124" t="n"/>
      <c r="BY777" s="124" t="n"/>
      <c r="BZ777" s="124" t="n"/>
      <c r="CA777" s="124" t="n"/>
      <c r="CB777" s="124" t="n"/>
      <c r="CC777" s="124" t="n"/>
      <c r="CD777" s="124" t="n"/>
      <c r="CE777" s="124" t="n"/>
      <c r="CF777" s="124" t="n"/>
      <c r="CG777" s="124" t="n"/>
      <c r="CH777" s="124" t="n"/>
      <c r="CI777" s="124" t="n"/>
      <c r="CJ777" s="124" t="n"/>
      <c r="CK777" s="124" t="n"/>
      <c r="CL777" s="124" t="n"/>
      <c r="CM777" s="124" t="n"/>
      <c r="CN777" s="124" t="n"/>
      <c r="CO777" s="124" t="n"/>
      <c r="CP777" s="124" t="n"/>
      <c r="CQ777" s="124" t="n"/>
      <c r="CR777" s="124" t="n"/>
      <c r="CS777" s="124" t="n"/>
      <c r="CT777" s="124" t="n"/>
      <c r="CU777" s="124" t="n"/>
      <c r="CV777" s="124" t="n"/>
      <c r="CW777" s="124" t="n"/>
      <c r="CX777" s="124" t="n"/>
      <c r="CY777" s="124" t="n"/>
      <c r="CZ777" s="124" t="n"/>
      <c r="DA777" s="124" t="n"/>
      <c r="DB777" s="124" t="n"/>
      <c r="DC777" s="124" t="n"/>
      <c r="DD777" s="124" t="n"/>
      <c r="DE777" s="124" t="n"/>
      <c r="DF777" s="124" t="n"/>
      <c r="DG777" s="124" t="n"/>
      <c r="DH777" s="124" t="n"/>
      <c r="DI777" s="124" t="n"/>
      <c r="DJ777" s="124" t="n"/>
      <c r="DK777" s="124" t="n"/>
      <c r="DL777" s="124" t="n"/>
      <c r="DM777" s="124" t="n"/>
      <c r="DN777" s="124" t="n"/>
      <c r="DO777" s="124" t="n"/>
      <c r="DP777" s="124" t="n"/>
      <c r="DQ777" s="124" t="n"/>
      <c r="DR777" s="124" t="n"/>
      <c r="DS777" s="124" t="n"/>
      <c r="DT777" s="124" t="n"/>
      <c r="DU777" s="124" t="n"/>
      <c r="DV777" s="124" t="n"/>
      <c r="DW777" s="124" t="n"/>
      <c r="DX777" s="124" t="n"/>
      <c r="DY777" s="124" t="n"/>
      <c r="DZ777" s="124" t="n"/>
      <c r="EA777" s="124" t="n"/>
      <c r="EB777" s="124" t="n"/>
      <c r="EC777" s="124" t="n"/>
      <c r="ED777" s="124" t="n"/>
      <c r="EE777" s="124" t="n"/>
      <c r="EF777" s="124" t="n"/>
      <c r="EG777" s="124" t="n"/>
      <c r="EH777" s="124" t="n"/>
      <c r="EI777" s="124" t="n"/>
      <c r="EJ777" s="124" t="n"/>
      <c r="EK777" s="124" t="n"/>
      <c r="EL777" s="124" t="n"/>
      <c r="EM777" s="124" t="n"/>
      <c r="EN777" s="124" t="n"/>
      <c r="EO777" s="124" t="n"/>
      <c r="EP777" s="124" t="n"/>
      <c r="EQ777" s="124" t="n"/>
      <c r="ER777" s="124" t="n"/>
      <c r="ES777" s="124" t="n"/>
      <c r="ET777" s="124" t="n"/>
      <c r="EU777" s="124" t="n"/>
      <c r="EV777" s="124" t="n"/>
      <c r="EW777" s="124" t="n"/>
      <c r="EX777" s="124" t="n"/>
      <c r="EY777" s="124" t="n"/>
      <c r="EZ777" s="124" t="n"/>
      <c r="FA777" s="124" t="n"/>
      <c r="FB777" s="124" t="n"/>
      <c r="FC777" s="124" t="n"/>
      <c r="FD777" s="124" t="n"/>
      <c r="FE777" s="124" t="n"/>
      <c r="FF777" s="124" t="n"/>
      <c r="FG777" s="124" t="n"/>
      <c r="FH777" s="124" t="n"/>
      <c r="FI777" s="124" t="n"/>
      <c r="FJ777" s="124" t="n"/>
      <c r="FK777" s="124" t="n"/>
      <c r="FL777" s="124" t="n"/>
      <c r="FM777" s="124" t="n"/>
      <c r="FN777" s="124" t="n"/>
      <c r="FO777" s="124" t="n"/>
      <c r="FP777" s="124" t="n"/>
      <c r="FQ777" s="124" t="n"/>
      <c r="FR777" s="124" t="n"/>
      <c r="FS777" s="124" t="n"/>
      <c r="FT777" s="124" t="n"/>
      <c r="FU777" s="124" t="n"/>
      <c r="FV777" s="124" t="n"/>
      <c r="FW777" s="124" t="n"/>
      <c r="FX777" s="124" t="n"/>
      <c r="FY777" s="124" t="n"/>
      <c r="FZ777" s="124" t="n"/>
      <c r="GA777" s="124" t="n"/>
      <c r="GB777" s="124" t="n"/>
      <c r="GC777" s="124" t="n"/>
      <c r="GD777" s="124" t="n"/>
      <c r="GE777" s="124" t="n"/>
      <c r="GF777" s="124" t="n"/>
      <c r="GG777" s="124" t="n"/>
      <c r="GH777" s="124" t="n"/>
      <c r="GI777" s="124" t="n"/>
      <c r="GJ777" s="124" t="n"/>
      <c r="GK777" s="124" t="n"/>
      <c r="GL777" s="124" t="n"/>
      <c r="GM777" s="124" t="n"/>
      <c r="GN777" s="124" t="n"/>
      <c r="GO777" s="124" t="n"/>
      <c r="GP777" s="124" t="n"/>
      <c r="GQ777" s="124" t="n"/>
      <c r="GR777" s="124" t="n"/>
      <c r="GS777" s="124" t="n"/>
      <c r="GT777" s="124" t="n"/>
      <c r="GU777" s="124" t="n"/>
      <c r="GV777" s="124" t="n"/>
      <c r="GW777" s="124" t="n"/>
      <c r="GX777" s="124" t="n"/>
      <c r="GY777" s="124" t="n"/>
      <c r="GZ777" s="124" t="n"/>
      <c r="HA777" s="124" t="n"/>
      <c r="HB777" s="124" t="n"/>
      <c r="HC777" s="124" t="n"/>
      <c r="HD777" s="124" t="n"/>
      <c r="HE777" s="124" t="n"/>
      <c r="HF777" s="124" t="n"/>
      <c r="HG777" s="124" t="n"/>
      <c r="HH777" s="124" t="n"/>
      <c r="HI777" s="124" t="n"/>
      <c r="HJ777" s="124" t="n"/>
      <c r="HK777" s="124" t="n"/>
      <c r="HL777" s="124" t="n"/>
    </row>
    <row r="778" customFormat="1" s="3">
      <c r="A778" s="33" t="inlineStr">
        <is>
          <t>7 этап</t>
        </is>
      </c>
      <c r="B778" s="34" t="n"/>
      <c r="C778" s="108" t="inlineStr">
        <is>
          <t>Узел управления №3 (отопление) Общежитие</t>
        </is>
      </c>
      <c r="D778" s="36" t="inlineStr">
        <is>
          <t>шт.</t>
        </is>
      </c>
      <c r="E778" s="123" t="n">
        <v>1</v>
      </c>
      <c r="F778" s="124" t="n"/>
      <c r="G778" s="124" t="n"/>
      <c r="H778" s="124" t="n"/>
      <c r="I778" s="124" t="n"/>
      <c r="J778" s="124" t="n"/>
      <c r="K778" s="124" t="n"/>
      <c r="L778" s="124" t="n"/>
      <c r="M778" s="124" t="n"/>
      <c r="N778" s="124" t="n"/>
      <c r="O778" s="124" t="n"/>
      <c r="P778" s="124" t="n"/>
      <c r="Q778" s="124" t="n"/>
      <c r="R778" s="124" t="n"/>
      <c r="S778" s="124" t="n"/>
      <c r="T778" s="124" t="n"/>
      <c r="U778" s="124" t="n"/>
      <c r="V778" s="124" t="n"/>
      <c r="W778" s="124" t="n"/>
      <c r="X778" s="124" t="n"/>
      <c r="Y778" s="124" t="n"/>
      <c r="Z778" s="124" t="n"/>
      <c r="AA778" s="124" t="n"/>
      <c r="AB778" s="124" t="n"/>
      <c r="AC778" s="124" t="n"/>
      <c r="AD778" s="124" t="n"/>
      <c r="AE778" s="124" t="n"/>
      <c r="AF778" s="124" t="n"/>
      <c r="AG778" s="124" t="n"/>
      <c r="AH778" s="124" t="n"/>
      <c r="AI778" s="124" t="n"/>
      <c r="AJ778" s="124" t="n"/>
      <c r="AK778" s="124" t="n"/>
      <c r="AL778" s="124" t="n"/>
      <c r="AM778" s="124" t="n"/>
      <c r="AN778" s="124" t="n"/>
      <c r="AO778" s="124" t="n"/>
      <c r="AP778" s="124" t="n"/>
      <c r="AQ778" s="124" t="n"/>
      <c r="AR778" s="124" t="n"/>
      <c r="AS778" s="124" t="n"/>
      <c r="AT778" s="124" t="n"/>
      <c r="AU778" s="124" t="n"/>
      <c r="AV778" s="124" t="n"/>
      <c r="AW778" s="124" t="n"/>
      <c r="AX778" s="124" t="n"/>
      <c r="AY778" s="124" t="n"/>
      <c r="AZ778" s="124" t="n"/>
      <c r="BA778" s="124" t="n"/>
      <c r="BB778" s="124" t="n"/>
      <c r="BC778" s="124" t="n"/>
      <c r="BD778" s="124" t="n"/>
      <c r="BE778" s="124" t="n"/>
      <c r="BF778" s="124" t="n"/>
      <c r="BG778" s="124" t="n"/>
      <c r="BH778" s="124" t="n"/>
      <c r="BI778" s="124" t="n"/>
      <c r="BJ778" s="124" t="n"/>
      <c r="BK778" s="124" t="n"/>
      <c r="BL778" s="124" t="n"/>
      <c r="BM778" s="124" t="n"/>
      <c r="BN778" s="124" t="n"/>
      <c r="BO778" s="124" t="n"/>
      <c r="BP778" s="124" t="n"/>
      <c r="BQ778" s="124" t="n"/>
      <c r="BR778" s="124" t="n"/>
      <c r="BS778" s="124" t="n"/>
      <c r="BT778" s="124" t="n"/>
      <c r="BU778" s="124" t="n"/>
      <c r="BV778" s="124" t="n"/>
      <c r="BW778" s="124" t="n"/>
      <c r="BX778" s="124" t="n"/>
      <c r="BY778" s="124" t="n"/>
      <c r="BZ778" s="124" t="n"/>
      <c r="CA778" s="124" t="n"/>
      <c r="CB778" s="124" t="n"/>
      <c r="CC778" s="124" t="n"/>
      <c r="CD778" s="124" t="n"/>
      <c r="CE778" s="124" t="n"/>
      <c r="CF778" s="124" t="n"/>
      <c r="CG778" s="124" t="n"/>
      <c r="CH778" s="124" t="n"/>
      <c r="CI778" s="124" t="n"/>
      <c r="CJ778" s="124" t="n"/>
      <c r="CK778" s="124" t="n"/>
      <c r="CL778" s="124" t="n"/>
      <c r="CM778" s="124" t="n"/>
      <c r="CN778" s="124" t="n"/>
      <c r="CO778" s="124" t="n"/>
      <c r="CP778" s="124" t="n"/>
      <c r="CQ778" s="124" t="n"/>
      <c r="CR778" s="124" t="n"/>
      <c r="CS778" s="124" t="n"/>
      <c r="CT778" s="124" t="n"/>
      <c r="CU778" s="124" t="n"/>
      <c r="CV778" s="124" t="n"/>
      <c r="CW778" s="124" t="n"/>
      <c r="CX778" s="124" t="n"/>
      <c r="CY778" s="124" t="n"/>
      <c r="CZ778" s="124" t="n"/>
      <c r="DA778" s="124" t="n"/>
      <c r="DB778" s="124" t="n"/>
      <c r="DC778" s="124" t="n"/>
      <c r="DD778" s="124" t="n"/>
      <c r="DE778" s="124" t="n"/>
      <c r="DF778" s="124" t="n"/>
      <c r="DG778" s="124" t="n"/>
      <c r="DH778" s="124" t="n"/>
      <c r="DI778" s="124" t="n"/>
      <c r="DJ778" s="124" t="n"/>
      <c r="DK778" s="124" t="n"/>
      <c r="DL778" s="124" t="n"/>
      <c r="DM778" s="124" t="n"/>
      <c r="DN778" s="124" t="n"/>
      <c r="DO778" s="124" t="n"/>
      <c r="DP778" s="124" t="n"/>
      <c r="DQ778" s="124" t="n"/>
      <c r="DR778" s="124" t="n"/>
      <c r="DS778" s="124" t="n"/>
      <c r="DT778" s="124" t="n"/>
      <c r="DU778" s="124" t="n"/>
      <c r="DV778" s="124" t="n"/>
      <c r="DW778" s="124" t="n"/>
      <c r="DX778" s="124" t="n"/>
      <c r="DY778" s="124" t="n"/>
      <c r="DZ778" s="124" t="n"/>
      <c r="EA778" s="124" t="n"/>
      <c r="EB778" s="124" t="n"/>
      <c r="EC778" s="124" t="n"/>
      <c r="ED778" s="124" t="n"/>
      <c r="EE778" s="124" t="n"/>
      <c r="EF778" s="124" t="n"/>
      <c r="EG778" s="124" t="n"/>
      <c r="EH778" s="124" t="n"/>
      <c r="EI778" s="124" t="n"/>
      <c r="EJ778" s="124" t="n"/>
      <c r="EK778" s="124" t="n"/>
      <c r="EL778" s="124" t="n"/>
      <c r="EM778" s="124" t="n"/>
      <c r="EN778" s="124" t="n"/>
      <c r="EO778" s="124" t="n"/>
      <c r="EP778" s="124" t="n"/>
      <c r="EQ778" s="124" t="n"/>
      <c r="ER778" s="124" t="n"/>
      <c r="ES778" s="124" t="n"/>
      <c r="ET778" s="124" t="n"/>
      <c r="EU778" s="124" t="n"/>
      <c r="EV778" s="124" t="n"/>
      <c r="EW778" s="124" t="n"/>
      <c r="EX778" s="124" t="n"/>
      <c r="EY778" s="124" t="n"/>
      <c r="EZ778" s="124" t="n"/>
      <c r="FA778" s="124" t="n"/>
      <c r="FB778" s="124" t="n"/>
      <c r="FC778" s="124" t="n"/>
      <c r="FD778" s="124" t="n"/>
      <c r="FE778" s="124" t="n"/>
      <c r="FF778" s="124" t="n"/>
      <c r="FG778" s="124" t="n"/>
      <c r="FH778" s="124" t="n"/>
      <c r="FI778" s="124" t="n"/>
      <c r="FJ778" s="124" t="n"/>
      <c r="FK778" s="124" t="n"/>
      <c r="FL778" s="124" t="n"/>
      <c r="FM778" s="124" t="n"/>
      <c r="FN778" s="124" t="n"/>
      <c r="FO778" s="124" t="n"/>
      <c r="FP778" s="124" t="n"/>
      <c r="FQ778" s="124" t="n"/>
      <c r="FR778" s="124" t="n"/>
      <c r="FS778" s="124" t="n"/>
      <c r="FT778" s="124" t="n"/>
      <c r="FU778" s="124" t="n"/>
      <c r="FV778" s="124" t="n"/>
      <c r="FW778" s="124" t="n"/>
      <c r="FX778" s="124" t="n"/>
      <c r="FY778" s="124" t="n"/>
      <c r="FZ778" s="124" t="n"/>
      <c r="GA778" s="124" t="n"/>
      <c r="GB778" s="124" t="n"/>
      <c r="GC778" s="124" t="n"/>
      <c r="GD778" s="124" t="n"/>
      <c r="GE778" s="124" t="n"/>
      <c r="GF778" s="124" t="n"/>
      <c r="GG778" s="124" t="n"/>
      <c r="GH778" s="124" t="n"/>
      <c r="GI778" s="124" t="n"/>
      <c r="GJ778" s="124" t="n"/>
      <c r="GK778" s="124" t="n"/>
      <c r="GL778" s="124" t="n"/>
      <c r="GM778" s="124" t="n"/>
      <c r="GN778" s="124" t="n"/>
      <c r="GO778" s="124" t="n"/>
      <c r="GP778" s="124" t="n"/>
      <c r="GQ778" s="124" t="n"/>
      <c r="GR778" s="124" t="n"/>
      <c r="GS778" s="124" t="n"/>
      <c r="GT778" s="124" t="n"/>
      <c r="GU778" s="124" t="n"/>
      <c r="GV778" s="124" t="n"/>
      <c r="GW778" s="124" t="n"/>
      <c r="GX778" s="124" t="n"/>
      <c r="GY778" s="124" t="n"/>
      <c r="GZ778" s="124" t="n"/>
      <c r="HA778" s="124" t="n"/>
      <c r="HB778" s="124" t="n"/>
      <c r="HC778" s="124" t="n"/>
      <c r="HD778" s="124" t="n"/>
      <c r="HE778" s="124" t="n"/>
      <c r="HF778" s="124" t="n"/>
      <c r="HG778" s="124" t="n"/>
      <c r="HH778" s="124" t="n"/>
      <c r="HI778" s="124" t="n"/>
      <c r="HJ778" s="124" t="n"/>
      <c r="HK778" s="124" t="n"/>
      <c r="HL778" s="124" t="n"/>
    </row>
    <row r="779" customFormat="1" s="3">
      <c r="A779" s="33" t="inlineStr">
        <is>
          <t>7 этап</t>
        </is>
      </c>
      <c r="B779" s="34" t="n"/>
      <c r="C779" s="108" t="inlineStr">
        <is>
          <t>Узел управления №4 (ГВС) Общежитие</t>
        </is>
      </c>
      <c r="D779" s="36" t="inlineStr">
        <is>
          <t>шт.</t>
        </is>
      </c>
      <c r="E779" s="123" t="n">
        <v>1</v>
      </c>
      <c r="F779" s="124" t="n"/>
      <c r="G779" s="124" t="n"/>
      <c r="H779" s="124" t="n"/>
      <c r="I779" s="124" t="n"/>
      <c r="J779" s="124" t="n"/>
      <c r="K779" s="124" t="n"/>
      <c r="L779" s="124" t="n"/>
      <c r="M779" s="124" t="n"/>
      <c r="N779" s="124" t="n"/>
      <c r="O779" s="124" t="n"/>
      <c r="P779" s="124" t="n"/>
      <c r="Q779" s="124" t="n"/>
      <c r="R779" s="124" t="n"/>
      <c r="S779" s="124" t="n"/>
      <c r="T779" s="124" t="n"/>
      <c r="U779" s="124" t="n"/>
      <c r="V779" s="124" t="n"/>
      <c r="W779" s="124" t="n"/>
      <c r="X779" s="124" t="n"/>
      <c r="Y779" s="124" t="n"/>
      <c r="Z779" s="124" t="n"/>
      <c r="AA779" s="124" t="n"/>
      <c r="AB779" s="124" t="n"/>
      <c r="AC779" s="124" t="n"/>
      <c r="AD779" s="124" t="n"/>
      <c r="AE779" s="124" t="n"/>
      <c r="AF779" s="124" t="n"/>
      <c r="AG779" s="124" t="n"/>
      <c r="AH779" s="124" t="n"/>
      <c r="AI779" s="124" t="n"/>
      <c r="AJ779" s="124" t="n"/>
      <c r="AK779" s="124" t="n"/>
      <c r="AL779" s="124" t="n"/>
      <c r="AM779" s="124" t="n"/>
      <c r="AN779" s="124" t="n"/>
      <c r="AO779" s="124" t="n"/>
      <c r="AP779" s="124" t="n"/>
      <c r="AQ779" s="124" t="n"/>
      <c r="AR779" s="124" t="n"/>
      <c r="AS779" s="124" t="n"/>
      <c r="AT779" s="124" t="n"/>
      <c r="AU779" s="124" t="n"/>
      <c r="AV779" s="124" t="n"/>
      <c r="AW779" s="124" t="n"/>
      <c r="AX779" s="124" t="n"/>
      <c r="AY779" s="124" t="n"/>
      <c r="AZ779" s="124" t="n"/>
      <c r="BA779" s="124" t="n"/>
      <c r="BB779" s="124" t="n"/>
      <c r="BC779" s="124" t="n"/>
      <c r="BD779" s="124" t="n"/>
      <c r="BE779" s="124" t="n"/>
      <c r="BF779" s="124" t="n"/>
      <c r="BG779" s="124" t="n"/>
      <c r="BH779" s="124" t="n"/>
      <c r="BI779" s="124" t="n"/>
      <c r="BJ779" s="124" t="n"/>
      <c r="BK779" s="124" t="n"/>
      <c r="BL779" s="124" t="n"/>
      <c r="BM779" s="124" t="n"/>
      <c r="BN779" s="124" t="n"/>
      <c r="BO779" s="124" t="n"/>
      <c r="BP779" s="124" t="n"/>
      <c r="BQ779" s="124" t="n"/>
      <c r="BR779" s="124" t="n"/>
      <c r="BS779" s="124" t="n"/>
      <c r="BT779" s="124" t="n"/>
      <c r="BU779" s="124" t="n"/>
      <c r="BV779" s="124" t="n"/>
      <c r="BW779" s="124" t="n"/>
      <c r="BX779" s="124" t="n"/>
      <c r="BY779" s="124" t="n"/>
      <c r="BZ779" s="124" t="n"/>
      <c r="CA779" s="124" t="n"/>
      <c r="CB779" s="124" t="n"/>
      <c r="CC779" s="124" t="n"/>
      <c r="CD779" s="124" t="n"/>
      <c r="CE779" s="124" t="n"/>
      <c r="CF779" s="124" t="n"/>
      <c r="CG779" s="124" t="n"/>
      <c r="CH779" s="124" t="n"/>
      <c r="CI779" s="124" t="n"/>
      <c r="CJ779" s="124" t="n"/>
      <c r="CK779" s="124" t="n"/>
      <c r="CL779" s="124" t="n"/>
      <c r="CM779" s="124" t="n"/>
      <c r="CN779" s="124" t="n"/>
      <c r="CO779" s="124" t="n"/>
      <c r="CP779" s="124" t="n"/>
      <c r="CQ779" s="124" t="n"/>
      <c r="CR779" s="124" t="n"/>
      <c r="CS779" s="124" t="n"/>
      <c r="CT779" s="124" t="n"/>
      <c r="CU779" s="124" t="n"/>
      <c r="CV779" s="124" t="n"/>
      <c r="CW779" s="124" t="n"/>
      <c r="CX779" s="124" t="n"/>
      <c r="CY779" s="124" t="n"/>
      <c r="CZ779" s="124" t="n"/>
      <c r="DA779" s="124" t="n"/>
      <c r="DB779" s="124" t="n"/>
      <c r="DC779" s="124" t="n"/>
      <c r="DD779" s="124" t="n"/>
      <c r="DE779" s="124" t="n"/>
      <c r="DF779" s="124" t="n"/>
      <c r="DG779" s="124" t="n"/>
      <c r="DH779" s="124" t="n"/>
      <c r="DI779" s="124" t="n"/>
      <c r="DJ779" s="124" t="n"/>
      <c r="DK779" s="124" t="n"/>
      <c r="DL779" s="124" t="n"/>
      <c r="DM779" s="124" t="n"/>
      <c r="DN779" s="124" t="n"/>
      <c r="DO779" s="124" t="n"/>
      <c r="DP779" s="124" t="n"/>
      <c r="DQ779" s="124" t="n"/>
      <c r="DR779" s="124" t="n"/>
      <c r="DS779" s="124" t="n"/>
      <c r="DT779" s="124" t="n"/>
      <c r="DU779" s="124" t="n"/>
      <c r="DV779" s="124" t="n"/>
      <c r="DW779" s="124" t="n"/>
      <c r="DX779" s="124" t="n"/>
      <c r="DY779" s="124" t="n"/>
      <c r="DZ779" s="124" t="n"/>
      <c r="EA779" s="124" t="n"/>
      <c r="EB779" s="124" t="n"/>
      <c r="EC779" s="124" t="n"/>
      <c r="ED779" s="124" t="n"/>
      <c r="EE779" s="124" t="n"/>
      <c r="EF779" s="124" t="n"/>
      <c r="EG779" s="124" t="n"/>
      <c r="EH779" s="124" t="n"/>
      <c r="EI779" s="124" t="n"/>
      <c r="EJ779" s="124" t="n"/>
      <c r="EK779" s="124" t="n"/>
      <c r="EL779" s="124" t="n"/>
      <c r="EM779" s="124" t="n"/>
      <c r="EN779" s="124" t="n"/>
      <c r="EO779" s="124" t="n"/>
      <c r="EP779" s="124" t="n"/>
      <c r="EQ779" s="124" t="n"/>
      <c r="ER779" s="124" t="n"/>
      <c r="ES779" s="124" t="n"/>
      <c r="ET779" s="124" t="n"/>
      <c r="EU779" s="124" t="n"/>
      <c r="EV779" s="124" t="n"/>
      <c r="EW779" s="124" t="n"/>
      <c r="EX779" s="124" t="n"/>
      <c r="EY779" s="124" t="n"/>
      <c r="EZ779" s="124" t="n"/>
      <c r="FA779" s="124" t="n"/>
      <c r="FB779" s="124" t="n"/>
      <c r="FC779" s="124" t="n"/>
      <c r="FD779" s="124" t="n"/>
      <c r="FE779" s="124" t="n"/>
      <c r="FF779" s="124" t="n"/>
      <c r="FG779" s="124" t="n"/>
      <c r="FH779" s="124" t="n"/>
      <c r="FI779" s="124" t="n"/>
      <c r="FJ779" s="124" t="n"/>
      <c r="FK779" s="124" t="n"/>
      <c r="FL779" s="124" t="n"/>
      <c r="FM779" s="124" t="n"/>
      <c r="FN779" s="124" t="n"/>
      <c r="FO779" s="124" t="n"/>
      <c r="FP779" s="124" t="n"/>
      <c r="FQ779" s="124" t="n"/>
      <c r="FR779" s="124" t="n"/>
      <c r="FS779" s="124" t="n"/>
      <c r="FT779" s="124" t="n"/>
      <c r="FU779" s="124" t="n"/>
      <c r="FV779" s="124" t="n"/>
      <c r="FW779" s="124" t="n"/>
      <c r="FX779" s="124" t="n"/>
      <c r="FY779" s="124" t="n"/>
      <c r="FZ779" s="124" t="n"/>
      <c r="GA779" s="124" t="n"/>
      <c r="GB779" s="124" t="n"/>
      <c r="GC779" s="124" t="n"/>
      <c r="GD779" s="124" t="n"/>
      <c r="GE779" s="124" t="n"/>
      <c r="GF779" s="124" t="n"/>
      <c r="GG779" s="124" t="n"/>
      <c r="GH779" s="124" t="n"/>
      <c r="GI779" s="124" t="n"/>
      <c r="GJ779" s="124" t="n"/>
      <c r="GK779" s="124" t="n"/>
      <c r="GL779" s="124" t="n"/>
      <c r="GM779" s="124" t="n"/>
      <c r="GN779" s="124" t="n"/>
      <c r="GO779" s="124" t="n"/>
      <c r="GP779" s="124" t="n"/>
      <c r="GQ779" s="124" t="n"/>
      <c r="GR779" s="124" t="n"/>
      <c r="GS779" s="124" t="n"/>
      <c r="GT779" s="124" t="n"/>
      <c r="GU779" s="124" t="n"/>
      <c r="GV779" s="124" t="n"/>
      <c r="GW779" s="124" t="n"/>
      <c r="GX779" s="124" t="n"/>
      <c r="GY779" s="124" t="n"/>
      <c r="GZ779" s="124" t="n"/>
      <c r="HA779" s="124" t="n"/>
      <c r="HB779" s="124" t="n"/>
      <c r="HC779" s="124" t="n"/>
      <c r="HD779" s="124" t="n"/>
      <c r="HE779" s="124" t="n"/>
      <c r="HF779" s="124" t="n"/>
      <c r="HG779" s="124" t="n"/>
      <c r="HH779" s="124" t="n"/>
      <c r="HI779" s="124" t="n"/>
      <c r="HJ779" s="124" t="n"/>
      <c r="HK779" s="124" t="n"/>
      <c r="HL779" s="124" t="n"/>
    </row>
    <row r="780" ht="14.4" customFormat="1" customHeight="1" s="3">
      <c r="A780" s="106" t="inlineStr">
        <is>
          <t>7 этап</t>
        </is>
      </c>
      <c r="B780" s="27" t="n">
        <v>4</v>
      </c>
      <c r="C780" s="127" t="inlineStr">
        <is>
          <t>Наружные сети электроснабжения</t>
        </is>
      </c>
      <c r="D780" s="128" t="inlineStr">
        <is>
          <t>компл.</t>
        </is>
      </c>
      <c r="E780" s="123" t="n">
        <v>1</v>
      </c>
      <c r="F780" s="166" t="n">
        <v>1600</v>
      </c>
      <c r="G780" s="166" t="n">
        <v>1600</v>
      </c>
      <c r="H780" s="124" t="inlineStr">
        <is>
          <t>ФЕР-2020 × 0.75</t>
        </is>
      </c>
      <c r="I780" s="124" t="n"/>
      <c r="J780" s="124" t="n"/>
      <c r="K780" s="124" t="n"/>
      <c r="L780" s="124" t="n"/>
      <c r="M780" s="124" t="n"/>
      <c r="N780" s="124" t="n"/>
      <c r="O780" s="124" t="n"/>
      <c r="P780" s="124" t="n"/>
      <c r="Q780" s="124" t="n"/>
      <c r="R780" s="124" t="n"/>
      <c r="S780" s="124" t="n"/>
      <c r="T780" s="124" t="n"/>
      <c r="U780" s="124" t="n"/>
      <c r="V780" s="124" t="n"/>
      <c r="W780" s="124" t="n"/>
      <c r="X780" s="124" t="n"/>
      <c r="Y780" s="124" t="n"/>
      <c r="Z780" s="124" t="n"/>
      <c r="AA780" s="124" t="n"/>
      <c r="AB780" s="124" t="n"/>
      <c r="AC780" s="124" t="n"/>
      <c r="AD780" s="124" t="n"/>
      <c r="AE780" s="124" t="n"/>
      <c r="AF780" s="124" t="n"/>
      <c r="AG780" s="124" t="n"/>
      <c r="AH780" s="124" t="n"/>
      <c r="AI780" s="124" t="n"/>
      <c r="AJ780" s="124" t="n"/>
      <c r="AK780" s="124" t="n"/>
      <c r="AL780" s="124" t="n"/>
      <c r="AM780" s="124" t="n"/>
      <c r="AN780" s="124" t="n"/>
      <c r="AO780" s="124" t="n"/>
      <c r="AP780" s="124" t="n"/>
      <c r="AQ780" s="124" t="n"/>
      <c r="AR780" s="124" t="n"/>
      <c r="AS780" s="124" t="n"/>
      <c r="AT780" s="124" t="n"/>
      <c r="AU780" s="124" t="n"/>
      <c r="AV780" s="124" t="n"/>
      <c r="AW780" s="124" t="n"/>
      <c r="AX780" s="124" t="n"/>
      <c r="AY780" s="124" t="n"/>
      <c r="AZ780" s="124" t="n"/>
      <c r="BA780" s="124" t="n"/>
      <c r="BB780" s="124" t="n"/>
      <c r="BC780" s="124" t="n"/>
      <c r="BD780" s="124" t="n"/>
      <c r="BE780" s="124" t="n"/>
      <c r="BF780" s="124" t="n"/>
      <c r="BG780" s="124" t="n"/>
      <c r="BH780" s="124" t="n"/>
      <c r="BI780" s="124" t="n"/>
      <c r="BJ780" s="124" t="n"/>
      <c r="BK780" s="124" t="n"/>
      <c r="BL780" s="124" t="n"/>
      <c r="BM780" s="124" t="n"/>
      <c r="BN780" s="124" t="n"/>
      <c r="BO780" s="124" t="n"/>
      <c r="BP780" s="124" t="n"/>
      <c r="BQ780" s="124" t="n"/>
      <c r="BR780" s="124" t="n"/>
      <c r="BS780" s="124" t="n"/>
      <c r="BT780" s="124" t="n"/>
      <c r="BU780" s="124" t="n"/>
      <c r="BV780" s="124" t="n"/>
      <c r="BW780" s="124" t="n"/>
      <c r="BX780" s="124" t="n"/>
      <c r="BY780" s="124" t="n"/>
      <c r="BZ780" s="124" t="n"/>
      <c r="CA780" s="124" t="n"/>
      <c r="CB780" s="124" t="n"/>
      <c r="CC780" s="124" t="n"/>
      <c r="CD780" s="124" t="n"/>
      <c r="CE780" s="124" t="n"/>
      <c r="CF780" s="124" t="n"/>
      <c r="CG780" s="124" t="n"/>
      <c r="CH780" s="124" t="n"/>
      <c r="CI780" s="124" t="n"/>
      <c r="CJ780" s="124" t="n"/>
      <c r="CK780" s="124" t="n"/>
      <c r="CL780" s="124" t="n"/>
      <c r="CM780" s="124" t="n"/>
      <c r="CN780" s="124" t="n"/>
      <c r="CO780" s="124" t="n"/>
      <c r="CP780" s="124" t="n"/>
      <c r="CQ780" s="124" t="n"/>
      <c r="CR780" s="124" t="n"/>
      <c r="CS780" s="124" t="n"/>
      <c r="CT780" s="124" t="n"/>
      <c r="CU780" s="124" t="n"/>
      <c r="CV780" s="124" t="n"/>
      <c r="CW780" s="124" t="n"/>
      <c r="CX780" s="124" t="n"/>
      <c r="CY780" s="124" t="n"/>
      <c r="CZ780" s="124" t="n"/>
      <c r="DA780" s="124" t="n"/>
      <c r="DB780" s="124" t="n"/>
      <c r="DC780" s="124" t="n"/>
      <c r="DD780" s="124" t="n"/>
      <c r="DE780" s="124" t="n"/>
      <c r="DF780" s="124" t="n"/>
      <c r="DG780" s="124" t="n"/>
      <c r="DH780" s="124" t="n"/>
      <c r="DI780" s="124" t="n"/>
      <c r="DJ780" s="124" t="n"/>
      <c r="DK780" s="124" t="n"/>
      <c r="DL780" s="124" t="n"/>
      <c r="DM780" s="124" t="n"/>
      <c r="DN780" s="124" t="n"/>
      <c r="DO780" s="124" t="n"/>
      <c r="DP780" s="124" t="n"/>
      <c r="DQ780" s="124" t="n"/>
      <c r="DR780" s="124" t="n"/>
      <c r="DS780" s="124" t="n"/>
      <c r="DT780" s="124" t="n"/>
      <c r="DU780" s="124" t="n"/>
      <c r="DV780" s="124" t="n"/>
      <c r="DW780" s="124" t="n"/>
      <c r="DX780" s="124" t="n"/>
      <c r="DY780" s="124" t="n"/>
      <c r="DZ780" s="124" t="n"/>
      <c r="EA780" s="124" t="n"/>
      <c r="EB780" s="124" t="n"/>
      <c r="EC780" s="124" t="n"/>
      <c r="ED780" s="124" t="n"/>
      <c r="EE780" s="124" t="n"/>
      <c r="EF780" s="124" t="n"/>
      <c r="EG780" s="124" t="n"/>
      <c r="EH780" s="124" t="n"/>
      <c r="EI780" s="124" t="n"/>
      <c r="EJ780" s="124" t="n"/>
      <c r="EK780" s="124" t="n"/>
      <c r="EL780" s="124" t="n"/>
      <c r="EM780" s="124" t="n"/>
      <c r="EN780" s="124" t="n"/>
      <c r="EO780" s="124" t="n"/>
      <c r="EP780" s="124" t="n"/>
      <c r="EQ780" s="124" t="n"/>
      <c r="ER780" s="124" t="n"/>
      <c r="ES780" s="124" t="n"/>
      <c r="ET780" s="124" t="n"/>
      <c r="EU780" s="124" t="n"/>
      <c r="EV780" s="124" t="n"/>
      <c r="EW780" s="124" t="n"/>
      <c r="EX780" s="124" t="n"/>
      <c r="EY780" s="124" t="n"/>
      <c r="EZ780" s="124" t="n"/>
      <c r="FA780" s="124" t="n"/>
      <c r="FB780" s="124" t="n"/>
      <c r="FC780" s="124" t="n"/>
      <c r="FD780" s="124" t="n"/>
      <c r="FE780" s="124" t="n"/>
      <c r="FF780" s="124" t="n"/>
      <c r="FG780" s="124" t="n"/>
      <c r="FH780" s="124" t="n"/>
      <c r="FI780" s="124" t="n"/>
      <c r="FJ780" s="124" t="n"/>
      <c r="FK780" s="124" t="n"/>
      <c r="FL780" s="124" t="n"/>
      <c r="FM780" s="124" t="n"/>
      <c r="FN780" s="124" t="n"/>
      <c r="FO780" s="124" t="n"/>
      <c r="FP780" s="124" t="n"/>
      <c r="FQ780" s="124" t="n"/>
      <c r="FR780" s="124" t="n"/>
      <c r="FS780" s="124" t="n"/>
      <c r="FT780" s="124" t="n"/>
      <c r="FU780" s="124" t="n"/>
      <c r="FV780" s="124" t="n"/>
      <c r="FW780" s="124" t="n"/>
      <c r="FX780" s="124" t="n"/>
      <c r="FY780" s="124" t="n"/>
      <c r="FZ780" s="124" t="n"/>
      <c r="GA780" s="124" t="n"/>
      <c r="GB780" s="124" t="n"/>
      <c r="GC780" s="124" t="n"/>
      <c r="GD780" s="124" t="n"/>
      <c r="GE780" s="124" t="n"/>
      <c r="GF780" s="124" t="n"/>
      <c r="GG780" s="124" t="n"/>
      <c r="GH780" s="124" t="n"/>
      <c r="GI780" s="124" t="n"/>
      <c r="GJ780" s="124" t="n"/>
      <c r="GK780" s="124" t="n"/>
      <c r="GL780" s="124" t="n"/>
      <c r="GM780" s="124" t="n"/>
      <c r="GN780" s="124" t="n"/>
      <c r="GO780" s="124" t="n"/>
      <c r="GP780" s="124" t="n"/>
      <c r="GQ780" s="124" t="n"/>
      <c r="GR780" s="124" t="n"/>
      <c r="GS780" s="124" t="n"/>
      <c r="GT780" s="124" t="n"/>
      <c r="GU780" s="124" t="n"/>
      <c r="GV780" s="124" t="n"/>
      <c r="GW780" s="124" t="n"/>
      <c r="GX780" s="124" t="n"/>
      <c r="GY780" s="124" t="n"/>
      <c r="GZ780" s="124" t="n"/>
      <c r="HA780" s="124" t="n"/>
      <c r="HB780" s="124" t="n"/>
      <c r="HC780" s="124" t="n"/>
      <c r="HD780" s="124" t="n"/>
      <c r="HE780" s="124" t="n"/>
      <c r="HF780" s="124" t="n"/>
      <c r="HG780" s="124" t="n"/>
      <c r="HH780" s="124" t="n"/>
      <c r="HI780" s="124" t="n"/>
      <c r="HJ780" s="124" t="n"/>
      <c r="HK780" s="124" t="n"/>
      <c r="HL780" s="124" t="n"/>
    </row>
    <row r="781" ht="14.4" customFormat="1" customHeight="1" s="3">
      <c r="A781" s="26" t="inlineStr">
        <is>
          <t>7 этап</t>
        </is>
      </c>
      <c r="B781" s="27" t="inlineStr">
        <is>
          <t>4.1</t>
        </is>
      </c>
      <c r="C781" s="28" t="inlineStr">
        <is>
          <t>Разработка траншеи, обратная засыпка</t>
        </is>
      </c>
      <c r="D781" s="54" t="inlineStr">
        <is>
          <t>компл.</t>
        </is>
      </c>
      <c r="E781" s="126" t="n">
        <v>0.34</v>
      </c>
      <c r="F781" s="166" t="n">
        <v>600</v>
      </c>
      <c r="G781" s="166" t="n">
        <v>204</v>
      </c>
      <c r="H781" s="124" t="inlineStr">
        <is>
          <t>ФЕР-2020 × 0.75</t>
        </is>
      </c>
      <c r="I781" s="124" t="n"/>
      <c r="J781" s="124" t="n"/>
      <c r="K781" s="124" t="n"/>
      <c r="L781" s="124" t="n"/>
      <c r="M781" s="124" t="n"/>
      <c r="N781" s="124" t="n"/>
      <c r="O781" s="124" t="n"/>
      <c r="P781" s="124" t="n"/>
      <c r="Q781" s="124" t="n"/>
      <c r="R781" s="124" t="n"/>
      <c r="S781" s="124" t="n"/>
      <c r="T781" s="124" t="n"/>
      <c r="U781" s="124" t="n"/>
      <c r="V781" s="124" t="n"/>
      <c r="W781" s="124" t="n"/>
      <c r="X781" s="124" t="n"/>
      <c r="Y781" s="124" t="n"/>
      <c r="Z781" s="124" t="n"/>
      <c r="AA781" s="124" t="n"/>
      <c r="AB781" s="124" t="n"/>
      <c r="AC781" s="124" t="n"/>
      <c r="AD781" s="124" t="n"/>
      <c r="AE781" s="124" t="n"/>
      <c r="AF781" s="124" t="n"/>
      <c r="AG781" s="124" t="n"/>
      <c r="AH781" s="124" t="n"/>
      <c r="AI781" s="124" t="n"/>
      <c r="AJ781" s="124" t="n"/>
      <c r="AK781" s="124" t="n"/>
      <c r="AL781" s="124" t="n"/>
      <c r="AM781" s="124" t="n"/>
      <c r="AN781" s="124" t="n"/>
      <c r="AO781" s="124" t="n"/>
      <c r="AP781" s="124" t="n"/>
      <c r="AQ781" s="124" t="n"/>
      <c r="AR781" s="124" t="n"/>
      <c r="AS781" s="124" t="n"/>
      <c r="AT781" s="124" t="n"/>
      <c r="AU781" s="124" t="n"/>
      <c r="AV781" s="124" t="n"/>
      <c r="AW781" s="124" t="n"/>
      <c r="AX781" s="124" t="n"/>
      <c r="AY781" s="124" t="n"/>
      <c r="AZ781" s="124" t="n"/>
      <c r="BA781" s="124" t="n"/>
      <c r="BB781" s="124" t="n"/>
      <c r="BC781" s="124" t="n"/>
      <c r="BD781" s="124" t="n"/>
      <c r="BE781" s="124" t="n"/>
      <c r="BF781" s="124" t="n"/>
      <c r="BG781" s="124" t="n"/>
      <c r="BH781" s="124" t="n"/>
      <c r="BI781" s="124" t="n"/>
      <c r="BJ781" s="124" t="n"/>
      <c r="BK781" s="124" t="n"/>
      <c r="BL781" s="124" t="n"/>
      <c r="BM781" s="124" t="n"/>
      <c r="BN781" s="124" t="n"/>
      <c r="BO781" s="124" t="n"/>
      <c r="BP781" s="124" t="n"/>
      <c r="BQ781" s="124" t="n"/>
      <c r="BR781" s="124" t="n"/>
      <c r="BS781" s="124" t="n"/>
      <c r="BT781" s="124" t="n"/>
      <c r="BU781" s="124" t="n"/>
      <c r="BV781" s="124" t="n"/>
      <c r="BW781" s="124" t="n"/>
      <c r="BX781" s="124" t="n"/>
      <c r="BY781" s="124" t="n"/>
      <c r="BZ781" s="124" t="n"/>
      <c r="CA781" s="124" t="n"/>
      <c r="CB781" s="124" t="n"/>
      <c r="CC781" s="124" t="n"/>
      <c r="CD781" s="124" t="n"/>
      <c r="CE781" s="124" t="n"/>
      <c r="CF781" s="124" t="n"/>
      <c r="CG781" s="124" t="n"/>
      <c r="CH781" s="124" t="n"/>
      <c r="CI781" s="124" t="n"/>
      <c r="CJ781" s="124" t="n"/>
      <c r="CK781" s="124" t="n"/>
      <c r="CL781" s="124" t="n"/>
      <c r="CM781" s="124" t="n"/>
      <c r="CN781" s="124" t="n"/>
      <c r="CO781" s="124" t="n"/>
      <c r="CP781" s="124" t="n"/>
      <c r="CQ781" s="124" t="n"/>
      <c r="CR781" s="124" t="n"/>
      <c r="CS781" s="124" t="n"/>
      <c r="CT781" s="124" t="n"/>
      <c r="CU781" s="124" t="n"/>
      <c r="CV781" s="124" t="n"/>
      <c r="CW781" s="124" t="n"/>
      <c r="CX781" s="124" t="n"/>
      <c r="CY781" s="124" t="n"/>
      <c r="CZ781" s="124" t="n"/>
      <c r="DA781" s="124" t="n"/>
      <c r="DB781" s="124" t="n"/>
      <c r="DC781" s="124" t="n"/>
      <c r="DD781" s="124" t="n"/>
      <c r="DE781" s="124" t="n"/>
      <c r="DF781" s="124" t="n"/>
      <c r="DG781" s="124" t="n"/>
      <c r="DH781" s="124" t="n"/>
      <c r="DI781" s="124" t="n"/>
      <c r="DJ781" s="124" t="n"/>
      <c r="DK781" s="124" t="n"/>
      <c r="DL781" s="124" t="n"/>
      <c r="DM781" s="124" t="n"/>
      <c r="DN781" s="124" t="n"/>
      <c r="DO781" s="124" t="n"/>
      <c r="DP781" s="124" t="n"/>
      <c r="DQ781" s="124" t="n"/>
      <c r="DR781" s="124" t="n"/>
      <c r="DS781" s="124" t="n"/>
      <c r="DT781" s="124" t="n"/>
      <c r="DU781" s="124" t="n"/>
      <c r="DV781" s="124" t="n"/>
      <c r="DW781" s="124" t="n"/>
      <c r="DX781" s="124" t="n"/>
      <c r="DY781" s="124" t="n"/>
      <c r="DZ781" s="124" t="n"/>
      <c r="EA781" s="124" t="n"/>
      <c r="EB781" s="124" t="n"/>
      <c r="EC781" s="124" t="n"/>
      <c r="ED781" s="124" t="n"/>
      <c r="EE781" s="124" t="n"/>
      <c r="EF781" s="124" t="n"/>
      <c r="EG781" s="124" t="n"/>
      <c r="EH781" s="124" t="n"/>
      <c r="EI781" s="124" t="n"/>
      <c r="EJ781" s="124" t="n"/>
      <c r="EK781" s="124" t="n"/>
      <c r="EL781" s="124" t="n"/>
      <c r="EM781" s="124" t="n"/>
      <c r="EN781" s="124" t="n"/>
      <c r="EO781" s="124" t="n"/>
      <c r="EP781" s="124" t="n"/>
      <c r="EQ781" s="124" t="n"/>
      <c r="ER781" s="124" t="n"/>
      <c r="ES781" s="124" t="n"/>
      <c r="ET781" s="124" t="n"/>
      <c r="EU781" s="124" t="n"/>
      <c r="EV781" s="124" t="n"/>
      <c r="EW781" s="124" t="n"/>
      <c r="EX781" s="124" t="n"/>
      <c r="EY781" s="124" t="n"/>
      <c r="EZ781" s="124" t="n"/>
      <c r="FA781" s="124" t="n"/>
      <c r="FB781" s="124" t="n"/>
      <c r="FC781" s="124" t="n"/>
      <c r="FD781" s="124" t="n"/>
      <c r="FE781" s="124" t="n"/>
      <c r="FF781" s="124" t="n"/>
      <c r="FG781" s="124" t="n"/>
      <c r="FH781" s="124" t="n"/>
      <c r="FI781" s="124" t="n"/>
      <c r="FJ781" s="124" t="n"/>
      <c r="FK781" s="124" t="n"/>
      <c r="FL781" s="124" t="n"/>
      <c r="FM781" s="124" t="n"/>
      <c r="FN781" s="124" t="n"/>
      <c r="FO781" s="124" t="n"/>
      <c r="FP781" s="124" t="n"/>
      <c r="FQ781" s="124" t="n"/>
      <c r="FR781" s="124" t="n"/>
      <c r="FS781" s="124" t="n"/>
      <c r="FT781" s="124" t="n"/>
      <c r="FU781" s="124" t="n"/>
      <c r="FV781" s="124" t="n"/>
      <c r="FW781" s="124" t="n"/>
      <c r="FX781" s="124" t="n"/>
      <c r="FY781" s="124" t="n"/>
      <c r="FZ781" s="124" t="n"/>
      <c r="GA781" s="124" t="n"/>
      <c r="GB781" s="124" t="n"/>
      <c r="GC781" s="124" t="n"/>
      <c r="GD781" s="124" t="n"/>
      <c r="GE781" s="124" t="n"/>
      <c r="GF781" s="124" t="n"/>
      <c r="GG781" s="124" t="n"/>
      <c r="GH781" s="124" t="n"/>
      <c r="GI781" s="124" t="n"/>
      <c r="GJ781" s="124" t="n"/>
      <c r="GK781" s="124" t="n"/>
      <c r="GL781" s="124" t="n"/>
      <c r="GM781" s="124" t="n"/>
      <c r="GN781" s="124" t="n"/>
      <c r="GO781" s="124" t="n"/>
      <c r="GP781" s="124" t="n"/>
      <c r="GQ781" s="124" t="n"/>
      <c r="GR781" s="124" t="n"/>
      <c r="GS781" s="124" t="n"/>
      <c r="GT781" s="124" t="n"/>
      <c r="GU781" s="124" t="n"/>
      <c r="GV781" s="124" t="n"/>
      <c r="GW781" s="124" t="n"/>
      <c r="GX781" s="124" t="n"/>
      <c r="GY781" s="124" t="n"/>
      <c r="GZ781" s="124" t="n"/>
      <c r="HA781" s="124" t="n"/>
      <c r="HB781" s="124" t="n"/>
      <c r="HC781" s="124" t="n"/>
      <c r="HD781" s="124" t="n"/>
      <c r="HE781" s="124" t="n"/>
      <c r="HF781" s="124" t="n"/>
      <c r="HG781" s="124" t="n"/>
      <c r="HH781" s="124" t="n"/>
      <c r="HI781" s="124" t="n"/>
      <c r="HJ781" s="124" t="n"/>
      <c r="HK781" s="124" t="n"/>
      <c r="HL781" s="124" t="n"/>
    </row>
    <row r="782" customFormat="1" s="3">
      <c r="A782" s="33" t="n"/>
      <c r="B782" s="34" t="n"/>
      <c r="C782" s="38" t="inlineStr">
        <is>
          <t xml:space="preserve">Разработка грунта </t>
        </is>
      </c>
      <c r="D782" s="36" t="inlineStr">
        <is>
          <t>м3</t>
        </is>
      </c>
      <c r="E782" s="123" t="n">
        <v>998</v>
      </c>
      <c r="F782" s="124" t="n"/>
      <c r="G782" s="124" t="n"/>
      <c r="H782" s="124" t="n"/>
      <c r="I782" s="124" t="n"/>
      <c r="J782" s="124" t="n"/>
      <c r="K782" s="124" t="n"/>
      <c r="L782" s="124" t="n"/>
      <c r="M782" s="124" t="n"/>
      <c r="N782" s="124" t="n"/>
      <c r="O782" s="124" t="n"/>
      <c r="P782" s="124" t="n"/>
      <c r="Q782" s="124" t="n"/>
      <c r="R782" s="124" t="n"/>
      <c r="S782" s="124" t="n"/>
      <c r="T782" s="124" t="n"/>
      <c r="U782" s="124" t="n"/>
      <c r="V782" s="124" t="n"/>
      <c r="W782" s="124" t="n"/>
      <c r="X782" s="124" t="n"/>
      <c r="Y782" s="124" t="n"/>
      <c r="Z782" s="124" t="n"/>
      <c r="AA782" s="124" t="n"/>
      <c r="AB782" s="124" t="n"/>
      <c r="AC782" s="124" t="n"/>
      <c r="AD782" s="124" t="n"/>
      <c r="AE782" s="124" t="n"/>
      <c r="AF782" s="124" t="n"/>
      <c r="AG782" s="124" t="n"/>
      <c r="AH782" s="124" t="n"/>
      <c r="AI782" s="124" t="n"/>
      <c r="AJ782" s="124" t="n"/>
      <c r="AK782" s="124" t="n"/>
      <c r="AL782" s="124" t="n"/>
      <c r="AM782" s="124" t="n"/>
      <c r="AN782" s="124" t="n"/>
      <c r="AO782" s="124" t="n"/>
      <c r="AP782" s="124" t="n"/>
      <c r="AQ782" s="124" t="n"/>
      <c r="AR782" s="124" t="n"/>
      <c r="AS782" s="124" t="n"/>
      <c r="AT782" s="124" t="n"/>
      <c r="AU782" s="124" t="n"/>
      <c r="AV782" s="124" t="n"/>
      <c r="AW782" s="124" t="n"/>
      <c r="AX782" s="124" t="n"/>
      <c r="AY782" s="124" t="n"/>
      <c r="AZ782" s="124" t="n"/>
      <c r="BA782" s="124" t="n"/>
      <c r="BB782" s="124" t="n"/>
      <c r="BC782" s="124" t="n"/>
      <c r="BD782" s="124" t="n"/>
      <c r="BE782" s="124" t="n"/>
      <c r="BF782" s="124" t="n"/>
      <c r="BG782" s="124" t="n"/>
      <c r="BH782" s="124" t="n"/>
      <c r="BI782" s="124" t="n"/>
      <c r="BJ782" s="124" t="n"/>
      <c r="BK782" s="124" t="n"/>
      <c r="BL782" s="124" t="n"/>
      <c r="BM782" s="124" t="n"/>
      <c r="BN782" s="124" t="n"/>
      <c r="BO782" s="124" t="n"/>
      <c r="BP782" s="124" t="n"/>
      <c r="BQ782" s="124" t="n"/>
      <c r="BR782" s="124" t="n"/>
      <c r="BS782" s="124" t="n"/>
      <c r="BT782" s="124" t="n"/>
      <c r="BU782" s="124" t="n"/>
      <c r="BV782" s="124" t="n"/>
      <c r="BW782" s="124" t="n"/>
      <c r="BX782" s="124" t="n"/>
      <c r="BY782" s="124" t="n"/>
      <c r="BZ782" s="124" t="n"/>
      <c r="CA782" s="124" t="n"/>
      <c r="CB782" s="124" t="n"/>
      <c r="CC782" s="124" t="n"/>
      <c r="CD782" s="124" t="n"/>
      <c r="CE782" s="124" t="n"/>
      <c r="CF782" s="124" t="n"/>
      <c r="CG782" s="124" t="n"/>
      <c r="CH782" s="124" t="n"/>
      <c r="CI782" s="124" t="n"/>
      <c r="CJ782" s="124" t="n"/>
      <c r="CK782" s="124" t="n"/>
      <c r="CL782" s="124" t="n"/>
      <c r="CM782" s="124" t="n"/>
      <c r="CN782" s="124" t="n"/>
      <c r="CO782" s="124" t="n"/>
      <c r="CP782" s="124" t="n"/>
      <c r="CQ782" s="124" t="n"/>
      <c r="CR782" s="124" t="n"/>
      <c r="CS782" s="124" t="n"/>
      <c r="CT782" s="124" t="n"/>
      <c r="CU782" s="124" t="n"/>
      <c r="CV782" s="124" t="n"/>
      <c r="CW782" s="124" t="n"/>
      <c r="CX782" s="124" t="n"/>
      <c r="CY782" s="124" t="n"/>
      <c r="CZ782" s="124" t="n"/>
      <c r="DA782" s="124" t="n"/>
      <c r="DB782" s="124" t="n"/>
      <c r="DC782" s="124" t="n"/>
      <c r="DD782" s="124" t="n"/>
      <c r="DE782" s="124" t="n"/>
      <c r="DF782" s="124" t="n"/>
      <c r="DG782" s="124" t="n"/>
      <c r="DH782" s="124" t="n"/>
      <c r="DI782" s="124" t="n"/>
      <c r="DJ782" s="124" t="n"/>
      <c r="DK782" s="124" t="n"/>
      <c r="DL782" s="124" t="n"/>
      <c r="DM782" s="124" t="n"/>
      <c r="DN782" s="124" t="n"/>
      <c r="DO782" s="124" t="n"/>
      <c r="DP782" s="124" t="n"/>
      <c r="DQ782" s="124" t="n"/>
      <c r="DR782" s="124" t="n"/>
      <c r="DS782" s="124" t="n"/>
      <c r="DT782" s="124" t="n"/>
      <c r="DU782" s="124" t="n"/>
      <c r="DV782" s="124" t="n"/>
      <c r="DW782" s="124" t="n"/>
      <c r="DX782" s="124" t="n"/>
      <c r="DY782" s="124" t="n"/>
      <c r="DZ782" s="124" t="n"/>
      <c r="EA782" s="124" t="n"/>
      <c r="EB782" s="124" t="n"/>
      <c r="EC782" s="124" t="n"/>
      <c r="ED782" s="124" t="n"/>
      <c r="EE782" s="124" t="n"/>
      <c r="EF782" s="124" t="n"/>
      <c r="EG782" s="124" t="n"/>
      <c r="EH782" s="124" t="n"/>
      <c r="EI782" s="124" t="n"/>
      <c r="EJ782" s="124" t="n"/>
      <c r="EK782" s="124" t="n"/>
      <c r="EL782" s="124" t="n"/>
      <c r="EM782" s="124" t="n"/>
      <c r="EN782" s="124" t="n"/>
      <c r="EO782" s="124" t="n"/>
      <c r="EP782" s="124" t="n"/>
      <c r="EQ782" s="124" t="n"/>
      <c r="ER782" s="124" t="n"/>
      <c r="ES782" s="124" t="n"/>
      <c r="ET782" s="124" t="n"/>
      <c r="EU782" s="124" t="n"/>
      <c r="EV782" s="124" t="n"/>
      <c r="EW782" s="124" t="n"/>
      <c r="EX782" s="124" t="n"/>
      <c r="EY782" s="124" t="n"/>
      <c r="EZ782" s="124" t="n"/>
      <c r="FA782" s="124" t="n"/>
      <c r="FB782" s="124" t="n"/>
      <c r="FC782" s="124" t="n"/>
      <c r="FD782" s="124" t="n"/>
      <c r="FE782" s="124" t="n"/>
      <c r="FF782" s="124" t="n"/>
      <c r="FG782" s="124" t="n"/>
      <c r="FH782" s="124" t="n"/>
      <c r="FI782" s="124" t="n"/>
      <c r="FJ782" s="124" t="n"/>
      <c r="FK782" s="124" t="n"/>
      <c r="FL782" s="124" t="n"/>
      <c r="FM782" s="124" t="n"/>
      <c r="FN782" s="124" t="n"/>
      <c r="FO782" s="124" t="n"/>
      <c r="FP782" s="124" t="n"/>
      <c r="FQ782" s="124" t="n"/>
      <c r="FR782" s="124" t="n"/>
      <c r="FS782" s="124" t="n"/>
      <c r="FT782" s="124" t="n"/>
      <c r="FU782" s="124" t="n"/>
      <c r="FV782" s="124" t="n"/>
      <c r="FW782" s="124" t="n"/>
      <c r="FX782" s="124" t="n"/>
      <c r="FY782" s="124" t="n"/>
      <c r="FZ782" s="124" t="n"/>
      <c r="GA782" s="124" t="n"/>
      <c r="GB782" s="124" t="n"/>
      <c r="GC782" s="124" t="n"/>
      <c r="GD782" s="124" t="n"/>
      <c r="GE782" s="124" t="n"/>
      <c r="GF782" s="124" t="n"/>
      <c r="GG782" s="124" t="n"/>
      <c r="GH782" s="124" t="n"/>
      <c r="GI782" s="124" t="n"/>
      <c r="GJ782" s="124" t="n"/>
      <c r="GK782" s="124" t="n"/>
      <c r="GL782" s="124" t="n"/>
      <c r="GM782" s="124" t="n"/>
      <c r="GN782" s="124" t="n"/>
      <c r="GO782" s="124" t="n"/>
      <c r="GP782" s="124" t="n"/>
      <c r="GQ782" s="124" t="n"/>
      <c r="GR782" s="124" t="n"/>
      <c r="GS782" s="124" t="n"/>
      <c r="GT782" s="124" t="n"/>
      <c r="GU782" s="124" t="n"/>
      <c r="GV782" s="124" t="n"/>
      <c r="GW782" s="124" t="n"/>
      <c r="GX782" s="124" t="n"/>
      <c r="GY782" s="124" t="n"/>
      <c r="GZ782" s="124" t="n"/>
      <c r="HA782" s="124" t="n"/>
      <c r="HB782" s="124" t="n"/>
      <c r="HC782" s="124" t="n"/>
      <c r="HD782" s="124" t="n"/>
      <c r="HE782" s="124" t="n"/>
      <c r="HF782" s="124" t="n"/>
      <c r="HG782" s="124" t="n"/>
      <c r="HH782" s="124" t="n"/>
      <c r="HI782" s="124" t="n"/>
      <c r="HJ782" s="124" t="n"/>
      <c r="HK782" s="124" t="n"/>
      <c r="HL782" s="124" t="n"/>
    </row>
    <row r="783" customFormat="1" s="3">
      <c r="A783" s="33" t="inlineStr">
        <is>
          <t>7 этап</t>
        </is>
      </c>
      <c r="B783" s="34" t="n"/>
      <c r="C783" s="38" t="inlineStr">
        <is>
          <t>Обратная засыпка просеянной землей или песком</t>
        </is>
      </c>
      <c r="D783" s="36" t="inlineStr">
        <is>
          <t>м3</t>
        </is>
      </c>
      <c r="E783" s="123" t="n">
        <v>21.6</v>
      </c>
      <c r="F783" s="124" t="n"/>
      <c r="G783" s="124" t="n"/>
      <c r="H783" s="124" t="n"/>
      <c r="I783" s="124" t="n"/>
      <c r="J783" s="124" t="n"/>
      <c r="K783" s="124" t="n"/>
      <c r="L783" s="124" t="n"/>
      <c r="M783" s="124" t="n"/>
      <c r="N783" s="124" t="n"/>
      <c r="O783" s="124" t="n"/>
      <c r="P783" s="124" t="n"/>
      <c r="Q783" s="124" t="n"/>
      <c r="R783" s="124" t="n"/>
      <c r="S783" s="124" t="n"/>
      <c r="T783" s="124" t="n"/>
      <c r="U783" s="124" t="n"/>
      <c r="V783" s="124" t="n"/>
      <c r="W783" s="124" t="n"/>
      <c r="X783" s="124" t="n"/>
      <c r="Y783" s="124" t="n"/>
      <c r="Z783" s="124" t="n"/>
      <c r="AA783" s="124" t="n"/>
      <c r="AB783" s="124" t="n"/>
      <c r="AC783" s="124" t="n"/>
      <c r="AD783" s="124" t="n"/>
      <c r="AE783" s="124" t="n"/>
      <c r="AF783" s="124" t="n"/>
      <c r="AG783" s="124" t="n"/>
      <c r="AH783" s="124" t="n"/>
      <c r="AI783" s="124" t="n"/>
      <c r="AJ783" s="124" t="n"/>
      <c r="AK783" s="124" t="n"/>
      <c r="AL783" s="124" t="n"/>
      <c r="AM783" s="124" t="n"/>
      <c r="AN783" s="124" t="n"/>
      <c r="AO783" s="124" t="n"/>
      <c r="AP783" s="124" t="n"/>
      <c r="AQ783" s="124" t="n"/>
      <c r="AR783" s="124" t="n"/>
      <c r="AS783" s="124" t="n"/>
      <c r="AT783" s="124" t="n"/>
      <c r="AU783" s="124" t="n"/>
      <c r="AV783" s="124" t="n"/>
      <c r="AW783" s="124" t="n"/>
      <c r="AX783" s="124" t="n"/>
      <c r="AY783" s="124" t="n"/>
      <c r="AZ783" s="124" t="n"/>
      <c r="BA783" s="124" t="n"/>
      <c r="BB783" s="124" t="n"/>
      <c r="BC783" s="124" t="n"/>
      <c r="BD783" s="124" t="n"/>
      <c r="BE783" s="124" t="n"/>
      <c r="BF783" s="124" t="n"/>
      <c r="BG783" s="124" t="n"/>
      <c r="BH783" s="124" t="n"/>
      <c r="BI783" s="124" t="n"/>
      <c r="BJ783" s="124" t="n"/>
      <c r="BK783" s="124" t="n"/>
      <c r="BL783" s="124" t="n"/>
      <c r="BM783" s="124" t="n"/>
      <c r="BN783" s="124" t="n"/>
      <c r="BO783" s="124" t="n"/>
      <c r="BP783" s="124" t="n"/>
      <c r="BQ783" s="124" t="n"/>
      <c r="BR783" s="124" t="n"/>
      <c r="BS783" s="124" t="n"/>
      <c r="BT783" s="124" t="n"/>
      <c r="BU783" s="124" t="n"/>
      <c r="BV783" s="124" t="n"/>
      <c r="BW783" s="124" t="n"/>
      <c r="BX783" s="124" t="n"/>
      <c r="BY783" s="124" t="n"/>
      <c r="BZ783" s="124" t="n"/>
      <c r="CA783" s="124" t="n"/>
      <c r="CB783" s="124" t="n"/>
      <c r="CC783" s="124" t="n"/>
      <c r="CD783" s="124" t="n"/>
      <c r="CE783" s="124" t="n"/>
      <c r="CF783" s="124" t="n"/>
      <c r="CG783" s="124" t="n"/>
      <c r="CH783" s="124" t="n"/>
      <c r="CI783" s="124" t="n"/>
      <c r="CJ783" s="124" t="n"/>
      <c r="CK783" s="124" t="n"/>
      <c r="CL783" s="124" t="n"/>
      <c r="CM783" s="124" t="n"/>
      <c r="CN783" s="124" t="n"/>
      <c r="CO783" s="124" t="n"/>
      <c r="CP783" s="124" t="n"/>
      <c r="CQ783" s="124" t="n"/>
      <c r="CR783" s="124" t="n"/>
      <c r="CS783" s="124" t="n"/>
      <c r="CT783" s="124" t="n"/>
      <c r="CU783" s="124" t="n"/>
      <c r="CV783" s="124" t="n"/>
      <c r="CW783" s="124" t="n"/>
      <c r="CX783" s="124" t="n"/>
      <c r="CY783" s="124" t="n"/>
      <c r="CZ783" s="124" t="n"/>
      <c r="DA783" s="124" t="n"/>
      <c r="DB783" s="124" t="n"/>
      <c r="DC783" s="124" t="n"/>
      <c r="DD783" s="124" t="n"/>
      <c r="DE783" s="124" t="n"/>
      <c r="DF783" s="124" t="n"/>
      <c r="DG783" s="124" t="n"/>
      <c r="DH783" s="124" t="n"/>
      <c r="DI783" s="124" t="n"/>
      <c r="DJ783" s="124" t="n"/>
      <c r="DK783" s="124" t="n"/>
      <c r="DL783" s="124" t="n"/>
      <c r="DM783" s="124" t="n"/>
      <c r="DN783" s="124" t="n"/>
      <c r="DO783" s="124" t="n"/>
      <c r="DP783" s="124" t="n"/>
      <c r="DQ783" s="124" t="n"/>
      <c r="DR783" s="124" t="n"/>
      <c r="DS783" s="124" t="n"/>
      <c r="DT783" s="124" t="n"/>
      <c r="DU783" s="124" t="n"/>
      <c r="DV783" s="124" t="n"/>
      <c r="DW783" s="124" t="n"/>
      <c r="DX783" s="124" t="n"/>
      <c r="DY783" s="124" t="n"/>
      <c r="DZ783" s="124" t="n"/>
      <c r="EA783" s="124" t="n"/>
      <c r="EB783" s="124" t="n"/>
      <c r="EC783" s="124" t="n"/>
      <c r="ED783" s="124" t="n"/>
      <c r="EE783" s="124" t="n"/>
      <c r="EF783" s="124" t="n"/>
      <c r="EG783" s="124" t="n"/>
      <c r="EH783" s="124" t="n"/>
      <c r="EI783" s="124" t="n"/>
      <c r="EJ783" s="124" t="n"/>
      <c r="EK783" s="124" t="n"/>
      <c r="EL783" s="124" t="n"/>
      <c r="EM783" s="124" t="n"/>
      <c r="EN783" s="124" t="n"/>
      <c r="EO783" s="124" t="n"/>
      <c r="EP783" s="124" t="n"/>
      <c r="EQ783" s="124" t="n"/>
      <c r="ER783" s="124" t="n"/>
      <c r="ES783" s="124" t="n"/>
      <c r="ET783" s="124" t="n"/>
      <c r="EU783" s="124" t="n"/>
      <c r="EV783" s="124" t="n"/>
      <c r="EW783" s="124" t="n"/>
      <c r="EX783" s="124" t="n"/>
      <c r="EY783" s="124" t="n"/>
      <c r="EZ783" s="124" t="n"/>
      <c r="FA783" s="124" t="n"/>
      <c r="FB783" s="124" t="n"/>
      <c r="FC783" s="124" t="n"/>
      <c r="FD783" s="124" t="n"/>
      <c r="FE783" s="124" t="n"/>
      <c r="FF783" s="124" t="n"/>
      <c r="FG783" s="124" t="n"/>
      <c r="FH783" s="124" t="n"/>
      <c r="FI783" s="124" t="n"/>
      <c r="FJ783" s="124" t="n"/>
      <c r="FK783" s="124" t="n"/>
      <c r="FL783" s="124" t="n"/>
      <c r="FM783" s="124" t="n"/>
      <c r="FN783" s="124" t="n"/>
      <c r="FO783" s="124" t="n"/>
      <c r="FP783" s="124" t="n"/>
      <c r="FQ783" s="124" t="n"/>
      <c r="FR783" s="124" t="n"/>
      <c r="FS783" s="124" t="n"/>
      <c r="FT783" s="124" t="n"/>
      <c r="FU783" s="124" t="n"/>
      <c r="FV783" s="124" t="n"/>
      <c r="FW783" s="124" t="n"/>
      <c r="FX783" s="124" t="n"/>
      <c r="FY783" s="124" t="n"/>
      <c r="FZ783" s="124" t="n"/>
      <c r="GA783" s="124" t="n"/>
      <c r="GB783" s="124" t="n"/>
      <c r="GC783" s="124" t="n"/>
      <c r="GD783" s="124" t="n"/>
      <c r="GE783" s="124" t="n"/>
      <c r="GF783" s="124" t="n"/>
      <c r="GG783" s="124" t="n"/>
      <c r="GH783" s="124" t="n"/>
      <c r="GI783" s="124" t="n"/>
      <c r="GJ783" s="124" t="n"/>
      <c r="GK783" s="124" t="n"/>
      <c r="GL783" s="124" t="n"/>
      <c r="GM783" s="124" t="n"/>
      <c r="GN783" s="124" t="n"/>
      <c r="GO783" s="124" t="n"/>
      <c r="GP783" s="124" t="n"/>
      <c r="GQ783" s="124" t="n"/>
      <c r="GR783" s="124" t="n"/>
      <c r="GS783" s="124" t="n"/>
      <c r="GT783" s="124" t="n"/>
      <c r="GU783" s="124" t="n"/>
      <c r="GV783" s="124" t="n"/>
      <c r="GW783" s="124" t="n"/>
      <c r="GX783" s="124" t="n"/>
      <c r="GY783" s="124" t="n"/>
      <c r="GZ783" s="124" t="n"/>
      <c r="HA783" s="124" t="n"/>
      <c r="HB783" s="124" t="n"/>
      <c r="HC783" s="124" t="n"/>
      <c r="HD783" s="124" t="n"/>
      <c r="HE783" s="124" t="n"/>
      <c r="HF783" s="124" t="n"/>
      <c r="HG783" s="124" t="n"/>
      <c r="HH783" s="124" t="n"/>
      <c r="HI783" s="124" t="n"/>
      <c r="HJ783" s="124" t="n"/>
      <c r="HK783" s="124" t="n"/>
      <c r="HL783" s="124" t="n"/>
    </row>
    <row r="784" customFormat="1" s="3">
      <c r="A784" s="33" t="inlineStr">
        <is>
          <t>7 этап</t>
        </is>
      </c>
      <c r="B784" s="34" t="n"/>
      <c r="C784" s="38" t="inlineStr">
        <is>
          <t>Монтаж сигнальной ленты rexant 150 mm 19-3015</t>
        </is>
      </c>
      <c r="D784" s="36" t="inlineStr">
        <is>
          <t>м/п</t>
        </is>
      </c>
      <c r="E784" s="123" t="n">
        <v>180</v>
      </c>
      <c r="F784" s="124" t="n"/>
      <c r="G784" s="124" t="n"/>
      <c r="H784" s="124" t="n"/>
      <c r="I784" s="124" t="n"/>
      <c r="J784" s="124" t="n"/>
      <c r="K784" s="124" t="n"/>
      <c r="L784" s="124" t="n"/>
      <c r="M784" s="124" t="n"/>
      <c r="N784" s="124" t="n"/>
      <c r="O784" s="124" t="n"/>
      <c r="P784" s="124" t="n"/>
      <c r="Q784" s="124" t="n"/>
      <c r="R784" s="124" t="n"/>
      <c r="S784" s="124" t="n"/>
      <c r="T784" s="124" t="n"/>
      <c r="U784" s="124" t="n"/>
      <c r="V784" s="124" t="n"/>
      <c r="W784" s="124" t="n"/>
      <c r="X784" s="124" t="n"/>
      <c r="Y784" s="124" t="n"/>
      <c r="Z784" s="124" t="n"/>
      <c r="AA784" s="124" t="n"/>
      <c r="AB784" s="124" t="n"/>
      <c r="AC784" s="124" t="n"/>
      <c r="AD784" s="124" t="n"/>
      <c r="AE784" s="124" t="n"/>
      <c r="AF784" s="124" t="n"/>
      <c r="AG784" s="124" t="n"/>
      <c r="AH784" s="124" t="n"/>
      <c r="AI784" s="124" t="n"/>
      <c r="AJ784" s="124" t="n"/>
      <c r="AK784" s="124" t="n"/>
      <c r="AL784" s="124" t="n"/>
      <c r="AM784" s="124" t="n"/>
      <c r="AN784" s="124" t="n"/>
      <c r="AO784" s="124" t="n"/>
      <c r="AP784" s="124" t="n"/>
      <c r="AQ784" s="124" t="n"/>
      <c r="AR784" s="124" t="n"/>
      <c r="AS784" s="124" t="n"/>
      <c r="AT784" s="124" t="n"/>
      <c r="AU784" s="124" t="n"/>
      <c r="AV784" s="124" t="n"/>
      <c r="AW784" s="124" t="n"/>
      <c r="AX784" s="124" t="n"/>
      <c r="AY784" s="124" t="n"/>
      <c r="AZ784" s="124" t="n"/>
      <c r="BA784" s="124" t="n"/>
      <c r="BB784" s="124" t="n"/>
      <c r="BC784" s="124" t="n"/>
      <c r="BD784" s="124" t="n"/>
      <c r="BE784" s="124" t="n"/>
      <c r="BF784" s="124" t="n"/>
      <c r="BG784" s="124" t="n"/>
      <c r="BH784" s="124" t="n"/>
      <c r="BI784" s="124" t="n"/>
      <c r="BJ784" s="124" t="n"/>
      <c r="BK784" s="124" t="n"/>
      <c r="BL784" s="124" t="n"/>
      <c r="BM784" s="124" t="n"/>
      <c r="BN784" s="124" t="n"/>
      <c r="BO784" s="124" t="n"/>
      <c r="BP784" s="124" t="n"/>
      <c r="BQ784" s="124" t="n"/>
      <c r="BR784" s="124" t="n"/>
      <c r="BS784" s="124" t="n"/>
      <c r="BT784" s="124" t="n"/>
      <c r="BU784" s="124" t="n"/>
      <c r="BV784" s="124" t="n"/>
      <c r="BW784" s="124" t="n"/>
      <c r="BX784" s="124" t="n"/>
      <c r="BY784" s="124" t="n"/>
      <c r="BZ784" s="124" t="n"/>
      <c r="CA784" s="124" t="n"/>
      <c r="CB784" s="124" t="n"/>
      <c r="CC784" s="124" t="n"/>
      <c r="CD784" s="124" t="n"/>
      <c r="CE784" s="124" t="n"/>
      <c r="CF784" s="124" t="n"/>
      <c r="CG784" s="124" t="n"/>
      <c r="CH784" s="124" t="n"/>
      <c r="CI784" s="124" t="n"/>
      <c r="CJ784" s="124" t="n"/>
      <c r="CK784" s="124" t="n"/>
      <c r="CL784" s="124" t="n"/>
      <c r="CM784" s="124" t="n"/>
      <c r="CN784" s="124" t="n"/>
      <c r="CO784" s="124" t="n"/>
      <c r="CP784" s="124" t="n"/>
      <c r="CQ784" s="124" t="n"/>
      <c r="CR784" s="124" t="n"/>
      <c r="CS784" s="124" t="n"/>
      <c r="CT784" s="124" t="n"/>
      <c r="CU784" s="124" t="n"/>
      <c r="CV784" s="124" t="n"/>
      <c r="CW784" s="124" t="n"/>
      <c r="CX784" s="124" t="n"/>
      <c r="CY784" s="124" t="n"/>
      <c r="CZ784" s="124" t="n"/>
      <c r="DA784" s="124" t="n"/>
      <c r="DB784" s="124" t="n"/>
      <c r="DC784" s="124" t="n"/>
      <c r="DD784" s="124" t="n"/>
      <c r="DE784" s="124" t="n"/>
      <c r="DF784" s="124" t="n"/>
      <c r="DG784" s="124" t="n"/>
      <c r="DH784" s="124" t="n"/>
      <c r="DI784" s="124" t="n"/>
      <c r="DJ784" s="124" t="n"/>
      <c r="DK784" s="124" t="n"/>
      <c r="DL784" s="124" t="n"/>
      <c r="DM784" s="124" t="n"/>
      <c r="DN784" s="124" t="n"/>
      <c r="DO784" s="124" t="n"/>
      <c r="DP784" s="124" t="n"/>
      <c r="DQ784" s="124" t="n"/>
      <c r="DR784" s="124" t="n"/>
      <c r="DS784" s="124" t="n"/>
      <c r="DT784" s="124" t="n"/>
      <c r="DU784" s="124" t="n"/>
      <c r="DV784" s="124" t="n"/>
      <c r="DW784" s="124" t="n"/>
      <c r="DX784" s="124" t="n"/>
      <c r="DY784" s="124" t="n"/>
      <c r="DZ784" s="124" t="n"/>
      <c r="EA784" s="124" t="n"/>
      <c r="EB784" s="124" t="n"/>
      <c r="EC784" s="124" t="n"/>
      <c r="ED784" s="124" t="n"/>
      <c r="EE784" s="124" t="n"/>
      <c r="EF784" s="124" t="n"/>
      <c r="EG784" s="124" t="n"/>
      <c r="EH784" s="124" t="n"/>
      <c r="EI784" s="124" t="n"/>
      <c r="EJ784" s="124" t="n"/>
      <c r="EK784" s="124" t="n"/>
      <c r="EL784" s="124" t="n"/>
      <c r="EM784" s="124" t="n"/>
      <c r="EN784" s="124" t="n"/>
      <c r="EO784" s="124" t="n"/>
      <c r="EP784" s="124" t="n"/>
      <c r="EQ784" s="124" t="n"/>
      <c r="ER784" s="124" t="n"/>
      <c r="ES784" s="124" t="n"/>
      <c r="ET784" s="124" t="n"/>
      <c r="EU784" s="124" t="n"/>
      <c r="EV784" s="124" t="n"/>
      <c r="EW784" s="124" t="n"/>
      <c r="EX784" s="124" t="n"/>
      <c r="EY784" s="124" t="n"/>
      <c r="EZ784" s="124" t="n"/>
      <c r="FA784" s="124" t="n"/>
      <c r="FB784" s="124" t="n"/>
      <c r="FC784" s="124" t="n"/>
      <c r="FD784" s="124" t="n"/>
      <c r="FE784" s="124" t="n"/>
      <c r="FF784" s="124" t="n"/>
      <c r="FG784" s="124" t="n"/>
      <c r="FH784" s="124" t="n"/>
      <c r="FI784" s="124" t="n"/>
      <c r="FJ784" s="124" t="n"/>
      <c r="FK784" s="124" t="n"/>
      <c r="FL784" s="124" t="n"/>
      <c r="FM784" s="124" t="n"/>
      <c r="FN784" s="124" t="n"/>
      <c r="FO784" s="124" t="n"/>
      <c r="FP784" s="124" t="n"/>
      <c r="FQ784" s="124" t="n"/>
      <c r="FR784" s="124" t="n"/>
      <c r="FS784" s="124" t="n"/>
      <c r="FT784" s="124" t="n"/>
      <c r="FU784" s="124" t="n"/>
      <c r="FV784" s="124" t="n"/>
      <c r="FW784" s="124" t="n"/>
      <c r="FX784" s="124" t="n"/>
      <c r="FY784" s="124" t="n"/>
      <c r="FZ784" s="124" t="n"/>
      <c r="GA784" s="124" t="n"/>
      <c r="GB784" s="124" t="n"/>
      <c r="GC784" s="124" t="n"/>
      <c r="GD784" s="124" t="n"/>
      <c r="GE784" s="124" t="n"/>
      <c r="GF784" s="124" t="n"/>
      <c r="GG784" s="124" t="n"/>
      <c r="GH784" s="124" t="n"/>
      <c r="GI784" s="124" t="n"/>
      <c r="GJ784" s="124" t="n"/>
      <c r="GK784" s="124" t="n"/>
      <c r="GL784" s="124" t="n"/>
      <c r="GM784" s="124" t="n"/>
      <c r="GN784" s="124" t="n"/>
      <c r="GO784" s="124" t="n"/>
      <c r="GP784" s="124" t="n"/>
      <c r="GQ784" s="124" t="n"/>
      <c r="GR784" s="124" t="n"/>
      <c r="GS784" s="124" t="n"/>
      <c r="GT784" s="124" t="n"/>
      <c r="GU784" s="124" t="n"/>
      <c r="GV784" s="124" t="n"/>
      <c r="GW784" s="124" t="n"/>
      <c r="GX784" s="124" t="n"/>
      <c r="GY784" s="124" t="n"/>
      <c r="GZ784" s="124" t="n"/>
      <c r="HA784" s="124" t="n"/>
      <c r="HB784" s="124" t="n"/>
      <c r="HC784" s="124" t="n"/>
      <c r="HD784" s="124" t="n"/>
      <c r="HE784" s="124" t="n"/>
      <c r="HF784" s="124" t="n"/>
      <c r="HG784" s="124" t="n"/>
      <c r="HH784" s="124" t="n"/>
      <c r="HI784" s="124" t="n"/>
      <c r="HJ784" s="124" t="n"/>
      <c r="HK784" s="124" t="n"/>
      <c r="HL784" s="124" t="n"/>
    </row>
    <row r="785" customFormat="1" s="3">
      <c r="A785" s="33" t="inlineStr">
        <is>
          <t>7 этап</t>
        </is>
      </c>
      <c r="B785" s="34" t="n"/>
      <c r="C785" s="38" t="inlineStr">
        <is>
          <t>Обратная засыпка</t>
        </is>
      </c>
      <c r="D785" s="36" t="inlineStr">
        <is>
          <t>м3</t>
        </is>
      </c>
      <c r="E785" s="123" t="n">
        <v>713.6</v>
      </c>
      <c r="F785" s="124" t="n"/>
      <c r="G785" s="124" t="n"/>
      <c r="H785" s="124" t="n"/>
      <c r="I785" s="124" t="n"/>
      <c r="J785" s="124" t="n"/>
      <c r="K785" s="124" t="n"/>
      <c r="L785" s="124" t="n"/>
      <c r="M785" s="124" t="n"/>
      <c r="N785" s="124" t="n"/>
      <c r="O785" s="124" t="n"/>
      <c r="P785" s="124" t="n"/>
      <c r="Q785" s="124" t="n"/>
      <c r="R785" s="124" t="n"/>
      <c r="S785" s="124" t="n"/>
      <c r="T785" s="124" t="n"/>
      <c r="U785" s="124" t="n"/>
      <c r="V785" s="124" t="n"/>
      <c r="W785" s="124" t="n"/>
      <c r="X785" s="124" t="n"/>
      <c r="Y785" s="124" t="n"/>
      <c r="Z785" s="124" t="n"/>
      <c r="AA785" s="124" t="n"/>
      <c r="AB785" s="124" t="n"/>
      <c r="AC785" s="124" t="n"/>
      <c r="AD785" s="124" t="n"/>
      <c r="AE785" s="124" t="n"/>
      <c r="AF785" s="124" t="n"/>
      <c r="AG785" s="124" t="n"/>
      <c r="AH785" s="124" t="n"/>
      <c r="AI785" s="124" t="n"/>
      <c r="AJ785" s="124" t="n"/>
      <c r="AK785" s="124" t="n"/>
      <c r="AL785" s="124" t="n"/>
      <c r="AM785" s="124" t="n"/>
      <c r="AN785" s="124" t="n"/>
      <c r="AO785" s="124" t="n"/>
      <c r="AP785" s="124" t="n"/>
      <c r="AQ785" s="124" t="n"/>
      <c r="AR785" s="124" t="n"/>
      <c r="AS785" s="124" t="n"/>
      <c r="AT785" s="124" t="n"/>
      <c r="AU785" s="124" t="n"/>
      <c r="AV785" s="124" t="n"/>
      <c r="AW785" s="124" t="n"/>
      <c r="AX785" s="124" t="n"/>
      <c r="AY785" s="124" t="n"/>
      <c r="AZ785" s="124" t="n"/>
      <c r="BA785" s="124" t="n"/>
      <c r="BB785" s="124" t="n"/>
      <c r="BC785" s="124" t="n"/>
      <c r="BD785" s="124" t="n"/>
      <c r="BE785" s="124" t="n"/>
      <c r="BF785" s="124" t="n"/>
      <c r="BG785" s="124" t="n"/>
      <c r="BH785" s="124" t="n"/>
      <c r="BI785" s="124" t="n"/>
      <c r="BJ785" s="124" t="n"/>
      <c r="BK785" s="124" t="n"/>
      <c r="BL785" s="124" t="n"/>
      <c r="BM785" s="124" t="n"/>
      <c r="BN785" s="124" t="n"/>
      <c r="BO785" s="124" t="n"/>
      <c r="BP785" s="124" t="n"/>
      <c r="BQ785" s="124" t="n"/>
      <c r="BR785" s="124" t="n"/>
      <c r="BS785" s="124" t="n"/>
      <c r="BT785" s="124" t="n"/>
      <c r="BU785" s="124" t="n"/>
      <c r="BV785" s="124" t="n"/>
      <c r="BW785" s="124" t="n"/>
      <c r="BX785" s="124" t="n"/>
      <c r="BY785" s="124" t="n"/>
      <c r="BZ785" s="124" t="n"/>
      <c r="CA785" s="124" t="n"/>
      <c r="CB785" s="124" t="n"/>
      <c r="CC785" s="124" t="n"/>
      <c r="CD785" s="124" t="n"/>
      <c r="CE785" s="124" t="n"/>
      <c r="CF785" s="124" t="n"/>
      <c r="CG785" s="124" t="n"/>
      <c r="CH785" s="124" t="n"/>
      <c r="CI785" s="124" t="n"/>
      <c r="CJ785" s="124" t="n"/>
      <c r="CK785" s="124" t="n"/>
      <c r="CL785" s="124" t="n"/>
      <c r="CM785" s="124" t="n"/>
      <c r="CN785" s="124" t="n"/>
      <c r="CO785" s="124" t="n"/>
      <c r="CP785" s="124" t="n"/>
      <c r="CQ785" s="124" t="n"/>
      <c r="CR785" s="124" t="n"/>
      <c r="CS785" s="124" t="n"/>
      <c r="CT785" s="124" t="n"/>
      <c r="CU785" s="124" t="n"/>
      <c r="CV785" s="124" t="n"/>
      <c r="CW785" s="124" t="n"/>
      <c r="CX785" s="124" t="n"/>
      <c r="CY785" s="124" t="n"/>
      <c r="CZ785" s="124" t="n"/>
      <c r="DA785" s="124" t="n"/>
      <c r="DB785" s="124" t="n"/>
      <c r="DC785" s="124" t="n"/>
      <c r="DD785" s="124" t="n"/>
      <c r="DE785" s="124" t="n"/>
      <c r="DF785" s="124" t="n"/>
      <c r="DG785" s="124" t="n"/>
      <c r="DH785" s="124" t="n"/>
      <c r="DI785" s="124" t="n"/>
      <c r="DJ785" s="124" t="n"/>
      <c r="DK785" s="124" t="n"/>
      <c r="DL785" s="124" t="n"/>
      <c r="DM785" s="124" t="n"/>
      <c r="DN785" s="124" t="n"/>
      <c r="DO785" s="124" t="n"/>
      <c r="DP785" s="124" t="n"/>
      <c r="DQ785" s="124" t="n"/>
      <c r="DR785" s="124" t="n"/>
      <c r="DS785" s="124" t="n"/>
      <c r="DT785" s="124" t="n"/>
      <c r="DU785" s="124" t="n"/>
      <c r="DV785" s="124" t="n"/>
      <c r="DW785" s="124" t="n"/>
      <c r="DX785" s="124" t="n"/>
      <c r="DY785" s="124" t="n"/>
      <c r="DZ785" s="124" t="n"/>
      <c r="EA785" s="124" t="n"/>
      <c r="EB785" s="124" t="n"/>
      <c r="EC785" s="124" t="n"/>
      <c r="ED785" s="124" t="n"/>
      <c r="EE785" s="124" t="n"/>
      <c r="EF785" s="124" t="n"/>
      <c r="EG785" s="124" t="n"/>
      <c r="EH785" s="124" t="n"/>
      <c r="EI785" s="124" t="n"/>
      <c r="EJ785" s="124" t="n"/>
      <c r="EK785" s="124" t="n"/>
      <c r="EL785" s="124" t="n"/>
      <c r="EM785" s="124" t="n"/>
      <c r="EN785" s="124" t="n"/>
      <c r="EO785" s="124" t="n"/>
      <c r="EP785" s="124" t="n"/>
      <c r="EQ785" s="124" t="n"/>
      <c r="ER785" s="124" t="n"/>
      <c r="ES785" s="124" t="n"/>
      <c r="ET785" s="124" t="n"/>
      <c r="EU785" s="124" t="n"/>
      <c r="EV785" s="124" t="n"/>
      <c r="EW785" s="124" t="n"/>
      <c r="EX785" s="124" t="n"/>
      <c r="EY785" s="124" t="n"/>
      <c r="EZ785" s="124" t="n"/>
      <c r="FA785" s="124" t="n"/>
      <c r="FB785" s="124" t="n"/>
      <c r="FC785" s="124" t="n"/>
      <c r="FD785" s="124" t="n"/>
      <c r="FE785" s="124" t="n"/>
      <c r="FF785" s="124" t="n"/>
      <c r="FG785" s="124" t="n"/>
      <c r="FH785" s="124" t="n"/>
      <c r="FI785" s="124" t="n"/>
      <c r="FJ785" s="124" t="n"/>
      <c r="FK785" s="124" t="n"/>
      <c r="FL785" s="124" t="n"/>
      <c r="FM785" s="124" t="n"/>
      <c r="FN785" s="124" t="n"/>
      <c r="FO785" s="124" t="n"/>
      <c r="FP785" s="124" t="n"/>
      <c r="FQ785" s="124" t="n"/>
      <c r="FR785" s="124" t="n"/>
      <c r="FS785" s="124" t="n"/>
      <c r="FT785" s="124" t="n"/>
      <c r="FU785" s="124" t="n"/>
      <c r="FV785" s="124" t="n"/>
      <c r="FW785" s="124" t="n"/>
      <c r="FX785" s="124" t="n"/>
      <c r="FY785" s="124" t="n"/>
      <c r="FZ785" s="124" t="n"/>
      <c r="GA785" s="124" t="n"/>
      <c r="GB785" s="124" t="n"/>
      <c r="GC785" s="124" t="n"/>
      <c r="GD785" s="124" t="n"/>
      <c r="GE785" s="124" t="n"/>
      <c r="GF785" s="124" t="n"/>
      <c r="GG785" s="124" t="n"/>
      <c r="GH785" s="124" t="n"/>
      <c r="GI785" s="124" t="n"/>
      <c r="GJ785" s="124" t="n"/>
      <c r="GK785" s="124" t="n"/>
      <c r="GL785" s="124" t="n"/>
      <c r="GM785" s="124" t="n"/>
      <c r="GN785" s="124" t="n"/>
      <c r="GO785" s="124" t="n"/>
      <c r="GP785" s="124" t="n"/>
      <c r="GQ785" s="124" t="n"/>
      <c r="GR785" s="124" t="n"/>
      <c r="GS785" s="124" t="n"/>
      <c r="GT785" s="124" t="n"/>
      <c r="GU785" s="124" t="n"/>
      <c r="GV785" s="124" t="n"/>
      <c r="GW785" s="124" t="n"/>
      <c r="GX785" s="124" t="n"/>
      <c r="GY785" s="124" t="n"/>
      <c r="GZ785" s="124" t="n"/>
      <c r="HA785" s="124" t="n"/>
      <c r="HB785" s="124" t="n"/>
      <c r="HC785" s="124" t="n"/>
      <c r="HD785" s="124" t="n"/>
      <c r="HE785" s="124" t="n"/>
      <c r="HF785" s="124" t="n"/>
      <c r="HG785" s="124" t="n"/>
      <c r="HH785" s="124" t="n"/>
      <c r="HI785" s="124" t="n"/>
      <c r="HJ785" s="124" t="n"/>
      <c r="HK785" s="124" t="n"/>
      <c r="HL785" s="124" t="n"/>
    </row>
    <row r="786" customFormat="1" s="3">
      <c r="A786" s="33" t="inlineStr">
        <is>
          <t>7 этап</t>
        </is>
      </c>
      <c r="B786" s="34" t="n"/>
      <c r="C786" s="38" t="inlineStr">
        <is>
          <t>Монтаж труб асбестоцементных Д-200</t>
        </is>
      </c>
      <c r="D786" s="36" t="inlineStr">
        <is>
          <t>м/п</t>
        </is>
      </c>
      <c r="E786" s="123" t="n">
        <v>27</v>
      </c>
      <c r="F786" s="124" t="n"/>
      <c r="G786" s="124" t="n"/>
      <c r="H786" s="124" t="n"/>
      <c r="I786" s="124" t="n"/>
      <c r="J786" s="124" t="n"/>
      <c r="K786" s="124" t="n"/>
      <c r="L786" s="124" t="n"/>
      <c r="M786" s="124" t="n"/>
      <c r="N786" s="124" t="n"/>
      <c r="O786" s="124" t="n"/>
      <c r="P786" s="124" t="n"/>
      <c r="Q786" s="124" t="n"/>
      <c r="R786" s="124" t="n"/>
      <c r="S786" s="124" t="n"/>
      <c r="T786" s="124" t="n"/>
      <c r="U786" s="124" t="n"/>
      <c r="V786" s="124" t="n"/>
      <c r="W786" s="124" t="n"/>
      <c r="X786" s="124" t="n"/>
      <c r="Y786" s="124" t="n"/>
      <c r="Z786" s="124" t="n"/>
      <c r="AA786" s="124" t="n"/>
      <c r="AB786" s="124" t="n"/>
      <c r="AC786" s="124" t="n"/>
      <c r="AD786" s="124" t="n"/>
      <c r="AE786" s="124" t="n"/>
      <c r="AF786" s="124" t="n"/>
      <c r="AG786" s="124" t="n"/>
      <c r="AH786" s="124" t="n"/>
      <c r="AI786" s="124" t="n"/>
      <c r="AJ786" s="124" t="n"/>
      <c r="AK786" s="124" t="n"/>
      <c r="AL786" s="124" t="n"/>
      <c r="AM786" s="124" t="n"/>
      <c r="AN786" s="124" t="n"/>
      <c r="AO786" s="124" t="n"/>
      <c r="AP786" s="124" t="n"/>
      <c r="AQ786" s="124" t="n"/>
      <c r="AR786" s="124" t="n"/>
      <c r="AS786" s="124" t="n"/>
      <c r="AT786" s="124" t="n"/>
      <c r="AU786" s="124" t="n"/>
      <c r="AV786" s="124" t="n"/>
      <c r="AW786" s="124" t="n"/>
      <c r="AX786" s="124" t="n"/>
      <c r="AY786" s="124" t="n"/>
      <c r="AZ786" s="124" t="n"/>
      <c r="BA786" s="124" t="n"/>
      <c r="BB786" s="124" t="n"/>
      <c r="BC786" s="124" t="n"/>
      <c r="BD786" s="124" t="n"/>
      <c r="BE786" s="124" t="n"/>
      <c r="BF786" s="124" t="n"/>
      <c r="BG786" s="124" t="n"/>
      <c r="BH786" s="124" t="n"/>
      <c r="BI786" s="124" t="n"/>
      <c r="BJ786" s="124" t="n"/>
      <c r="BK786" s="124" t="n"/>
      <c r="BL786" s="124" t="n"/>
      <c r="BM786" s="124" t="n"/>
      <c r="BN786" s="124" t="n"/>
      <c r="BO786" s="124" t="n"/>
      <c r="BP786" s="124" t="n"/>
      <c r="BQ786" s="124" t="n"/>
      <c r="BR786" s="124" t="n"/>
      <c r="BS786" s="124" t="n"/>
      <c r="BT786" s="124" t="n"/>
      <c r="BU786" s="124" t="n"/>
      <c r="BV786" s="124" t="n"/>
      <c r="BW786" s="124" t="n"/>
      <c r="BX786" s="124" t="n"/>
      <c r="BY786" s="124" t="n"/>
      <c r="BZ786" s="124" t="n"/>
      <c r="CA786" s="124" t="n"/>
      <c r="CB786" s="124" t="n"/>
      <c r="CC786" s="124" t="n"/>
      <c r="CD786" s="124" t="n"/>
      <c r="CE786" s="124" t="n"/>
      <c r="CF786" s="124" t="n"/>
      <c r="CG786" s="124" t="n"/>
      <c r="CH786" s="124" t="n"/>
      <c r="CI786" s="124" t="n"/>
      <c r="CJ786" s="124" t="n"/>
      <c r="CK786" s="124" t="n"/>
      <c r="CL786" s="124" t="n"/>
      <c r="CM786" s="124" t="n"/>
      <c r="CN786" s="124" t="n"/>
      <c r="CO786" s="124" t="n"/>
      <c r="CP786" s="124" t="n"/>
      <c r="CQ786" s="124" t="n"/>
      <c r="CR786" s="124" t="n"/>
      <c r="CS786" s="124" t="n"/>
      <c r="CT786" s="124" t="n"/>
      <c r="CU786" s="124" t="n"/>
      <c r="CV786" s="124" t="n"/>
      <c r="CW786" s="124" t="n"/>
      <c r="CX786" s="124" t="n"/>
      <c r="CY786" s="124" t="n"/>
      <c r="CZ786" s="124" t="n"/>
      <c r="DA786" s="124" t="n"/>
      <c r="DB786" s="124" t="n"/>
      <c r="DC786" s="124" t="n"/>
      <c r="DD786" s="124" t="n"/>
      <c r="DE786" s="124" t="n"/>
      <c r="DF786" s="124" t="n"/>
      <c r="DG786" s="124" t="n"/>
      <c r="DH786" s="124" t="n"/>
      <c r="DI786" s="124" t="n"/>
      <c r="DJ786" s="124" t="n"/>
      <c r="DK786" s="124" t="n"/>
      <c r="DL786" s="124" t="n"/>
      <c r="DM786" s="124" t="n"/>
      <c r="DN786" s="124" t="n"/>
      <c r="DO786" s="124" t="n"/>
      <c r="DP786" s="124" t="n"/>
      <c r="DQ786" s="124" t="n"/>
      <c r="DR786" s="124" t="n"/>
      <c r="DS786" s="124" t="n"/>
      <c r="DT786" s="124" t="n"/>
      <c r="DU786" s="124" t="n"/>
      <c r="DV786" s="124" t="n"/>
      <c r="DW786" s="124" t="n"/>
      <c r="DX786" s="124" t="n"/>
      <c r="DY786" s="124" t="n"/>
      <c r="DZ786" s="124" t="n"/>
      <c r="EA786" s="124" t="n"/>
      <c r="EB786" s="124" t="n"/>
      <c r="EC786" s="124" t="n"/>
      <c r="ED786" s="124" t="n"/>
      <c r="EE786" s="124" t="n"/>
      <c r="EF786" s="124" t="n"/>
      <c r="EG786" s="124" t="n"/>
      <c r="EH786" s="124" t="n"/>
      <c r="EI786" s="124" t="n"/>
      <c r="EJ786" s="124" t="n"/>
      <c r="EK786" s="124" t="n"/>
      <c r="EL786" s="124" t="n"/>
      <c r="EM786" s="124" t="n"/>
      <c r="EN786" s="124" t="n"/>
      <c r="EO786" s="124" t="n"/>
      <c r="EP786" s="124" t="n"/>
      <c r="EQ786" s="124" t="n"/>
      <c r="ER786" s="124" t="n"/>
      <c r="ES786" s="124" t="n"/>
      <c r="ET786" s="124" t="n"/>
      <c r="EU786" s="124" t="n"/>
      <c r="EV786" s="124" t="n"/>
      <c r="EW786" s="124" t="n"/>
      <c r="EX786" s="124" t="n"/>
      <c r="EY786" s="124" t="n"/>
      <c r="EZ786" s="124" t="n"/>
      <c r="FA786" s="124" t="n"/>
      <c r="FB786" s="124" t="n"/>
      <c r="FC786" s="124" t="n"/>
      <c r="FD786" s="124" t="n"/>
      <c r="FE786" s="124" t="n"/>
      <c r="FF786" s="124" t="n"/>
      <c r="FG786" s="124" t="n"/>
      <c r="FH786" s="124" t="n"/>
      <c r="FI786" s="124" t="n"/>
      <c r="FJ786" s="124" t="n"/>
      <c r="FK786" s="124" t="n"/>
      <c r="FL786" s="124" t="n"/>
      <c r="FM786" s="124" t="n"/>
      <c r="FN786" s="124" t="n"/>
      <c r="FO786" s="124" t="n"/>
      <c r="FP786" s="124" t="n"/>
      <c r="FQ786" s="124" t="n"/>
      <c r="FR786" s="124" t="n"/>
      <c r="FS786" s="124" t="n"/>
      <c r="FT786" s="124" t="n"/>
      <c r="FU786" s="124" t="n"/>
      <c r="FV786" s="124" t="n"/>
      <c r="FW786" s="124" t="n"/>
      <c r="FX786" s="124" t="n"/>
      <c r="FY786" s="124" t="n"/>
      <c r="FZ786" s="124" t="n"/>
      <c r="GA786" s="124" t="n"/>
      <c r="GB786" s="124" t="n"/>
      <c r="GC786" s="124" t="n"/>
      <c r="GD786" s="124" t="n"/>
      <c r="GE786" s="124" t="n"/>
      <c r="GF786" s="124" t="n"/>
      <c r="GG786" s="124" t="n"/>
      <c r="GH786" s="124" t="n"/>
      <c r="GI786" s="124" t="n"/>
      <c r="GJ786" s="124" t="n"/>
      <c r="GK786" s="124" t="n"/>
      <c r="GL786" s="124" t="n"/>
      <c r="GM786" s="124" t="n"/>
      <c r="GN786" s="124" t="n"/>
      <c r="GO786" s="124" t="n"/>
      <c r="GP786" s="124" t="n"/>
      <c r="GQ786" s="124" t="n"/>
      <c r="GR786" s="124" t="n"/>
      <c r="GS786" s="124" t="n"/>
      <c r="GT786" s="124" t="n"/>
      <c r="GU786" s="124" t="n"/>
      <c r="GV786" s="124" t="n"/>
      <c r="GW786" s="124" t="n"/>
      <c r="GX786" s="124" t="n"/>
      <c r="GY786" s="124" t="n"/>
      <c r="GZ786" s="124" t="n"/>
      <c r="HA786" s="124" t="n"/>
      <c r="HB786" s="124" t="n"/>
      <c r="HC786" s="124" t="n"/>
      <c r="HD786" s="124" t="n"/>
      <c r="HE786" s="124" t="n"/>
      <c r="HF786" s="124" t="n"/>
      <c r="HG786" s="124" t="n"/>
      <c r="HH786" s="124" t="n"/>
      <c r="HI786" s="124" t="n"/>
      <c r="HJ786" s="124" t="n"/>
      <c r="HK786" s="124" t="n"/>
      <c r="HL786" s="124" t="n"/>
    </row>
    <row r="787" customFormat="1" s="3">
      <c r="A787" s="33" t="inlineStr">
        <is>
          <t>7 этап</t>
        </is>
      </c>
      <c r="B787" s="34" t="n"/>
      <c r="C787" s="38" t="inlineStr">
        <is>
          <t>Монтаж кожуха А11-2011.51, 4 анкера</t>
        </is>
      </c>
      <c r="D787" s="36" t="inlineStr">
        <is>
          <t>шт.</t>
        </is>
      </c>
      <c r="E787" s="123" t="n">
        <v>1</v>
      </c>
      <c r="F787" s="124" t="n"/>
      <c r="G787" s="124" t="n"/>
      <c r="H787" s="124" t="n"/>
      <c r="I787" s="124" t="n"/>
      <c r="J787" s="124" t="n"/>
      <c r="K787" s="124" t="n"/>
      <c r="L787" s="124" t="n"/>
      <c r="M787" s="124" t="n"/>
      <c r="N787" s="124" t="n"/>
      <c r="O787" s="124" t="n"/>
      <c r="P787" s="124" t="n"/>
      <c r="Q787" s="124" t="n"/>
      <c r="R787" s="124" t="n"/>
      <c r="S787" s="124" t="n"/>
      <c r="T787" s="124" t="n"/>
      <c r="U787" s="124" t="n"/>
      <c r="V787" s="124" t="n"/>
      <c r="W787" s="124" t="n"/>
      <c r="X787" s="124" t="n"/>
      <c r="Y787" s="124" t="n"/>
      <c r="Z787" s="124" t="n"/>
      <c r="AA787" s="124" t="n"/>
      <c r="AB787" s="124" t="n"/>
      <c r="AC787" s="124" t="n"/>
      <c r="AD787" s="124" t="n"/>
      <c r="AE787" s="124" t="n"/>
      <c r="AF787" s="124" t="n"/>
      <c r="AG787" s="124" t="n"/>
      <c r="AH787" s="124" t="n"/>
      <c r="AI787" s="124" t="n"/>
      <c r="AJ787" s="124" t="n"/>
      <c r="AK787" s="124" t="n"/>
      <c r="AL787" s="124" t="n"/>
      <c r="AM787" s="124" t="n"/>
      <c r="AN787" s="124" t="n"/>
      <c r="AO787" s="124" t="n"/>
      <c r="AP787" s="124" t="n"/>
      <c r="AQ787" s="124" t="n"/>
      <c r="AR787" s="124" t="n"/>
      <c r="AS787" s="124" t="n"/>
      <c r="AT787" s="124" t="n"/>
      <c r="AU787" s="124" t="n"/>
      <c r="AV787" s="124" t="n"/>
      <c r="AW787" s="124" t="n"/>
      <c r="AX787" s="124" t="n"/>
      <c r="AY787" s="124" t="n"/>
      <c r="AZ787" s="124" t="n"/>
      <c r="BA787" s="124" t="n"/>
      <c r="BB787" s="124" t="n"/>
      <c r="BC787" s="124" t="n"/>
      <c r="BD787" s="124" t="n"/>
      <c r="BE787" s="124" t="n"/>
      <c r="BF787" s="124" t="n"/>
      <c r="BG787" s="124" t="n"/>
      <c r="BH787" s="124" t="n"/>
      <c r="BI787" s="124" t="n"/>
      <c r="BJ787" s="124" t="n"/>
      <c r="BK787" s="124" t="n"/>
      <c r="BL787" s="124" t="n"/>
      <c r="BM787" s="124" t="n"/>
      <c r="BN787" s="124" t="n"/>
      <c r="BO787" s="124" t="n"/>
      <c r="BP787" s="124" t="n"/>
      <c r="BQ787" s="124" t="n"/>
      <c r="BR787" s="124" t="n"/>
      <c r="BS787" s="124" t="n"/>
      <c r="BT787" s="124" t="n"/>
      <c r="BU787" s="124" t="n"/>
      <c r="BV787" s="124" t="n"/>
      <c r="BW787" s="124" t="n"/>
      <c r="BX787" s="124" t="n"/>
      <c r="BY787" s="124" t="n"/>
      <c r="BZ787" s="124" t="n"/>
      <c r="CA787" s="124" t="n"/>
      <c r="CB787" s="124" t="n"/>
      <c r="CC787" s="124" t="n"/>
      <c r="CD787" s="124" t="n"/>
      <c r="CE787" s="124" t="n"/>
      <c r="CF787" s="124" t="n"/>
      <c r="CG787" s="124" t="n"/>
      <c r="CH787" s="124" t="n"/>
      <c r="CI787" s="124" t="n"/>
      <c r="CJ787" s="124" t="n"/>
      <c r="CK787" s="124" t="n"/>
      <c r="CL787" s="124" t="n"/>
      <c r="CM787" s="124" t="n"/>
      <c r="CN787" s="124" t="n"/>
      <c r="CO787" s="124" t="n"/>
      <c r="CP787" s="124" t="n"/>
      <c r="CQ787" s="124" t="n"/>
      <c r="CR787" s="124" t="n"/>
      <c r="CS787" s="124" t="n"/>
      <c r="CT787" s="124" t="n"/>
      <c r="CU787" s="124" t="n"/>
      <c r="CV787" s="124" t="n"/>
      <c r="CW787" s="124" t="n"/>
      <c r="CX787" s="124" t="n"/>
      <c r="CY787" s="124" t="n"/>
      <c r="CZ787" s="124" t="n"/>
      <c r="DA787" s="124" t="n"/>
      <c r="DB787" s="124" t="n"/>
      <c r="DC787" s="124" t="n"/>
      <c r="DD787" s="124" t="n"/>
      <c r="DE787" s="124" t="n"/>
      <c r="DF787" s="124" t="n"/>
      <c r="DG787" s="124" t="n"/>
      <c r="DH787" s="124" t="n"/>
      <c r="DI787" s="124" t="n"/>
      <c r="DJ787" s="124" t="n"/>
      <c r="DK787" s="124" t="n"/>
      <c r="DL787" s="124" t="n"/>
      <c r="DM787" s="124" t="n"/>
      <c r="DN787" s="124" t="n"/>
      <c r="DO787" s="124" t="n"/>
      <c r="DP787" s="124" t="n"/>
      <c r="DQ787" s="124" t="n"/>
      <c r="DR787" s="124" t="n"/>
      <c r="DS787" s="124" t="n"/>
      <c r="DT787" s="124" t="n"/>
      <c r="DU787" s="124" t="n"/>
      <c r="DV787" s="124" t="n"/>
      <c r="DW787" s="124" t="n"/>
      <c r="DX787" s="124" t="n"/>
      <c r="DY787" s="124" t="n"/>
      <c r="DZ787" s="124" t="n"/>
      <c r="EA787" s="124" t="n"/>
      <c r="EB787" s="124" t="n"/>
      <c r="EC787" s="124" t="n"/>
      <c r="ED787" s="124" t="n"/>
      <c r="EE787" s="124" t="n"/>
      <c r="EF787" s="124" t="n"/>
      <c r="EG787" s="124" t="n"/>
      <c r="EH787" s="124" t="n"/>
      <c r="EI787" s="124" t="n"/>
      <c r="EJ787" s="124" t="n"/>
      <c r="EK787" s="124" t="n"/>
      <c r="EL787" s="124" t="n"/>
      <c r="EM787" s="124" t="n"/>
      <c r="EN787" s="124" t="n"/>
      <c r="EO787" s="124" t="n"/>
      <c r="EP787" s="124" t="n"/>
      <c r="EQ787" s="124" t="n"/>
      <c r="ER787" s="124" t="n"/>
      <c r="ES787" s="124" t="n"/>
      <c r="ET787" s="124" t="n"/>
      <c r="EU787" s="124" t="n"/>
      <c r="EV787" s="124" t="n"/>
      <c r="EW787" s="124" t="n"/>
      <c r="EX787" s="124" t="n"/>
      <c r="EY787" s="124" t="n"/>
      <c r="EZ787" s="124" t="n"/>
      <c r="FA787" s="124" t="n"/>
      <c r="FB787" s="124" t="n"/>
      <c r="FC787" s="124" t="n"/>
      <c r="FD787" s="124" t="n"/>
      <c r="FE787" s="124" t="n"/>
      <c r="FF787" s="124" t="n"/>
      <c r="FG787" s="124" t="n"/>
      <c r="FH787" s="124" t="n"/>
      <c r="FI787" s="124" t="n"/>
      <c r="FJ787" s="124" t="n"/>
      <c r="FK787" s="124" t="n"/>
      <c r="FL787" s="124" t="n"/>
      <c r="FM787" s="124" t="n"/>
      <c r="FN787" s="124" t="n"/>
      <c r="FO787" s="124" t="n"/>
      <c r="FP787" s="124" t="n"/>
      <c r="FQ787" s="124" t="n"/>
      <c r="FR787" s="124" t="n"/>
      <c r="FS787" s="124" t="n"/>
      <c r="FT787" s="124" t="n"/>
      <c r="FU787" s="124" t="n"/>
      <c r="FV787" s="124" t="n"/>
      <c r="FW787" s="124" t="n"/>
      <c r="FX787" s="124" t="n"/>
      <c r="FY787" s="124" t="n"/>
      <c r="FZ787" s="124" t="n"/>
      <c r="GA787" s="124" t="n"/>
      <c r="GB787" s="124" t="n"/>
      <c r="GC787" s="124" t="n"/>
      <c r="GD787" s="124" t="n"/>
      <c r="GE787" s="124" t="n"/>
      <c r="GF787" s="124" t="n"/>
      <c r="GG787" s="124" t="n"/>
      <c r="GH787" s="124" t="n"/>
      <c r="GI787" s="124" t="n"/>
      <c r="GJ787" s="124" t="n"/>
      <c r="GK787" s="124" t="n"/>
      <c r="GL787" s="124" t="n"/>
      <c r="GM787" s="124" t="n"/>
      <c r="GN787" s="124" t="n"/>
      <c r="GO787" s="124" t="n"/>
      <c r="GP787" s="124" t="n"/>
      <c r="GQ787" s="124" t="n"/>
      <c r="GR787" s="124" t="n"/>
      <c r="GS787" s="124" t="n"/>
      <c r="GT787" s="124" t="n"/>
      <c r="GU787" s="124" t="n"/>
      <c r="GV787" s="124" t="n"/>
      <c r="GW787" s="124" t="n"/>
      <c r="GX787" s="124" t="n"/>
      <c r="GY787" s="124" t="n"/>
      <c r="GZ787" s="124" t="n"/>
      <c r="HA787" s="124" t="n"/>
      <c r="HB787" s="124" t="n"/>
      <c r="HC787" s="124" t="n"/>
      <c r="HD787" s="124" t="n"/>
      <c r="HE787" s="124" t="n"/>
      <c r="HF787" s="124" t="n"/>
      <c r="HG787" s="124" t="n"/>
      <c r="HH787" s="124" t="n"/>
      <c r="HI787" s="124" t="n"/>
      <c r="HJ787" s="124" t="n"/>
      <c r="HK787" s="124" t="n"/>
      <c r="HL787" s="124" t="n"/>
    </row>
    <row r="788" customFormat="1" s="3">
      <c r="A788" s="59" t="inlineStr">
        <is>
          <t>7 этап</t>
        </is>
      </c>
      <c r="B788" s="72" t="inlineStr">
        <is>
          <t>4.2</t>
        </is>
      </c>
      <c r="C788" s="127" t="inlineStr">
        <is>
          <t>Наружные сети электроснабжения</t>
        </is>
      </c>
      <c r="D788" s="128" t="inlineStr">
        <is>
          <t>компл.</t>
        </is>
      </c>
      <c r="E788" s="129" t="n">
        <v>0.66</v>
      </c>
      <c r="F788" s="166" t="n">
        <v>1600</v>
      </c>
      <c r="G788" s="166" t="n">
        <v>1056</v>
      </c>
      <c r="H788" s="124" t="inlineStr">
        <is>
          <t>ФЕР-2020 × 0.75</t>
        </is>
      </c>
      <c r="I788" s="124" t="n"/>
      <c r="J788" s="124" t="n"/>
      <c r="K788" s="124" t="n"/>
      <c r="L788" s="124" t="n"/>
      <c r="M788" s="124" t="n"/>
      <c r="N788" s="124" t="n"/>
      <c r="O788" s="124" t="n"/>
      <c r="P788" s="124" t="n"/>
      <c r="Q788" s="124" t="n"/>
      <c r="R788" s="124" t="n"/>
      <c r="S788" s="124" t="n"/>
      <c r="T788" s="124" t="n"/>
      <c r="U788" s="124" t="n"/>
      <c r="V788" s="124" t="n"/>
      <c r="W788" s="124" t="n"/>
      <c r="X788" s="124" t="n"/>
      <c r="Y788" s="124" t="n"/>
      <c r="Z788" s="124" t="n"/>
      <c r="AA788" s="124" t="n"/>
      <c r="AB788" s="124" t="n"/>
      <c r="AC788" s="124" t="n"/>
      <c r="AD788" s="124" t="n"/>
      <c r="AE788" s="124" t="n"/>
      <c r="AF788" s="124" t="n"/>
      <c r="AG788" s="124" t="n"/>
      <c r="AH788" s="124" t="n"/>
      <c r="AI788" s="124" t="n"/>
      <c r="AJ788" s="124" t="n"/>
      <c r="AK788" s="124" t="n"/>
      <c r="AL788" s="124" t="n"/>
      <c r="AM788" s="124" t="n"/>
      <c r="AN788" s="124" t="n"/>
      <c r="AO788" s="124" t="n"/>
      <c r="AP788" s="124" t="n"/>
      <c r="AQ788" s="124" t="n"/>
      <c r="AR788" s="124" t="n"/>
      <c r="AS788" s="124" t="n"/>
      <c r="AT788" s="124" t="n"/>
      <c r="AU788" s="124" t="n"/>
      <c r="AV788" s="124" t="n"/>
      <c r="AW788" s="124" t="n"/>
      <c r="AX788" s="124" t="n"/>
      <c r="AY788" s="124" t="n"/>
      <c r="AZ788" s="124" t="n"/>
      <c r="BA788" s="124" t="n"/>
      <c r="BB788" s="124" t="n"/>
      <c r="BC788" s="124" t="n"/>
      <c r="BD788" s="124" t="n"/>
      <c r="BE788" s="124" t="n"/>
      <c r="BF788" s="124" t="n"/>
      <c r="BG788" s="124" t="n"/>
      <c r="BH788" s="124" t="n"/>
      <c r="BI788" s="124" t="n"/>
      <c r="BJ788" s="124" t="n"/>
      <c r="BK788" s="124" t="n"/>
      <c r="BL788" s="124" t="n"/>
      <c r="BM788" s="124" t="n"/>
      <c r="BN788" s="124" t="n"/>
      <c r="BO788" s="124" t="n"/>
      <c r="BP788" s="124" t="n"/>
      <c r="BQ788" s="124" t="n"/>
      <c r="BR788" s="124" t="n"/>
      <c r="BS788" s="124" t="n"/>
      <c r="BT788" s="124" t="n"/>
      <c r="BU788" s="124" t="n"/>
      <c r="BV788" s="124" t="n"/>
      <c r="BW788" s="124" t="n"/>
      <c r="BX788" s="124" t="n"/>
      <c r="BY788" s="124" t="n"/>
      <c r="BZ788" s="124" t="n"/>
      <c r="CA788" s="124" t="n"/>
      <c r="CB788" s="124" t="n"/>
      <c r="CC788" s="124" t="n"/>
      <c r="CD788" s="124" t="n"/>
      <c r="CE788" s="124" t="n"/>
      <c r="CF788" s="124" t="n"/>
      <c r="CG788" s="124" t="n"/>
      <c r="CH788" s="124" t="n"/>
      <c r="CI788" s="124" t="n"/>
      <c r="CJ788" s="124" t="n"/>
      <c r="CK788" s="124" t="n"/>
      <c r="CL788" s="124" t="n"/>
      <c r="CM788" s="124" t="n"/>
      <c r="CN788" s="124" t="n"/>
      <c r="CO788" s="124" t="n"/>
      <c r="CP788" s="124" t="n"/>
      <c r="CQ788" s="124" t="n"/>
      <c r="CR788" s="124" t="n"/>
      <c r="CS788" s="124" t="n"/>
      <c r="CT788" s="124" t="n"/>
      <c r="CU788" s="124" t="n"/>
      <c r="CV788" s="124" t="n"/>
      <c r="CW788" s="124" t="n"/>
      <c r="CX788" s="124" t="n"/>
      <c r="CY788" s="124" t="n"/>
      <c r="CZ788" s="124" t="n"/>
      <c r="DA788" s="124" t="n"/>
      <c r="DB788" s="124" t="n"/>
      <c r="DC788" s="124" t="n"/>
      <c r="DD788" s="124" t="n"/>
      <c r="DE788" s="124" t="n"/>
      <c r="DF788" s="124" t="n"/>
      <c r="DG788" s="124" t="n"/>
      <c r="DH788" s="124" t="n"/>
      <c r="DI788" s="124" t="n"/>
      <c r="DJ788" s="124" t="n"/>
      <c r="DK788" s="124" t="n"/>
      <c r="DL788" s="124" t="n"/>
      <c r="DM788" s="124" t="n"/>
      <c r="DN788" s="124" t="n"/>
      <c r="DO788" s="124" t="n"/>
      <c r="DP788" s="124" t="n"/>
      <c r="DQ788" s="124" t="n"/>
      <c r="DR788" s="124" t="n"/>
      <c r="DS788" s="124" t="n"/>
      <c r="DT788" s="124" t="n"/>
      <c r="DU788" s="124" t="n"/>
      <c r="DV788" s="124" t="n"/>
      <c r="DW788" s="124" t="n"/>
      <c r="DX788" s="124" t="n"/>
      <c r="DY788" s="124" t="n"/>
      <c r="DZ788" s="124" t="n"/>
      <c r="EA788" s="124" t="n"/>
      <c r="EB788" s="124" t="n"/>
      <c r="EC788" s="124" t="n"/>
      <c r="ED788" s="124" t="n"/>
      <c r="EE788" s="124" t="n"/>
      <c r="EF788" s="124" t="n"/>
      <c r="EG788" s="124" t="n"/>
      <c r="EH788" s="124" t="n"/>
      <c r="EI788" s="124" t="n"/>
      <c r="EJ788" s="124" t="n"/>
      <c r="EK788" s="124" t="n"/>
      <c r="EL788" s="124" t="n"/>
      <c r="EM788" s="124" t="n"/>
      <c r="EN788" s="124" t="n"/>
      <c r="EO788" s="124" t="n"/>
      <c r="EP788" s="124" t="n"/>
      <c r="EQ788" s="124" t="n"/>
      <c r="ER788" s="124" t="n"/>
      <c r="ES788" s="124" t="n"/>
      <c r="ET788" s="124" t="n"/>
      <c r="EU788" s="124" t="n"/>
      <c r="EV788" s="124" t="n"/>
      <c r="EW788" s="124" t="n"/>
      <c r="EX788" s="124" t="n"/>
      <c r="EY788" s="124" t="n"/>
      <c r="EZ788" s="124" t="n"/>
      <c r="FA788" s="124" t="n"/>
      <c r="FB788" s="124" t="n"/>
      <c r="FC788" s="124" t="n"/>
      <c r="FD788" s="124" t="n"/>
      <c r="FE788" s="124" t="n"/>
      <c r="FF788" s="124" t="n"/>
      <c r="FG788" s="124" t="n"/>
      <c r="FH788" s="124" t="n"/>
      <c r="FI788" s="124" t="n"/>
      <c r="FJ788" s="124" t="n"/>
      <c r="FK788" s="124" t="n"/>
      <c r="FL788" s="124" t="n"/>
      <c r="FM788" s="124" t="n"/>
      <c r="FN788" s="124" t="n"/>
      <c r="FO788" s="124" t="n"/>
      <c r="FP788" s="124" t="n"/>
      <c r="FQ788" s="124" t="n"/>
      <c r="FR788" s="124" t="n"/>
      <c r="FS788" s="124" t="n"/>
      <c r="FT788" s="124" t="n"/>
      <c r="FU788" s="124" t="n"/>
      <c r="FV788" s="124" t="n"/>
      <c r="FW788" s="124" t="n"/>
      <c r="FX788" s="124" t="n"/>
      <c r="FY788" s="124" t="n"/>
      <c r="FZ788" s="124" t="n"/>
      <c r="GA788" s="124" t="n"/>
      <c r="GB788" s="124" t="n"/>
      <c r="GC788" s="124" t="n"/>
      <c r="GD788" s="124" t="n"/>
      <c r="GE788" s="124" t="n"/>
      <c r="GF788" s="124" t="n"/>
      <c r="GG788" s="124" t="n"/>
      <c r="GH788" s="124" t="n"/>
      <c r="GI788" s="124" t="n"/>
      <c r="GJ788" s="124" t="n"/>
      <c r="GK788" s="124" t="n"/>
      <c r="GL788" s="124" t="n"/>
      <c r="GM788" s="124" t="n"/>
      <c r="GN788" s="124" t="n"/>
      <c r="GO788" s="124" t="n"/>
      <c r="GP788" s="124" t="n"/>
      <c r="GQ788" s="124" t="n"/>
      <c r="GR788" s="124" t="n"/>
      <c r="GS788" s="124" t="n"/>
      <c r="GT788" s="124" t="n"/>
      <c r="GU788" s="124" t="n"/>
      <c r="GV788" s="124" t="n"/>
      <c r="GW788" s="124" t="n"/>
      <c r="GX788" s="124" t="n"/>
      <c r="GY788" s="124" t="n"/>
      <c r="GZ788" s="124" t="n"/>
      <c r="HA788" s="124" t="n"/>
      <c r="HB788" s="124" t="n"/>
      <c r="HC788" s="124" t="n"/>
      <c r="HD788" s="124" t="n"/>
      <c r="HE788" s="124" t="n"/>
      <c r="HF788" s="124" t="n"/>
      <c r="HG788" s="124" t="n"/>
      <c r="HH788" s="124" t="n"/>
      <c r="HI788" s="124" t="n"/>
      <c r="HJ788" s="124" t="n"/>
      <c r="HK788" s="124" t="n"/>
      <c r="HL788" s="124" t="n"/>
    </row>
    <row r="789" customFormat="1" s="3">
      <c r="A789" s="33" t="inlineStr">
        <is>
          <t>7 этап</t>
        </is>
      </c>
      <c r="B789" s="34" t="n"/>
      <c r="C789" s="108" t="inlineStr">
        <is>
          <t>Монтаж выключателя автоматического ВА88-40 400 А</t>
        </is>
      </c>
      <c r="D789" s="36" t="inlineStr">
        <is>
          <t>шт.</t>
        </is>
      </c>
      <c r="E789" s="123" t="n">
        <v>1</v>
      </c>
      <c r="F789" s="124" t="n"/>
      <c r="G789" s="124" t="n"/>
      <c r="H789" s="124" t="n"/>
      <c r="I789" s="124" t="n"/>
      <c r="J789" s="124" t="n"/>
      <c r="K789" s="124" t="n"/>
      <c r="L789" s="124" t="n"/>
      <c r="M789" s="124" t="n"/>
      <c r="N789" s="124" t="n"/>
      <c r="O789" s="124" t="n"/>
      <c r="P789" s="124" t="n"/>
      <c r="Q789" s="124" t="n"/>
      <c r="R789" s="124" t="n"/>
      <c r="S789" s="124" t="n"/>
      <c r="T789" s="124" t="n"/>
      <c r="U789" s="124" t="n"/>
      <c r="V789" s="124" t="n"/>
      <c r="W789" s="124" t="n"/>
      <c r="X789" s="124" t="n"/>
      <c r="Y789" s="124" t="n"/>
      <c r="Z789" s="124" t="n"/>
      <c r="AA789" s="124" t="n"/>
      <c r="AB789" s="124" t="n"/>
      <c r="AC789" s="124" t="n"/>
      <c r="AD789" s="124" t="n"/>
      <c r="AE789" s="124" t="n"/>
      <c r="AF789" s="124" t="n"/>
      <c r="AG789" s="124" t="n"/>
      <c r="AH789" s="124" t="n"/>
      <c r="AI789" s="124" t="n"/>
      <c r="AJ789" s="124" t="n"/>
      <c r="AK789" s="124" t="n"/>
      <c r="AL789" s="124" t="n"/>
      <c r="AM789" s="124" t="n"/>
      <c r="AN789" s="124" t="n"/>
      <c r="AO789" s="124" t="n"/>
      <c r="AP789" s="124" t="n"/>
      <c r="AQ789" s="124" t="n"/>
      <c r="AR789" s="124" t="n"/>
      <c r="AS789" s="124" t="n"/>
      <c r="AT789" s="124" t="n"/>
      <c r="AU789" s="124" t="n"/>
      <c r="AV789" s="124" t="n"/>
      <c r="AW789" s="124" t="n"/>
      <c r="AX789" s="124" t="n"/>
      <c r="AY789" s="124" t="n"/>
      <c r="AZ789" s="124" t="n"/>
      <c r="BA789" s="124" t="n"/>
      <c r="BB789" s="124" t="n"/>
      <c r="BC789" s="124" t="n"/>
      <c r="BD789" s="124" t="n"/>
      <c r="BE789" s="124" t="n"/>
      <c r="BF789" s="124" t="n"/>
      <c r="BG789" s="124" t="n"/>
      <c r="BH789" s="124" t="n"/>
      <c r="BI789" s="124" t="n"/>
      <c r="BJ789" s="124" t="n"/>
      <c r="BK789" s="124" t="n"/>
      <c r="BL789" s="124" t="n"/>
      <c r="BM789" s="124" t="n"/>
      <c r="BN789" s="124" t="n"/>
      <c r="BO789" s="124" t="n"/>
      <c r="BP789" s="124" t="n"/>
      <c r="BQ789" s="124" t="n"/>
      <c r="BR789" s="124" t="n"/>
      <c r="BS789" s="124" t="n"/>
      <c r="BT789" s="124" t="n"/>
      <c r="BU789" s="124" t="n"/>
      <c r="BV789" s="124" t="n"/>
      <c r="BW789" s="124" t="n"/>
      <c r="BX789" s="124" t="n"/>
      <c r="BY789" s="124" t="n"/>
      <c r="BZ789" s="124" t="n"/>
      <c r="CA789" s="124" t="n"/>
      <c r="CB789" s="124" t="n"/>
      <c r="CC789" s="124" t="n"/>
      <c r="CD789" s="124" t="n"/>
      <c r="CE789" s="124" t="n"/>
      <c r="CF789" s="124" t="n"/>
      <c r="CG789" s="124" t="n"/>
      <c r="CH789" s="124" t="n"/>
      <c r="CI789" s="124" t="n"/>
      <c r="CJ789" s="124" t="n"/>
      <c r="CK789" s="124" t="n"/>
      <c r="CL789" s="124" t="n"/>
      <c r="CM789" s="124" t="n"/>
      <c r="CN789" s="124" t="n"/>
      <c r="CO789" s="124" t="n"/>
      <c r="CP789" s="124" t="n"/>
      <c r="CQ789" s="124" t="n"/>
      <c r="CR789" s="124" t="n"/>
      <c r="CS789" s="124" t="n"/>
      <c r="CT789" s="124" t="n"/>
      <c r="CU789" s="124" t="n"/>
      <c r="CV789" s="124" t="n"/>
      <c r="CW789" s="124" t="n"/>
      <c r="CX789" s="124" t="n"/>
      <c r="CY789" s="124" t="n"/>
      <c r="CZ789" s="124" t="n"/>
      <c r="DA789" s="124" t="n"/>
      <c r="DB789" s="124" t="n"/>
      <c r="DC789" s="124" t="n"/>
      <c r="DD789" s="124" t="n"/>
      <c r="DE789" s="124" t="n"/>
      <c r="DF789" s="124" t="n"/>
      <c r="DG789" s="124" t="n"/>
      <c r="DH789" s="124" t="n"/>
      <c r="DI789" s="124" t="n"/>
      <c r="DJ789" s="124" t="n"/>
      <c r="DK789" s="124" t="n"/>
      <c r="DL789" s="124" t="n"/>
      <c r="DM789" s="124" t="n"/>
      <c r="DN789" s="124" t="n"/>
      <c r="DO789" s="124" t="n"/>
      <c r="DP789" s="124" t="n"/>
      <c r="DQ789" s="124" t="n"/>
      <c r="DR789" s="124" t="n"/>
      <c r="DS789" s="124" t="n"/>
      <c r="DT789" s="124" t="n"/>
      <c r="DU789" s="124" t="n"/>
      <c r="DV789" s="124" t="n"/>
      <c r="DW789" s="124" t="n"/>
      <c r="DX789" s="124" t="n"/>
      <c r="DY789" s="124" t="n"/>
      <c r="DZ789" s="124" t="n"/>
      <c r="EA789" s="124" t="n"/>
      <c r="EB789" s="124" t="n"/>
      <c r="EC789" s="124" t="n"/>
      <c r="ED789" s="124" t="n"/>
      <c r="EE789" s="124" t="n"/>
      <c r="EF789" s="124" t="n"/>
      <c r="EG789" s="124" t="n"/>
      <c r="EH789" s="124" t="n"/>
      <c r="EI789" s="124" t="n"/>
      <c r="EJ789" s="124" t="n"/>
      <c r="EK789" s="124" t="n"/>
      <c r="EL789" s="124" t="n"/>
      <c r="EM789" s="124" t="n"/>
      <c r="EN789" s="124" t="n"/>
      <c r="EO789" s="124" t="n"/>
      <c r="EP789" s="124" t="n"/>
      <c r="EQ789" s="124" t="n"/>
      <c r="ER789" s="124" t="n"/>
      <c r="ES789" s="124" t="n"/>
      <c r="ET789" s="124" t="n"/>
      <c r="EU789" s="124" t="n"/>
      <c r="EV789" s="124" t="n"/>
      <c r="EW789" s="124" t="n"/>
      <c r="EX789" s="124" t="n"/>
      <c r="EY789" s="124" t="n"/>
      <c r="EZ789" s="124" t="n"/>
      <c r="FA789" s="124" t="n"/>
      <c r="FB789" s="124" t="n"/>
      <c r="FC789" s="124" t="n"/>
      <c r="FD789" s="124" t="n"/>
      <c r="FE789" s="124" t="n"/>
      <c r="FF789" s="124" t="n"/>
      <c r="FG789" s="124" t="n"/>
      <c r="FH789" s="124" t="n"/>
      <c r="FI789" s="124" t="n"/>
      <c r="FJ789" s="124" t="n"/>
      <c r="FK789" s="124" t="n"/>
      <c r="FL789" s="124" t="n"/>
      <c r="FM789" s="124" t="n"/>
      <c r="FN789" s="124" t="n"/>
      <c r="FO789" s="124" t="n"/>
      <c r="FP789" s="124" t="n"/>
      <c r="FQ789" s="124" t="n"/>
      <c r="FR789" s="124" t="n"/>
      <c r="FS789" s="124" t="n"/>
      <c r="FT789" s="124" t="n"/>
      <c r="FU789" s="124" t="n"/>
      <c r="FV789" s="124" t="n"/>
      <c r="FW789" s="124" t="n"/>
      <c r="FX789" s="124" t="n"/>
      <c r="FY789" s="124" t="n"/>
      <c r="FZ789" s="124" t="n"/>
      <c r="GA789" s="124" t="n"/>
      <c r="GB789" s="124" t="n"/>
      <c r="GC789" s="124" t="n"/>
      <c r="GD789" s="124" t="n"/>
      <c r="GE789" s="124" t="n"/>
      <c r="GF789" s="124" t="n"/>
      <c r="GG789" s="124" t="n"/>
      <c r="GH789" s="124" t="n"/>
      <c r="GI789" s="124" t="n"/>
      <c r="GJ789" s="124" t="n"/>
      <c r="GK789" s="124" t="n"/>
      <c r="GL789" s="124" t="n"/>
      <c r="GM789" s="124" t="n"/>
      <c r="GN789" s="124" t="n"/>
      <c r="GO789" s="124" t="n"/>
      <c r="GP789" s="124" t="n"/>
      <c r="GQ789" s="124" t="n"/>
      <c r="GR789" s="124" t="n"/>
      <c r="GS789" s="124" t="n"/>
      <c r="GT789" s="124" t="n"/>
      <c r="GU789" s="124" t="n"/>
      <c r="GV789" s="124" t="n"/>
      <c r="GW789" s="124" t="n"/>
      <c r="GX789" s="124" t="n"/>
      <c r="GY789" s="124" t="n"/>
      <c r="GZ789" s="124" t="n"/>
      <c r="HA789" s="124" t="n"/>
      <c r="HB789" s="124" t="n"/>
      <c r="HC789" s="124" t="n"/>
      <c r="HD789" s="124" t="n"/>
      <c r="HE789" s="124" t="n"/>
      <c r="HF789" s="124" t="n"/>
      <c r="HG789" s="124" t="n"/>
      <c r="HH789" s="124" t="n"/>
      <c r="HI789" s="124" t="n"/>
      <c r="HJ789" s="124" t="n"/>
      <c r="HK789" s="124" t="n"/>
      <c r="HL789" s="124" t="n"/>
    </row>
    <row r="790" customFormat="1" s="3">
      <c r="A790" s="33" t="inlineStr">
        <is>
          <t>7 этап</t>
        </is>
      </c>
      <c r="B790" s="34" t="n"/>
      <c r="C790" s="108" t="inlineStr">
        <is>
          <t>Монтаж выключателя автоматического ВА88-40 315 А</t>
        </is>
      </c>
      <c r="D790" s="36" t="inlineStr">
        <is>
          <t>шт.</t>
        </is>
      </c>
      <c r="E790" s="123" t="n">
        <v>1</v>
      </c>
      <c r="F790" s="124" t="n"/>
      <c r="G790" s="124" t="n"/>
      <c r="H790" s="124" t="n"/>
      <c r="I790" s="124" t="n"/>
      <c r="J790" s="124" t="n"/>
      <c r="K790" s="124" t="n"/>
      <c r="L790" s="124" t="n"/>
      <c r="M790" s="124" t="n"/>
      <c r="N790" s="124" t="n"/>
      <c r="O790" s="124" t="n"/>
      <c r="P790" s="124" t="n"/>
      <c r="Q790" s="124" t="n"/>
      <c r="R790" s="124" t="n"/>
      <c r="S790" s="124" t="n"/>
      <c r="T790" s="124" t="n"/>
      <c r="U790" s="124" t="n"/>
      <c r="V790" s="124" t="n"/>
      <c r="W790" s="124" t="n"/>
      <c r="X790" s="124" t="n"/>
      <c r="Y790" s="124" t="n"/>
      <c r="Z790" s="124" t="n"/>
      <c r="AA790" s="124" t="n"/>
      <c r="AB790" s="124" t="n"/>
      <c r="AC790" s="124" t="n"/>
      <c r="AD790" s="124" t="n"/>
      <c r="AE790" s="124" t="n"/>
      <c r="AF790" s="124" t="n"/>
      <c r="AG790" s="124" t="n"/>
      <c r="AH790" s="124" t="n"/>
      <c r="AI790" s="124" t="n"/>
      <c r="AJ790" s="124" t="n"/>
      <c r="AK790" s="124" t="n"/>
      <c r="AL790" s="124" t="n"/>
      <c r="AM790" s="124" t="n"/>
      <c r="AN790" s="124" t="n"/>
      <c r="AO790" s="124" t="n"/>
      <c r="AP790" s="124" t="n"/>
      <c r="AQ790" s="124" t="n"/>
      <c r="AR790" s="124" t="n"/>
      <c r="AS790" s="124" t="n"/>
      <c r="AT790" s="124" t="n"/>
      <c r="AU790" s="124" t="n"/>
      <c r="AV790" s="124" t="n"/>
      <c r="AW790" s="124" t="n"/>
      <c r="AX790" s="124" t="n"/>
      <c r="AY790" s="124" t="n"/>
      <c r="AZ790" s="124" t="n"/>
      <c r="BA790" s="124" t="n"/>
      <c r="BB790" s="124" t="n"/>
      <c r="BC790" s="124" t="n"/>
      <c r="BD790" s="124" t="n"/>
      <c r="BE790" s="124" t="n"/>
      <c r="BF790" s="124" t="n"/>
      <c r="BG790" s="124" t="n"/>
      <c r="BH790" s="124" t="n"/>
      <c r="BI790" s="124" t="n"/>
      <c r="BJ790" s="124" t="n"/>
      <c r="BK790" s="124" t="n"/>
      <c r="BL790" s="124" t="n"/>
      <c r="BM790" s="124" t="n"/>
      <c r="BN790" s="124" t="n"/>
      <c r="BO790" s="124" t="n"/>
      <c r="BP790" s="124" t="n"/>
      <c r="BQ790" s="124" t="n"/>
      <c r="BR790" s="124" t="n"/>
      <c r="BS790" s="124" t="n"/>
      <c r="BT790" s="124" t="n"/>
      <c r="BU790" s="124" t="n"/>
      <c r="BV790" s="124" t="n"/>
      <c r="BW790" s="124" t="n"/>
      <c r="BX790" s="124" t="n"/>
      <c r="BY790" s="124" t="n"/>
      <c r="BZ790" s="124" t="n"/>
      <c r="CA790" s="124" t="n"/>
      <c r="CB790" s="124" t="n"/>
      <c r="CC790" s="124" t="n"/>
      <c r="CD790" s="124" t="n"/>
      <c r="CE790" s="124" t="n"/>
      <c r="CF790" s="124" t="n"/>
      <c r="CG790" s="124" t="n"/>
      <c r="CH790" s="124" t="n"/>
      <c r="CI790" s="124" t="n"/>
      <c r="CJ790" s="124" t="n"/>
      <c r="CK790" s="124" t="n"/>
      <c r="CL790" s="124" t="n"/>
      <c r="CM790" s="124" t="n"/>
      <c r="CN790" s="124" t="n"/>
      <c r="CO790" s="124" t="n"/>
      <c r="CP790" s="124" t="n"/>
      <c r="CQ790" s="124" t="n"/>
      <c r="CR790" s="124" t="n"/>
      <c r="CS790" s="124" t="n"/>
      <c r="CT790" s="124" t="n"/>
      <c r="CU790" s="124" t="n"/>
      <c r="CV790" s="124" t="n"/>
      <c r="CW790" s="124" t="n"/>
      <c r="CX790" s="124" t="n"/>
      <c r="CY790" s="124" t="n"/>
      <c r="CZ790" s="124" t="n"/>
      <c r="DA790" s="124" t="n"/>
      <c r="DB790" s="124" t="n"/>
      <c r="DC790" s="124" t="n"/>
      <c r="DD790" s="124" t="n"/>
      <c r="DE790" s="124" t="n"/>
      <c r="DF790" s="124" t="n"/>
      <c r="DG790" s="124" t="n"/>
      <c r="DH790" s="124" t="n"/>
      <c r="DI790" s="124" t="n"/>
      <c r="DJ790" s="124" t="n"/>
      <c r="DK790" s="124" t="n"/>
      <c r="DL790" s="124" t="n"/>
      <c r="DM790" s="124" t="n"/>
      <c r="DN790" s="124" t="n"/>
      <c r="DO790" s="124" t="n"/>
      <c r="DP790" s="124" t="n"/>
      <c r="DQ790" s="124" t="n"/>
      <c r="DR790" s="124" t="n"/>
      <c r="DS790" s="124" t="n"/>
      <c r="DT790" s="124" t="n"/>
      <c r="DU790" s="124" t="n"/>
      <c r="DV790" s="124" t="n"/>
      <c r="DW790" s="124" t="n"/>
      <c r="DX790" s="124" t="n"/>
      <c r="DY790" s="124" t="n"/>
      <c r="DZ790" s="124" t="n"/>
      <c r="EA790" s="124" t="n"/>
      <c r="EB790" s="124" t="n"/>
      <c r="EC790" s="124" t="n"/>
      <c r="ED790" s="124" t="n"/>
      <c r="EE790" s="124" t="n"/>
      <c r="EF790" s="124" t="n"/>
      <c r="EG790" s="124" t="n"/>
      <c r="EH790" s="124" t="n"/>
      <c r="EI790" s="124" t="n"/>
      <c r="EJ790" s="124" t="n"/>
      <c r="EK790" s="124" t="n"/>
      <c r="EL790" s="124" t="n"/>
      <c r="EM790" s="124" t="n"/>
      <c r="EN790" s="124" t="n"/>
      <c r="EO790" s="124" t="n"/>
      <c r="EP790" s="124" t="n"/>
      <c r="EQ790" s="124" t="n"/>
      <c r="ER790" s="124" t="n"/>
      <c r="ES790" s="124" t="n"/>
      <c r="ET790" s="124" t="n"/>
      <c r="EU790" s="124" t="n"/>
      <c r="EV790" s="124" t="n"/>
      <c r="EW790" s="124" t="n"/>
      <c r="EX790" s="124" t="n"/>
      <c r="EY790" s="124" t="n"/>
      <c r="EZ790" s="124" t="n"/>
      <c r="FA790" s="124" t="n"/>
      <c r="FB790" s="124" t="n"/>
      <c r="FC790" s="124" t="n"/>
      <c r="FD790" s="124" t="n"/>
      <c r="FE790" s="124" t="n"/>
      <c r="FF790" s="124" t="n"/>
      <c r="FG790" s="124" t="n"/>
      <c r="FH790" s="124" t="n"/>
      <c r="FI790" s="124" t="n"/>
      <c r="FJ790" s="124" t="n"/>
      <c r="FK790" s="124" t="n"/>
      <c r="FL790" s="124" t="n"/>
      <c r="FM790" s="124" t="n"/>
      <c r="FN790" s="124" t="n"/>
      <c r="FO790" s="124" t="n"/>
      <c r="FP790" s="124" t="n"/>
      <c r="FQ790" s="124" t="n"/>
      <c r="FR790" s="124" t="n"/>
      <c r="FS790" s="124" t="n"/>
      <c r="FT790" s="124" t="n"/>
      <c r="FU790" s="124" t="n"/>
      <c r="FV790" s="124" t="n"/>
      <c r="FW790" s="124" t="n"/>
      <c r="FX790" s="124" t="n"/>
      <c r="FY790" s="124" t="n"/>
      <c r="FZ790" s="124" t="n"/>
      <c r="GA790" s="124" t="n"/>
      <c r="GB790" s="124" t="n"/>
      <c r="GC790" s="124" t="n"/>
      <c r="GD790" s="124" t="n"/>
      <c r="GE790" s="124" t="n"/>
      <c r="GF790" s="124" t="n"/>
      <c r="GG790" s="124" t="n"/>
      <c r="GH790" s="124" t="n"/>
      <c r="GI790" s="124" t="n"/>
      <c r="GJ790" s="124" t="n"/>
      <c r="GK790" s="124" t="n"/>
      <c r="GL790" s="124" t="n"/>
      <c r="GM790" s="124" t="n"/>
      <c r="GN790" s="124" t="n"/>
      <c r="GO790" s="124" t="n"/>
      <c r="GP790" s="124" t="n"/>
      <c r="GQ790" s="124" t="n"/>
      <c r="GR790" s="124" t="n"/>
      <c r="GS790" s="124" t="n"/>
      <c r="GT790" s="124" t="n"/>
      <c r="GU790" s="124" t="n"/>
      <c r="GV790" s="124" t="n"/>
      <c r="GW790" s="124" t="n"/>
      <c r="GX790" s="124" t="n"/>
      <c r="GY790" s="124" t="n"/>
      <c r="GZ790" s="124" t="n"/>
      <c r="HA790" s="124" t="n"/>
      <c r="HB790" s="124" t="n"/>
      <c r="HC790" s="124" t="n"/>
      <c r="HD790" s="124" t="n"/>
      <c r="HE790" s="124" t="n"/>
      <c r="HF790" s="124" t="n"/>
      <c r="HG790" s="124" t="n"/>
      <c r="HH790" s="124" t="n"/>
      <c r="HI790" s="124" t="n"/>
      <c r="HJ790" s="124" t="n"/>
      <c r="HK790" s="124" t="n"/>
      <c r="HL790" s="124" t="n"/>
    </row>
    <row r="791" ht="27.6" customFormat="1" customHeight="1" s="3">
      <c r="A791" s="33" t="inlineStr">
        <is>
          <t>7 этап</t>
        </is>
      </c>
      <c r="B791" s="27" t="n"/>
      <c r="C791" s="38" t="inlineStr">
        <is>
          <t>Прокладка силового кабеля в траншее КЛ-0,4кВ АВВБ 3х150+1х70 мм</t>
        </is>
      </c>
      <c r="D791" s="36" t="inlineStr">
        <is>
          <t>м/п</t>
        </is>
      </c>
      <c r="E791" s="123" t="n">
        <v>336</v>
      </c>
      <c r="F791" s="124" t="n"/>
      <c r="G791" s="124" t="n"/>
      <c r="H791" s="124" t="n"/>
      <c r="I791" s="124" t="n"/>
      <c r="J791" s="124" t="n"/>
      <c r="K791" s="124" t="n"/>
      <c r="L791" s="124" t="n"/>
      <c r="M791" s="124" t="n"/>
      <c r="N791" s="124" t="n"/>
      <c r="O791" s="124" t="n"/>
      <c r="P791" s="124" t="n"/>
      <c r="Q791" s="124" t="n"/>
      <c r="R791" s="124" t="n"/>
      <c r="S791" s="124" t="n"/>
      <c r="T791" s="124" t="n"/>
      <c r="U791" s="124" t="n"/>
      <c r="V791" s="124" t="n"/>
      <c r="W791" s="124" t="n"/>
      <c r="X791" s="124" t="n"/>
      <c r="Y791" s="124" t="n"/>
      <c r="Z791" s="124" t="n"/>
      <c r="AA791" s="124" t="n"/>
      <c r="AB791" s="124" t="n"/>
      <c r="AC791" s="124" t="n"/>
      <c r="AD791" s="124" t="n"/>
      <c r="AE791" s="124" t="n"/>
      <c r="AF791" s="124" t="n"/>
      <c r="AG791" s="124" t="n"/>
      <c r="AH791" s="124" t="n"/>
      <c r="AI791" s="124" t="n"/>
      <c r="AJ791" s="124" t="n"/>
      <c r="AK791" s="124" t="n"/>
      <c r="AL791" s="124" t="n"/>
      <c r="AM791" s="124" t="n"/>
      <c r="AN791" s="124" t="n"/>
      <c r="AO791" s="124" t="n"/>
      <c r="AP791" s="124" t="n"/>
      <c r="AQ791" s="124" t="n"/>
      <c r="AR791" s="124" t="n"/>
      <c r="AS791" s="124" t="n"/>
      <c r="AT791" s="124" t="n"/>
      <c r="AU791" s="124" t="n"/>
      <c r="AV791" s="124" t="n"/>
      <c r="AW791" s="124" t="n"/>
      <c r="AX791" s="124" t="n"/>
      <c r="AY791" s="124" t="n"/>
      <c r="AZ791" s="124" t="n"/>
      <c r="BA791" s="124" t="n"/>
      <c r="BB791" s="124" t="n"/>
      <c r="BC791" s="124" t="n"/>
      <c r="BD791" s="124" t="n"/>
      <c r="BE791" s="124" t="n"/>
      <c r="BF791" s="124" t="n"/>
      <c r="BG791" s="124" t="n"/>
      <c r="BH791" s="124" t="n"/>
      <c r="BI791" s="124" t="n"/>
      <c r="BJ791" s="124" t="n"/>
      <c r="BK791" s="124" t="n"/>
      <c r="BL791" s="124" t="n"/>
      <c r="BM791" s="124" t="n"/>
      <c r="BN791" s="124" t="n"/>
      <c r="BO791" s="124" t="n"/>
      <c r="BP791" s="124" t="n"/>
      <c r="BQ791" s="124" t="n"/>
      <c r="BR791" s="124" t="n"/>
      <c r="BS791" s="124" t="n"/>
      <c r="BT791" s="124" t="n"/>
      <c r="BU791" s="124" t="n"/>
      <c r="BV791" s="124" t="n"/>
      <c r="BW791" s="124" t="n"/>
      <c r="BX791" s="124" t="n"/>
      <c r="BY791" s="124" t="n"/>
      <c r="BZ791" s="124" t="n"/>
      <c r="CA791" s="124" t="n"/>
      <c r="CB791" s="124" t="n"/>
      <c r="CC791" s="124" t="n"/>
      <c r="CD791" s="124" t="n"/>
      <c r="CE791" s="124" t="n"/>
      <c r="CF791" s="124" t="n"/>
      <c r="CG791" s="124" t="n"/>
      <c r="CH791" s="124" t="n"/>
      <c r="CI791" s="124" t="n"/>
      <c r="CJ791" s="124" t="n"/>
      <c r="CK791" s="124" t="n"/>
      <c r="CL791" s="124" t="n"/>
      <c r="CM791" s="124" t="n"/>
      <c r="CN791" s="124" t="n"/>
      <c r="CO791" s="124" t="n"/>
      <c r="CP791" s="124" t="n"/>
      <c r="CQ791" s="124" t="n"/>
      <c r="CR791" s="124" t="n"/>
      <c r="CS791" s="124" t="n"/>
      <c r="CT791" s="124" t="n"/>
      <c r="CU791" s="124" t="n"/>
      <c r="CV791" s="124" t="n"/>
      <c r="CW791" s="124" t="n"/>
      <c r="CX791" s="124" t="n"/>
      <c r="CY791" s="124" t="n"/>
      <c r="CZ791" s="124" t="n"/>
      <c r="DA791" s="124" t="n"/>
      <c r="DB791" s="124" t="n"/>
      <c r="DC791" s="124" t="n"/>
      <c r="DD791" s="124" t="n"/>
      <c r="DE791" s="124" t="n"/>
      <c r="DF791" s="124" t="n"/>
      <c r="DG791" s="124" t="n"/>
      <c r="DH791" s="124" t="n"/>
      <c r="DI791" s="124" t="n"/>
      <c r="DJ791" s="124" t="n"/>
      <c r="DK791" s="124" t="n"/>
      <c r="DL791" s="124" t="n"/>
      <c r="DM791" s="124" t="n"/>
      <c r="DN791" s="124" t="n"/>
      <c r="DO791" s="124" t="n"/>
      <c r="DP791" s="124" t="n"/>
      <c r="DQ791" s="124" t="n"/>
      <c r="DR791" s="124" t="n"/>
      <c r="DS791" s="124" t="n"/>
      <c r="DT791" s="124" t="n"/>
      <c r="DU791" s="124" t="n"/>
      <c r="DV791" s="124" t="n"/>
      <c r="DW791" s="124" t="n"/>
      <c r="DX791" s="124" t="n"/>
      <c r="DY791" s="124" t="n"/>
      <c r="DZ791" s="124" t="n"/>
      <c r="EA791" s="124" t="n"/>
      <c r="EB791" s="124" t="n"/>
      <c r="EC791" s="124" t="n"/>
      <c r="ED791" s="124" t="n"/>
      <c r="EE791" s="124" t="n"/>
      <c r="EF791" s="124" t="n"/>
      <c r="EG791" s="124" t="n"/>
      <c r="EH791" s="124" t="n"/>
      <c r="EI791" s="124" t="n"/>
      <c r="EJ791" s="124" t="n"/>
      <c r="EK791" s="124" t="n"/>
      <c r="EL791" s="124" t="n"/>
      <c r="EM791" s="124" t="n"/>
      <c r="EN791" s="124" t="n"/>
      <c r="EO791" s="124" t="n"/>
      <c r="EP791" s="124" t="n"/>
      <c r="EQ791" s="124" t="n"/>
      <c r="ER791" s="124" t="n"/>
      <c r="ES791" s="124" t="n"/>
      <c r="ET791" s="124" t="n"/>
      <c r="EU791" s="124" t="n"/>
      <c r="EV791" s="124" t="n"/>
      <c r="EW791" s="124" t="n"/>
      <c r="EX791" s="124" t="n"/>
      <c r="EY791" s="124" t="n"/>
      <c r="EZ791" s="124" t="n"/>
      <c r="FA791" s="124" t="n"/>
      <c r="FB791" s="124" t="n"/>
      <c r="FC791" s="124" t="n"/>
      <c r="FD791" s="124" t="n"/>
      <c r="FE791" s="124" t="n"/>
      <c r="FF791" s="124" t="n"/>
      <c r="FG791" s="124" t="n"/>
      <c r="FH791" s="124" t="n"/>
      <c r="FI791" s="124" t="n"/>
      <c r="FJ791" s="124" t="n"/>
      <c r="FK791" s="124" t="n"/>
      <c r="FL791" s="124" t="n"/>
      <c r="FM791" s="124" t="n"/>
      <c r="FN791" s="124" t="n"/>
      <c r="FO791" s="124" t="n"/>
      <c r="FP791" s="124" t="n"/>
      <c r="FQ791" s="124" t="n"/>
      <c r="FR791" s="124" t="n"/>
      <c r="FS791" s="124" t="n"/>
      <c r="FT791" s="124" t="n"/>
      <c r="FU791" s="124" t="n"/>
      <c r="FV791" s="124" t="n"/>
      <c r="FW791" s="124" t="n"/>
      <c r="FX791" s="124" t="n"/>
      <c r="FY791" s="124" t="n"/>
      <c r="FZ791" s="124" t="n"/>
      <c r="GA791" s="124" t="n"/>
      <c r="GB791" s="124" t="n"/>
      <c r="GC791" s="124" t="n"/>
      <c r="GD791" s="124" t="n"/>
      <c r="GE791" s="124" t="n"/>
      <c r="GF791" s="124" t="n"/>
      <c r="GG791" s="124" t="n"/>
      <c r="GH791" s="124" t="n"/>
      <c r="GI791" s="124" t="n"/>
      <c r="GJ791" s="124" t="n"/>
      <c r="GK791" s="124" t="n"/>
      <c r="GL791" s="124" t="n"/>
      <c r="GM791" s="124" t="n"/>
      <c r="GN791" s="124" t="n"/>
      <c r="GO791" s="124" t="n"/>
      <c r="GP791" s="124" t="n"/>
      <c r="GQ791" s="124" t="n"/>
      <c r="GR791" s="124" t="n"/>
      <c r="GS791" s="124" t="n"/>
      <c r="GT791" s="124" t="n"/>
      <c r="GU791" s="124" t="n"/>
      <c r="GV791" s="124" t="n"/>
      <c r="GW791" s="124" t="n"/>
      <c r="GX791" s="124" t="n"/>
      <c r="GY791" s="124" t="n"/>
      <c r="GZ791" s="124" t="n"/>
      <c r="HA791" s="124" t="n"/>
      <c r="HB791" s="124" t="n"/>
      <c r="HC791" s="124" t="n"/>
      <c r="HD791" s="124" t="n"/>
      <c r="HE791" s="124" t="n"/>
      <c r="HF791" s="124" t="n"/>
      <c r="HG791" s="124" t="n"/>
      <c r="HH791" s="124" t="n"/>
      <c r="HI791" s="124" t="n"/>
      <c r="HJ791" s="124" t="n"/>
      <c r="HK791" s="124" t="n"/>
      <c r="HL791" s="124" t="n"/>
    </row>
    <row r="792" ht="27.6" customFormat="1" customHeight="1" s="3">
      <c r="A792" s="33" t="inlineStr">
        <is>
          <t>7 этап</t>
        </is>
      </c>
      <c r="B792" s="34" t="n"/>
      <c r="C792" s="38" t="inlineStr">
        <is>
          <t>Прокладка силового кабеля в траншее КЛ-0,4кВ АВВБ 3х185+1х95 мм</t>
        </is>
      </c>
      <c r="D792" s="36" t="inlineStr">
        <is>
          <t>м/п</t>
        </is>
      </c>
      <c r="E792" s="123" t="n">
        <v>222</v>
      </c>
      <c r="F792" s="124" t="n"/>
      <c r="G792" s="124" t="n"/>
      <c r="H792" s="124" t="n"/>
      <c r="I792" s="124" t="n"/>
      <c r="J792" s="124" t="n"/>
      <c r="K792" s="124" t="n"/>
      <c r="L792" s="124" t="n"/>
      <c r="M792" s="124" t="n"/>
      <c r="N792" s="124" t="n"/>
      <c r="O792" s="124" t="n"/>
      <c r="P792" s="124" t="n"/>
      <c r="Q792" s="124" t="n"/>
      <c r="R792" s="124" t="n"/>
      <c r="S792" s="124" t="n"/>
      <c r="T792" s="124" t="n"/>
      <c r="U792" s="124" t="n"/>
      <c r="V792" s="124" t="n"/>
      <c r="W792" s="124" t="n"/>
      <c r="X792" s="124" t="n"/>
      <c r="Y792" s="124" t="n"/>
      <c r="Z792" s="124" t="n"/>
      <c r="AA792" s="124" t="n"/>
      <c r="AB792" s="124" t="n"/>
      <c r="AC792" s="124" t="n"/>
      <c r="AD792" s="124" t="n"/>
      <c r="AE792" s="124" t="n"/>
      <c r="AF792" s="124" t="n"/>
      <c r="AG792" s="124" t="n"/>
      <c r="AH792" s="124" t="n"/>
      <c r="AI792" s="124" t="n"/>
      <c r="AJ792" s="124" t="n"/>
      <c r="AK792" s="124" t="n"/>
      <c r="AL792" s="124" t="n"/>
      <c r="AM792" s="124" t="n"/>
      <c r="AN792" s="124" t="n"/>
      <c r="AO792" s="124" t="n"/>
      <c r="AP792" s="124" t="n"/>
      <c r="AQ792" s="124" t="n"/>
      <c r="AR792" s="124" t="n"/>
      <c r="AS792" s="124" t="n"/>
      <c r="AT792" s="124" t="n"/>
      <c r="AU792" s="124" t="n"/>
      <c r="AV792" s="124" t="n"/>
      <c r="AW792" s="124" t="n"/>
      <c r="AX792" s="124" t="n"/>
      <c r="AY792" s="124" t="n"/>
      <c r="AZ792" s="124" t="n"/>
      <c r="BA792" s="124" t="n"/>
      <c r="BB792" s="124" t="n"/>
      <c r="BC792" s="124" t="n"/>
      <c r="BD792" s="124" t="n"/>
      <c r="BE792" s="124" t="n"/>
      <c r="BF792" s="124" t="n"/>
      <c r="BG792" s="124" t="n"/>
      <c r="BH792" s="124" t="n"/>
      <c r="BI792" s="124" t="n"/>
      <c r="BJ792" s="124" t="n"/>
      <c r="BK792" s="124" t="n"/>
      <c r="BL792" s="124" t="n"/>
      <c r="BM792" s="124" t="n"/>
      <c r="BN792" s="124" t="n"/>
      <c r="BO792" s="124" t="n"/>
      <c r="BP792" s="124" t="n"/>
      <c r="BQ792" s="124" t="n"/>
      <c r="BR792" s="124" t="n"/>
      <c r="BS792" s="124" t="n"/>
      <c r="BT792" s="124" t="n"/>
      <c r="BU792" s="124" t="n"/>
      <c r="BV792" s="124" t="n"/>
      <c r="BW792" s="124" t="n"/>
      <c r="BX792" s="124" t="n"/>
      <c r="BY792" s="124" t="n"/>
      <c r="BZ792" s="124" t="n"/>
      <c r="CA792" s="124" t="n"/>
      <c r="CB792" s="124" t="n"/>
      <c r="CC792" s="124" t="n"/>
      <c r="CD792" s="124" t="n"/>
      <c r="CE792" s="124" t="n"/>
      <c r="CF792" s="124" t="n"/>
      <c r="CG792" s="124" t="n"/>
      <c r="CH792" s="124" t="n"/>
      <c r="CI792" s="124" t="n"/>
      <c r="CJ792" s="124" t="n"/>
      <c r="CK792" s="124" t="n"/>
      <c r="CL792" s="124" t="n"/>
      <c r="CM792" s="124" t="n"/>
      <c r="CN792" s="124" t="n"/>
      <c r="CO792" s="124" t="n"/>
      <c r="CP792" s="124" t="n"/>
      <c r="CQ792" s="124" t="n"/>
      <c r="CR792" s="124" t="n"/>
      <c r="CS792" s="124" t="n"/>
      <c r="CT792" s="124" t="n"/>
      <c r="CU792" s="124" t="n"/>
      <c r="CV792" s="124" t="n"/>
      <c r="CW792" s="124" t="n"/>
      <c r="CX792" s="124" t="n"/>
      <c r="CY792" s="124" t="n"/>
      <c r="CZ792" s="124" t="n"/>
      <c r="DA792" s="124" t="n"/>
      <c r="DB792" s="124" t="n"/>
      <c r="DC792" s="124" t="n"/>
      <c r="DD792" s="124" t="n"/>
      <c r="DE792" s="124" t="n"/>
      <c r="DF792" s="124" t="n"/>
      <c r="DG792" s="124" t="n"/>
      <c r="DH792" s="124" t="n"/>
      <c r="DI792" s="124" t="n"/>
      <c r="DJ792" s="124" t="n"/>
      <c r="DK792" s="124" t="n"/>
      <c r="DL792" s="124" t="n"/>
      <c r="DM792" s="124" t="n"/>
      <c r="DN792" s="124" t="n"/>
      <c r="DO792" s="124" t="n"/>
      <c r="DP792" s="124" t="n"/>
      <c r="DQ792" s="124" t="n"/>
      <c r="DR792" s="124" t="n"/>
      <c r="DS792" s="124" t="n"/>
      <c r="DT792" s="124" t="n"/>
      <c r="DU792" s="124" t="n"/>
      <c r="DV792" s="124" t="n"/>
      <c r="DW792" s="124" t="n"/>
      <c r="DX792" s="124" t="n"/>
      <c r="DY792" s="124" t="n"/>
      <c r="DZ792" s="124" t="n"/>
      <c r="EA792" s="124" t="n"/>
      <c r="EB792" s="124" t="n"/>
      <c r="EC792" s="124" t="n"/>
      <c r="ED792" s="124" t="n"/>
      <c r="EE792" s="124" t="n"/>
      <c r="EF792" s="124" t="n"/>
      <c r="EG792" s="124" t="n"/>
      <c r="EH792" s="124" t="n"/>
      <c r="EI792" s="124" t="n"/>
      <c r="EJ792" s="124" t="n"/>
      <c r="EK792" s="124" t="n"/>
      <c r="EL792" s="124" t="n"/>
      <c r="EM792" s="124" t="n"/>
      <c r="EN792" s="124" t="n"/>
      <c r="EO792" s="124" t="n"/>
      <c r="EP792" s="124" t="n"/>
      <c r="EQ792" s="124" t="n"/>
      <c r="ER792" s="124" t="n"/>
      <c r="ES792" s="124" t="n"/>
      <c r="ET792" s="124" t="n"/>
      <c r="EU792" s="124" t="n"/>
      <c r="EV792" s="124" t="n"/>
      <c r="EW792" s="124" t="n"/>
      <c r="EX792" s="124" t="n"/>
      <c r="EY792" s="124" t="n"/>
      <c r="EZ792" s="124" t="n"/>
      <c r="FA792" s="124" t="n"/>
      <c r="FB792" s="124" t="n"/>
      <c r="FC792" s="124" t="n"/>
      <c r="FD792" s="124" t="n"/>
      <c r="FE792" s="124" t="n"/>
      <c r="FF792" s="124" t="n"/>
      <c r="FG792" s="124" t="n"/>
      <c r="FH792" s="124" t="n"/>
      <c r="FI792" s="124" t="n"/>
      <c r="FJ792" s="124" t="n"/>
      <c r="FK792" s="124" t="n"/>
      <c r="FL792" s="124" t="n"/>
      <c r="FM792" s="124" t="n"/>
      <c r="FN792" s="124" t="n"/>
      <c r="FO792" s="124" t="n"/>
      <c r="FP792" s="124" t="n"/>
      <c r="FQ792" s="124" t="n"/>
      <c r="FR792" s="124" t="n"/>
      <c r="FS792" s="124" t="n"/>
      <c r="FT792" s="124" t="n"/>
      <c r="FU792" s="124" t="n"/>
      <c r="FV792" s="124" t="n"/>
      <c r="FW792" s="124" t="n"/>
      <c r="FX792" s="124" t="n"/>
      <c r="FY792" s="124" t="n"/>
      <c r="FZ792" s="124" t="n"/>
      <c r="GA792" s="124" t="n"/>
      <c r="GB792" s="124" t="n"/>
      <c r="GC792" s="124" t="n"/>
      <c r="GD792" s="124" t="n"/>
      <c r="GE792" s="124" t="n"/>
      <c r="GF792" s="124" t="n"/>
      <c r="GG792" s="124" t="n"/>
      <c r="GH792" s="124" t="n"/>
      <c r="GI792" s="124" t="n"/>
      <c r="GJ792" s="124" t="n"/>
      <c r="GK792" s="124" t="n"/>
      <c r="GL792" s="124" t="n"/>
      <c r="GM792" s="124" t="n"/>
      <c r="GN792" s="124" t="n"/>
      <c r="GO792" s="124" t="n"/>
      <c r="GP792" s="124" t="n"/>
      <c r="GQ792" s="124" t="n"/>
      <c r="GR792" s="124" t="n"/>
      <c r="GS792" s="124" t="n"/>
      <c r="GT792" s="124" t="n"/>
      <c r="GU792" s="124" t="n"/>
      <c r="GV792" s="124" t="n"/>
      <c r="GW792" s="124" t="n"/>
      <c r="GX792" s="124" t="n"/>
      <c r="GY792" s="124" t="n"/>
      <c r="GZ792" s="124" t="n"/>
      <c r="HA792" s="124" t="n"/>
      <c r="HB792" s="124" t="n"/>
      <c r="HC792" s="124" t="n"/>
      <c r="HD792" s="124" t="n"/>
      <c r="HE792" s="124" t="n"/>
      <c r="HF792" s="124" t="n"/>
      <c r="HG792" s="124" t="n"/>
      <c r="HH792" s="124" t="n"/>
      <c r="HI792" s="124" t="n"/>
      <c r="HJ792" s="124" t="n"/>
      <c r="HK792" s="124" t="n"/>
      <c r="HL792" s="124" t="n"/>
    </row>
    <row r="793" customFormat="1" s="3">
      <c r="A793" s="33" t="inlineStr">
        <is>
          <t>7 этап</t>
        </is>
      </c>
      <c r="B793" s="34" t="n"/>
      <c r="C793" s="38" t="inlineStr">
        <is>
          <t>Монтаж муфт кабельных концевых 4КВНТп-1-150/240</t>
        </is>
      </c>
      <c r="D793" s="36" t="inlineStr">
        <is>
          <t>шт.</t>
        </is>
      </c>
      <c r="E793" s="123" t="n">
        <v>4</v>
      </c>
      <c r="F793" s="124" t="n"/>
      <c r="G793" s="124" t="n"/>
      <c r="H793" s="124" t="n"/>
      <c r="I793" s="124" t="n"/>
      <c r="J793" s="124" t="n"/>
      <c r="K793" s="124" t="n"/>
      <c r="L793" s="124" t="n"/>
      <c r="M793" s="124" t="n"/>
      <c r="N793" s="124" t="n"/>
      <c r="O793" s="124" t="n"/>
      <c r="P793" s="124" t="n"/>
      <c r="Q793" s="124" t="n"/>
      <c r="R793" s="124" t="n"/>
      <c r="S793" s="124" t="n"/>
      <c r="T793" s="124" t="n"/>
      <c r="U793" s="124" t="n"/>
      <c r="V793" s="124" t="n"/>
      <c r="W793" s="124" t="n"/>
      <c r="X793" s="124" t="n"/>
      <c r="Y793" s="124" t="n"/>
      <c r="Z793" s="124" t="n"/>
      <c r="AA793" s="124" t="n"/>
      <c r="AB793" s="124" t="n"/>
      <c r="AC793" s="124" t="n"/>
      <c r="AD793" s="124" t="n"/>
      <c r="AE793" s="124" t="n"/>
      <c r="AF793" s="124" t="n"/>
      <c r="AG793" s="124" t="n"/>
      <c r="AH793" s="124" t="n"/>
      <c r="AI793" s="124" t="n"/>
      <c r="AJ793" s="124" t="n"/>
      <c r="AK793" s="124" t="n"/>
      <c r="AL793" s="124" t="n"/>
      <c r="AM793" s="124" t="n"/>
      <c r="AN793" s="124" t="n"/>
      <c r="AO793" s="124" t="n"/>
      <c r="AP793" s="124" t="n"/>
      <c r="AQ793" s="124" t="n"/>
      <c r="AR793" s="124" t="n"/>
      <c r="AS793" s="124" t="n"/>
      <c r="AT793" s="124" t="n"/>
      <c r="AU793" s="124" t="n"/>
      <c r="AV793" s="124" t="n"/>
      <c r="AW793" s="124" t="n"/>
      <c r="AX793" s="124" t="n"/>
      <c r="AY793" s="124" t="n"/>
      <c r="AZ793" s="124" t="n"/>
      <c r="BA793" s="124" t="n"/>
      <c r="BB793" s="124" t="n"/>
      <c r="BC793" s="124" t="n"/>
      <c r="BD793" s="124" t="n"/>
      <c r="BE793" s="124" t="n"/>
      <c r="BF793" s="124" t="n"/>
      <c r="BG793" s="124" t="n"/>
      <c r="BH793" s="124" t="n"/>
      <c r="BI793" s="124" t="n"/>
      <c r="BJ793" s="124" t="n"/>
      <c r="BK793" s="124" t="n"/>
      <c r="BL793" s="124" t="n"/>
      <c r="BM793" s="124" t="n"/>
      <c r="BN793" s="124" t="n"/>
      <c r="BO793" s="124" t="n"/>
      <c r="BP793" s="124" t="n"/>
      <c r="BQ793" s="124" t="n"/>
      <c r="BR793" s="124" t="n"/>
      <c r="BS793" s="124" t="n"/>
      <c r="BT793" s="124" t="n"/>
      <c r="BU793" s="124" t="n"/>
      <c r="BV793" s="124" t="n"/>
      <c r="BW793" s="124" t="n"/>
      <c r="BX793" s="124" t="n"/>
      <c r="BY793" s="124" t="n"/>
      <c r="BZ793" s="124" t="n"/>
      <c r="CA793" s="124" t="n"/>
      <c r="CB793" s="124" t="n"/>
      <c r="CC793" s="124" t="n"/>
      <c r="CD793" s="124" t="n"/>
      <c r="CE793" s="124" t="n"/>
      <c r="CF793" s="124" t="n"/>
      <c r="CG793" s="124" t="n"/>
      <c r="CH793" s="124" t="n"/>
      <c r="CI793" s="124" t="n"/>
      <c r="CJ793" s="124" t="n"/>
      <c r="CK793" s="124" t="n"/>
      <c r="CL793" s="124" t="n"/>
      <c r="CM793" s="124" t="n"/>
      <c r="CN793" s="124" t="n"/>
      <c r="CO793" s="124" t="n"/>
      <c r="CP793" s="124" t="n"/>
      <c r="CQ793" s="124" t="n"/>
      <c r="CR793" s="124" t="n"/>
      <c r="CS793" s="124" t="n"/>
      <c r="CT793" s="124" t="n"/>
      <c r="CU793" s="124" t="n"/>
      <c r="CV793" s="124" t="n"/>
      <c r="CW793" s="124" t="n"/>
      <c r="CX793" s="124" t="n"/>
      <c r="CY793" s="124" t="n"/>
      <c r="CZ793" s="124" t="n"/>
      <c r="DA793" s="124" t="n"/>
      <c r="DB793" s="124" t="n"/>
      <c r="DC793" s="124" t="n"/>
      <c r="DD793" s="124" t="n"/>
      <c r="DE793" s="124" t="n"/>
      <c r="DF793" s="124" t="n"/>
      <c r="DG793" s="124" t="n"/>
      <c r="DH793" s="124" t="n"/>
      <c r="DI793" s="124" t="n"/>
      <c r="DJ793" s="124" t="n"/>
      <c r="DK793" s="124" t="n"/>
      <c r="DL793" s="124" t="n"/>
      <c r="DM793" s="124" t="n"/>
      <c r="DN793" s="124" t="n"/>
      <c r="DO793" s="124" t="n"/>
      <c r="DP793" s="124" t="n"/>
      <c r="DQ793" s="124" t="n"/>
      <c r="DR793" s="124" t="n"/>
      <c r="DS793" s="124" t="n"/>
      <c r="DT793" s="124" t="n"/>
      <c r="DU793" s="124" t="n"/>
      <c r="DV793" s="124" t="n"/>
      <c r="DW793" s="124" t="n"/>
      <c r="DX793" s="124" t="n"/>
      <c r="DY793" s="124" t="n"/>
      <c r="DZ793" s="124" t="n"/>
      <c r="EA793" s="124" t="n"/>
      <c r="EB793" s="124" t="n"/>
      <c r="EC793" s="124" t="n"/>
      <c r="ED793" s="124" t="n"/>
      <c r="EE793" s="124" t="n"/>
      <c r="EF793" s="124" t="n"/>
      <c r="EG793" s="124" t="n"/>
      <c r="EH793" s="124" t="n"/>
      <c r="EI793" s="124" t="n"/>
      <c r="EJ793" s="124" t="n"/>
      <c r="EK793" s="124" t="n"/>
      <c r="EL793" s="124" t="n"/>
      <c r="EM793" s="124" t="n"/>
      <c r="EN793" s="124" t="n"/>
      <c r="EO793" s="124" t="n"/>
      <c r="EP793" s="124" t="n"/>
      <c r="EQ793" s="124" t="n"/>
      <c r="ER793" s="124" t="n"/>
      <c r="ES793" s="124" t="n"/>
      <c r="ET793" s="124" t="n"/>
      <c r="EU793" s="124" t="n"/>
      <c r="EV793" s="124" t="n"/>
      <c r="EW793" s="124" t="n"/>
      <c r="EX793" s="124" t="n"/>
      <c r="EY793" s="124" t="n"/>
      <c r="EZ793" s="124" t="n"/>
      <c r="FA793" s="124" t="n"/>
      <c r="FB793" s="124" t="n"/>
      <c r="FC793" s="124" t="n"/>
      <c r="FD793" s="124" t="n"/>
      <c r="FE793" s="124" t="n"/>
      <c r="FF793" s="124" t="n"/>
      <c r="FG793" s="124" t="n"/>
      <c r="FH793" s="124" t="n"/>
      <c r="FI793" s="124" t="n"/>
      <c r="FJ793" s="124" t="n"/>
      <c r="FK793" s="124" t="n"/>
      <c r="FL793" s="124" t="n"/>
      <c r="FM793" s="124" t="n"/>
      <c r="FN793" s="124" t="n"/>
      <c r="FO793" s="124" t="n"/>
      <c r="FP793" s="124" t="n"/>
      <c r="FQ793" s="124" t="n"/>
      <c r="FR793" s="124" t="n"/>
      <c r="FS793" s="124" t="n"/>
      <c r="FT793" s="124" t="n"/>
      <c r="FU793" s="124" t="n"/>
      <c r="FV793" s="124" t="n"/>
      <c r="FW793" s="124" t="n"/>
      <c r="FX793" s="124" t="n"/>
      <c r="FY793" s="124" t="n"/>
      <c r="FZ793" s="124" t="n"/>
      <c r="GA793" s="124" t="n"/>
      <c r="GB793" s="124" t="n"/>
      <c r="GC793" s="124" t="n"/>
      <c r="GD793" s="124" t="n"/>
      <c r="GE793" s="124" t="n"/>
      <c r="GF793" s="124" t="n"/>
      <c r="GG793" s="124" t="n"/>
      <c r="GH793" s="124" t="n"/>
      <c r="GI793" s="124" t="n"/>
      <c r="GJ793" s="124" t="n"/>
      <c r="GK793" s="124" t="n"/>
      <c r="GL793" s="124" t="n"/>
      <c r="GM793" s="124" t="n"/>
      <c r="GN793" s="124" t="n"/>
      <c r="GO793" s="124" t="n"/>
      <c r="GP793" s="124" t="n"/>
      <c r="GQ793" s="124" t="n"/>
      <c r="GR793" s="124" t="n"/>
      <c r="GS793" s="124" t="n"/>
      <c r="GT793" s="124" t="n"/>
      <c r="GU793" s="124" t="n"/>
      <c r="GV793" s="124" t="n"/>
      <c r="GW793" s="124" t="n"/>
      <c r="GX793" s="124" t="n"/>
      <c r="GY793" s="124" t="n"/>
      <c r="GZ793" s="124" t="n"/>
      <c r="HA793" s="124" t="n"/>
      <c r="HB793" s="124" t="n"/>
      <c r="HC793" s="124" t="n"/>
      <c r="HD793" s="124" t="n"/>
      <c r="HE793" s="124" t="n"/>
      <c r="HF793" s="124" t="n"/>
      <c r="HG793" s="124" t="n"/>
      <c r="HH793" s="124" t="n"/>
      <c r="HI793" s="124" t="n"/>
      <c r="HJ793" s="124" t="n"/>
      <c r="HK793" s="124" t="n"/>
      <c r="HL793" s="124" t="n"/>
    </row>
    <row r="794" ht="14.4" customFormat="1" customHeight="1" s="3">
      <c r="A794" s="106" t="inlineStr">
        <is>
          <t>7 этап</t>
        </is>
      </c>
      <c r="B794" s="27" t="n">
        <v>5</v>
      </c>
      <c r="C794" s="127" t="inlineStr">
        <is>
          <t>Благоустройство</t>
        </is>
      </c>
      <c r="D794" s="128" t="inlineStr">
        <is>
          <t>компл.</t>
        </is>
      </c>
      <c r="E794" s="130" t="n">
        <v>1</v>
      </c>
      <c r="F794" s="166" t="n">
        <v>1600</v>
      </c>
      <c r="G794" s="166" t="n">
        <v>1600</v>
      </c>
      <c r="H794" s="124" t="inlineStr">
        <is>
          <t>ФЕР-2020 × 0.75</t>
        </is>
      </c>
      <c r="I794" s="124" t="n"/>
      <c r="J794" s="124" t="n"/>
      <c r="K794" s="124" t="n"/>
      <c r="L794" s="124" t="n"/>
      <c r="M794" s="124" t="n"/>
      <c r="N794" s="124" t="n"/>
      <c r="O794" s="124" t="n"/>
      <c r="P794" s="124" t="n"/>
      <c r="Q794" s="124" t="n"/>
      <c r="R794" s="124" t="n"/>
      <c r="S794" s="124" t="n"/>
      <c r="T794" s="124" t="n"/>
      <c r="U794" s="124" t="n"/>
      <c r="V794" s="124" t="n"/>
      <c r="W794" s="124" t="n"/>
      <c r="X794" s="124" t="n"/>
      <c r="Y794" s="124" t="n"/>
      <c r="Z794" s="124" t="n"/>
      <c r="AA794" s="124" t="n"/>
      <c r="AB794" s="124" t="n"/>
      <c r="AC794" s="124" t="n"/>
      <c r="AD794" s="124" t="n"/>
      <c r="AE794" s="124" t="n"/>
      <c r="AF794" s="124" t="n"/>
      <c r="AG794" s="124" t="n"/>
      <c r="AH794" s="124" t="n"/>
      <c r="AI794" s="124" t="n"/>
      <c r="AJ794" s="124" t="n"/>
      <c r="AK794" s="124" t="n"/>
      <c r="AL794" s="124" t="n"/>
      <c r="AM794" s="124" t="n"/>
      <c r="AN794" s="124" t="n"/>
      <c r="AO794" s="124" t="n"/>
      <c r="AP794" s="124" t="n"/>
      <c r="AQ794" s="124" t="n"/>
      <c r="AR794" s="124" t="n"/>
      <c r="AS794" s="124" t="n"/>
      <c r="AT794" s="124" t="n"/>
      <c r="AU794" s="124" t="n"/>
      <c r="AV794" s="124" t="n"/>
      <c r="AW794" s="124" t="n"/>
      <c r="AX794" s="124" t="n"/>
      <c r="AY794" s="124" t="n"/>
      <c r="AZ794" s="124" t="n"/>
      <c r="BA794" s="124" t="n"/>
      <c r="BB794" s="124" t="n"/>
      <c r="BC794" s="124" t="n"/>
      <c r="BD794" s="124" t="n"/>
      <c r="BE794" s="124" t="n"/>
      <c r="BF794" s="124" t="n"/>
      <c r="BG794" s="124" t="n"/>
      <c r="BH794" s="124" t="n"/>
      <c r="BI794" s="124" t="n"/>
      <c r="BJ794" s="124" t="n"/>
      <c r="BK794" s="124" t="n"/>
      <c r="BL794" s="124" t="n"/>
      <c r="BM794" s="124" t="n"/>
      <c r="BN794" s="124" t="n"/>
      <c r="BO794" s="124" t="n"/>
      <c r="BP794" s="124" t="n"/>
      <c r="BQ794" s="124" t="n"/>
      <c r="BR794" s="124" t="n"/>
      <c r="BS794" s="124" t="n"/>
      <c r="BT794" s="124" t="n"/>
      <c r="BU794" s="124" t="n"/>
      <c r="BV794" s="124" t="n"/>
      <c r="BW794" s="124" t="n"/>
      <c r="BX794" s="124" t="n"/>
      <c r="BY794" s="124" t="n"/>
      <c r="BZ794" s="124" t="n"/>
      <c r="CA794" s="124" t="n"/>
      <c r="CB794" s="124" t="n"/>
      <c r="CC794" s="124" t="n"/>
      <c r="CD794" s="124" t="n"/>
      <c r="CE794" s="124" t="n"/>
      <c r="CF794" s="124" t="n"/>
      <c r="CG794" s="124" t="n"/>
      <c r="CH794" s="124" t="n"/>
      <c r="CI794" s="124" t="n"/>
      <c r="CJ794" s="124" t="n"/>
      <c r="CK794" s="124" t="n"/>
      <c r="CL794" s="124" t="n"/>
      <c r="CM794" s="124" t="n"/>
      <c r="CN794" s="124" t="n"/>
      <c r="CO794" s="124" t="n"/>
      <c r="CP794" s="124" t="n"/>
      <c r="CQ794" s="124" t="n"/>
      <c r="CR794" s="124" t="n"/>
      <c r="CS794" s="124" t="n"/>
      <c r="CT794" s="124" t="n"/>
      <c r="CU794" s="124" t="n"/>
      <c r="CV794" s="124" t="n"/>
      <c r="CW794" s="124" t="n"/>
      <c r="CX794" s="124" t="n"/>
      <c r="CY794" s="124" t="n"/>
      <c r="CZ794" s="124" t="n"/>
      <c r="DA794" s="124" t="n"/>
      <c r="DB794" s="124" t="n"/>
      <c r="DC794" s="124" t="n"/>
      <c r="DD794" s="124" t="n"/>
      <c r="DE794" s="124" t="n"/>
      <c r="DF794" s="124" t="n"/>
      <c r="DG794" s="124" t="n"/>
      <c r="DH794" s="124" t="n"/>
      <c r="DI794" s="124" t="n"/>
      <c r="DJ794" s="124" t="n"/>
      <c r="DK794" s="124" t="n"/>
      <c r="DL794" s="124" t="n"/>
      <c r="DM794" s="124" t="n"/>
      <c r="DN794" s="124" t="n"/>
      <c r="DO794" s="124" t="n"/>
      <c r="DP794" s="124" t="n"/>
      <c r="DQ794" s="124" t="n"/>
      <c r="DR794" s="124" t="n"/>
      <c r="DS794" s="124" t="n"/>
      <c r="DT794" s="124" t="n"/>
      <c r="DU794" s="124" t="n"/>
      <c r="DV794" s="124" t="n"/>
      <c r="DW794" s="124" t="n"/>
      <c r="DX794" s="124" t="n"/>
      <c r="DY794" s="124" t="n"/>
      <c r="DZ794" s="124" t="n"/>
      <c r="EA794" s="124" t="n"/>
      <c r="EB794" s="124" t="n"/>
      <c r="EC794" s="124" t="n"/>
      <c r="ED794" s="124" t="n"/>
      <c r="EE794" s="124" t="n"/>
      <c r="EF794" s="124" t="n"/>
      <c r="EG794" s="124" t="n"/>
      <c r="EH794" s="124" t="n"/>
      <c r="EI794" s="124" t="n"/>
      <c r="EJ794" s="124" t="n"/>
      <c r="EK794" s="124" t="n"/>
      <c r="EL794" s="124" t="n"/>
      <c r="EM794" s="124" t="n"/>
      <c r="EN794" s="124" t="n"/>
      <c r="EO794" s="124" t="n"/>
      <c r="EP794" s="124" t="n"/>
      <c r="EQ794" s="124" t="n"/>
      <c r="ER794" s="124" t="n"/>
      <c r="ES794" s="124" t="n"/>
      <c r="ET794" s="124" t="n"/>
      <c r="EU794" s="124" t="n"/>
      <c r="EV794" s="124" t="n"/>
      <c r="EW794" s="124" t="n"/>
      <c r="EX794" s="124" t="n"/>
      <c r="EY794" s="124" t="n"/>
      <c r="EZ794" s="124" t="n"/>
      <c r="FA794" s="124" t="n"/>
      <c r="FB794" s="124" t="n"/>
      <c r="FC794" s="124" t="n"/>
      <c r="FD794" s="124" t="n"/>
      <c r="FE794" s="124" t="n"/>
      <c r="FF794" s="124" t="n"/>
      <c r="FG794" s="124" t="n"/>
      <c r="FH794" s="124" t="n"/>
      <c r="FI794" s="124" t="n"/>
      <c r="FJ794" s="124" t="n"/>
      <c r="FK794" s="124" t="n"/>
      <c r="FL794" s="124" t="n"/>
      <c r="FM794" s="124" t="n"/>
      <c r="FN794" s="124" t="n"/>
      <c r="FO794" s="124" t="n"/>
      <c r="FP794" s="124" t="n"/>
      <c r="FQ794" s="124" t="n"/>
      <c r="FR794" s="124" t="n"/>
      <c r="FS794" s="124" t="n"/>
      <c r="FT794" s="124" t="n"/>
      <c r="FU794" s="124" t="n"/>
      <c r="FV794" s="124" t="n"/>
      <c r="FW794" s="124" t="n"/>
      <c r="FX794" s="124" t="n"/>
      <c r="FY794" s="124" t="n"/>
      <c r="FZ794" s="124" t="n"/>
      <c r="GA794" s="124" t="n"/>
      <c r="GB794" s="124" t="n"/>
      <c r="GC794" s="124" t="n"/>
      <c r="GD794" s="124" t="n"/>
      <c r="GE794" s="124" t="n"/>
      <c r="GF794" s="124" t="n"/>
      <c r="GG794" s="124" t="n"/>
      <c r="GH794" s="124" t="n"/>
      <c r="GI794" s="124" t="n"/>
      <c r="GJ794" s="124" t="n"/>
      <c r="GK794" s="124" t="n"/>
      <c r="GL794" s="124" t="n"/>
      <c r="GM794" s="124" t="n"/>
      <c r="GN794" s="124" t="n"/>
      <c r="GO794" s="124" t="n"/>
      <c r="GP794" s="124" t="n"/>
      <c r="GQ794" s="124" t="n"/>
      <c r="GR794" s="124" t="n"/>
      <c r="GS794" s="124" t="n"/>
      <c r="GT794" s="124" t="n"/>
      <c r="GU794" s="124" t="n"/>
      <c r="GV794" s="124" t="n"/>
      <c r="GW794" s="124" t="n"/>
      <c r="GX794" s="124" t="n"/>
      <c r="GY794" s="124" t="n"/>
      <c r="GZ794" s="124" t="n"/>
      <c r="HA794" s="124" t="n"/>
      <c r="HB794" s="124" t="n"/>
      <c r="HC794" s="124" t="n"/>
      <c r="HD794" s="124" t="n"/>
      <c r="HE794" s="124" t="n"/>
      <c r="HF794" s="124" t="n"/>
      <c r="HG794" s="124" t="n"/>
      <c r="HH794" s="124" t="n"/>
      <c r="HI794" s="124" t="n"/>
      <c r="HJ794" s="124" t="n"/>
      <c r="HK794" s="124" t="n"/>
      <c r="HL794" s="124" t="n"/>
    </row>
    <row r="795" ht="14.4" customFormat="1" customHeight="1" s="3">
      <c r="A795" s="26" t="inlineStr">
        <is>
          <t>7 этап</t>
        </is>
      </c>
      <c r="B795" s="34" t="inlineStr">
        <is>
          <t>5.1</t>
        </is>
      </c>
      <c r="C795" s="108" t="inlineStr">
        <is>
          <t>Благоустройство</t>
        </is>
      </c>
      <c r="D795" s="36" t="inlineStr">
        <is>
          <t>компл.</t>
        </is>
      </c>
      <c r="E795" s="123" t="n">
        <v>0.5</v>
      </c>
      <c r="F795" s="166" t="n">
        <v>1600</v>
      </c>
      <c r="G795" s="166" t="n">
        <v>800</v>
      </c>
      <c r="H795" s="124" t="inlineStr">
        <is>
          <t>ФЕР-2020 × 0.75</t>
        </is>
      </c>
      <c r="I795" s="124" t="n"/>
      <c r="J795" s="124" t="n"/>
      <c r="K795" s="124" t="n"/>
      <c r="L795" s="124" t="n"/>
      <c r="M795" s="124" t="n"/>
      <c r="N795" s="124" t="n"/>
      <c r="O795" s="124" t="n"/>
      <c r="P795" s="124" t="n"/>
      <c r="Q795" s="124" t="n"/>
      <c r="R795" s="124" t="n"/>
      <c r="S795" s="124" t="n"/>
      <c r="T795" s="124" t="n"/>
      <c r="U795" s="124" t="n"/>
      <c r="V795" s="124" t="n"/>
      <c r="W795" s="124" t="n"/>
      <c r="X795" s="124" t="n"/>
      <c r="Y795" s="124" t="n"/>
      <c r="Z795" s="124" t="n"/>
      <c r="AA795" s="124" t="n"/>
      <c r="AB795" s="124" t="n"/>
      <c r="AC795" s="124" t="n"/>
      <c r="AD795" s="124" t="n"/>
      <c r="AE795" s="124" t="n"/>
      <c r="AF795" s="124" t="n"/>
      <c r="AG795" s="124" t="n"/>
      <c r="AH795" s="124" t="n"/>
      <c r="AI795" s="124" t="n"/>
      <c r="AJ795" s="124" t="n"/>
      <c r="AK795" s="124" t="n"/>
      <c r="AL795" s="124" t="n"/>
      <c r="AM795" s="124" t="n"/>
      <c r="AN795" s="124" t="n"/>
      <c r="AO795" s="124" t="n"/>
      <c r="AP795" s="124" t="n"/>
      <c r="AQ795" s="124" t="n"/>
      <c r="AR795" s="124" t="n"/>
      <c r="AS795" s="124" t="n"/>
      <c r="AT795" s="124" t="n"/>
      <c r="AU795" s="124" t="n"/>
      <c r="AV795" s="124" t="n"/>
      <c r="AW795" s="124" t="n"/>
      <c r="AX795" s="124" t="n"/>
      <c r="AY795" s="124" t="n"/>
      <c r="AZ795" s="124" t="n"/>
      <c r="BA795" s="124" t="n"/>
      <c r="BB795" s="124" t="n"/>
      <c r="BC795" s="124" t="n"/>
      <c r="BD795" s="124" t="n"/>
      <c r="BE795" s="124" t="n"/>
      <c r="BF795" s="124" t="n"/>
      <c r="BG795" s="124" t="n"/>
      <c r="BH795" s="124" t="n"/>
      <c r="BI795" s="124" t="n"/>
      <c r="BJ795" s="124" t="n"/>
      <c r="BK795" s="124" t="n"/>
      <c r="BL795" s="124" t="n"/>
      <c r="BM795" s="124" t="n"/>
      <c r="BN795" s="124" t="n"/>
      <c r="BO795" s="124" t="n"/>
      <c r="BP795" s="124" t="n"/>
      <c r="BQ795" s="124" t="n"/>
      <c r="BR795" s="124" t="n"/>
      <c r="BS795" s="124" t="n"/>
      <c r="BT795" s="124" t="n"/>
      <c r="BU795" s="124" t="n"/>
      <c r="BV795" s="124" t="n"/>
      <c r="BW795" s="124" t="n"/>
      <c r="BX795" s="124" t="n"/>
      <c r="BY795" s="124" t="n"/>
      <c r="BZ795" s="124" t="n"/>
      <c r="CA795" s="124" t="n"/>
      <c r="CB795" s="124" t="n"/>
      <c r="CC795" s="124" t="n"/>
      <c r="CD795" s="124" t="n"/>
      <c r="CE795" s="124" t="n"/>
      <c r="CF795" s="124" t="n"/>
      <c r="CG795" s="124" t="n"/>
      <c r="CH795" s="124" t="n"/>
      <c r="CI795" s="124" t="n"/>
      <c r="CJ795" s="124" t="n"/>
      <c r="CK795" s="124" t="n"/>
      <c r="CL795" s="124" t="n"/>
      <c r="CM795" s="124" t="n"/>
      <c r="CN795" s="124" t="n"/>
      <c r="CO795" s="124" t="n"/>
      <c r="CP795" s="124" t="n"/>
      <c r="CQ795" s="124" t="n"/>
      <c r="CR795" s="124" t="n"/>
      <c r="CS795" s="124" t="n"/>
      <c r="CT795" s="124" t="n"/>
      <c r="CU795" s="124" t="n"/>
      <c r="CV795" s="124" t="n"/>
      <c r="CW795" s="124" t="n"/>
      <c r="CX795" s="124" t="n"/>
      <c r="CY795" s="124" t="n"/>
      <c r="CZ795" s="124" t="n"/>
      <c r="DA795" s="124" t="n"/>
      <c r="DB795" s="124" t="n"/>
      <c r="DC795" s="124" t="n"/>
      <c r="DD795" s="124" t="n"/>
      <c r="DE795" s="124" t="n"/>
      <c r="DF795" s="124" t="n"/>
      <c r="DG795" s="124" t="n"/>
      <c r="DH795" s="124" t="n"/>
      <c r="DI795" s="124" t="n"/>
      <c r="DJ795" s="124" t="n"/>
      <c r="DK795" s="124" t="n"/>
      <c r="DL795" s="124" t="n"/>
      <c r="DM795" s="124" t="n"/>
      <c r="DN795" s="124" t="n"/>
      <c r="DO795" s="124" t="n"/>
      <c r="DP795" s="124" t="n"/>
      <c r="DQ795" s="124" t="n"/>
      <c r="DR795" s="124" t="n"/>
      <c r="DS795" s="124" t="n"/>
      <c r="DT795" s="124" t="n"/>
      <c r="DU795" s="124" t="n"/>
      <c r="DV795" s="124" t="n"/>
      <c r="DW795" s="124" t="n"/>
      <c r="DX795" s="124" t="n"/>
      <c r="DY795" s="124" t="n"/>
      <c r="DZ795" s="124" t="n"/>
      <c r="EA795" s="124" t="n"/>
      <c r="EB795" s="124" t="n"/>
      <c r="EC795" s="124" t="n"/>
      <c r="ED795" s="124" t="n"/>
      <c r="EE795" s="124" t="n"/>
      <c r="EF795" s="124" t="n"/>
      <c r="EG795" s="124" t="n"/>
      <c r="EH795" s="124" t="n"/>
      <c r="EI795" s="124" t="n"/>
      <c r="EJ795" s="124" t="n"/>
      <c r="EK795" s="124" t="n"/>
      <c r="EL795" s="124" t="n"/>
      <c r="EM795" s="124" t="n"/>
      <c r="EN795" s="124" t="n"/>
      <c r="EO795" s="124" t="n"/>
      <c r="EP795" s="124" t="n"/>
      <c r="EQ795" s="124" t="n"/>
      <c r="ER795" s="124" t="n"/>
      <c r="ES795" s="124" t="n"/>
      <c r="ET795" s="124" t="n"/>
      <c r="EU795" s="124" t="n"/>
      <c r="EV795" s="124" t="n"/>
      <c r="EW795" s="124" t="n"/>
      <c r="EX795" s="124" t="n"/>
      <c r="EY795" s="124" t="n"/>
      <c r="EZ795" s="124" t="n"/>
      <c r="FA795" s="124" t="n"/>
      <c r="FB795" s="124" t="n"/>
      <c r="FC795" s="124" t="n"/>
      <c r="FD795" s="124" t="n"/>
      <c r="FE795" s="124" t="n"/>
      <c r="FF795" s="124" t="n"/>
      <c r="FG795" s="124" t="n"/>
      <c r="FH795" s="124" t="n"/>
      <c r="FI795" s="124" t="n"/>
      <c r="FJ795" s="124" t="n"/>
      <c r="FK795" s="124" t="n"/>
      <c r="FL795" s="124" t="n"/>
      <c r="FM795" s="124" t="n"/>
      <c r="FN795" s="124" t="n"/>
      <c r="FO795" s="124" t="n"/>
      <c r="FP795" s="124" t="n"/>
      <c r="FQ795" s="124" t="n"/>
      <c r="FR795" s="124" t="n"/>
      <c r="FS795" s="124" t="n"/>
      <c r="FT795" s="124" t="n"/>
      <c r="FU795" s="124" t="n"/>
      <c r="FV795" s="124" t="n"/>
      <c r="FW795" s="124" t="n"/>
      <c r="FX795" s="124" t="n"/>
      <c r="FY795" s="124" t="n"/>
      <c r="FZ795" s="124" t="n"/>
      <c r="GA795" s="124" t="n"/>
      <c r="GB795" s="124" t="n"/>
      <c r="GC795" s="124" t="n"/>
      <c r="GD795" s="124" t="n"/>
      <c r="GE795" s="124" t="n"/>
      <c r="GF795" s="124" t="n"/>
      <c r="GG795" s="124" t="n"/>
      <c r="GH795" s="124" t="n"/>
      <c r="GI795" s="124" t="n"/>
      <c r="GJ795" s="124" t="n"/>
      <c r="GK795" s="124" t="n"/>
      <c r="GL795" s="124" t="n"/>
      <c r="GM795" s="124" t="n"/>
      <c r="GN795" s="124" t="n"/>
      <c r="GO795" s="124" t="n"/>
      <c r="GP795" s="124" t="n"/>
      <c r="GQ795" s="124" t="n"/>
      <c r="GR795" s="124" t="n"/>
      <c r="GS795" s="124" t="n"/>
      <c r="GT795" s="124" t="n"/>
      <c r="GU795" s="124" t="n"/>
      <c r="GV795" s="124" t="n"/>
      <c r="GW795" s="124" t="n"/>
      <c r="GX795" s="124" t="n"/>
      <c r="GY795" s="124" t="n"/>
      <c r="GZ795" s="124" t="n"/>
      <c r="HA795" s="124" t="n"/>
      <c r="HB795" s="124" t="n"/>
      <c r="HC795" s="124" t="n"/>
      <c r="HD795" s="124" t="n"/>
      <c r="HE795" s="124" t="n"/>
      <c r="HF795" s="124" t="n"/>
      <c r="HG795" s="124" t="n"/>
      <c r="HH795" s="124" t="n"/>
      <c r="HI795" s="124" t="n"/>
      <c r="HJ795" s="124" t="n"/>
      <c r="HK795" s="124" t="n"/>
      <c r="HL795" s="124" t="n"/>
    </row>
    <row r="796" customFormat="1" s="3">
      <c r="A796" s="33" t="n"/>
      <c r="B796" s="34" t="n"/>
      <c r="C796" s="108" t="inlineStr">
        <is>
          <t xml:space="preserve">Демонтаж существующего забора </t>
        </is>
      </c>
      <c r="D796" s="36" t="inlineStr">
        <is>
          <t>м/п</t>
        </is>
      </c>
      <c r="E796" s="123" t="n">
        <v>226</v>
      </c>
      <c r="F796" s="124" t="n"/>
      <c r="G796" s="124" t="n"/>
      <c r="H796" s="124" t="n"/>
      <c r="I796" s="124" t="n"/>
      <c r="J796" s="124" t="n"/>
      <c r="K796" s="124" t="n"/>
      <c r="L796" s="124" t="n"/>
      <c r="M796" s="124" t="n"/>
      <c r="N796" s="124" t="n"/>
      <c r="O796" s="124" t="n"/>
      <c r="P796" s="124" t="n"/>
      <c r="Q796" s="124" t="n"/>
      <c r="R796" s="124" t="n"/>
      <c r="S796" s="124" t="n"/>
      <c r="T796" s="124" t="n"/>
      <c r="U796" s="124" t="n"/>
      <c r="V796" s="124" t="n"/>
      <c r="W796" s="124" t="n"/>
      <c r="X796" s="124" t="n"/>
      <c r="Y796" s="124" t="n"/>
      <c r="Z796" s="124" t="n"/>
      <c r="AA796" s="124" t="n"/>
      <c r="AB796" s="124" t="n"/>
      <c r="AC796" s="124" t="n"/>
      <c r="AD796" s="124" t="n"/>
      <c r="AE796" s="124" t="n"/>
      <c r="AF796" s="124" t="n"/>
      <c r="AG796" s="124" t="n"/>
      <c r="AH796" s="124" t="n"/>
      <c r="AI796" s="124" t="n"/>
      <c r="AJ796" s="124" t="n"/>
      <c r="AK796" s="124" t="n"/>
      <c r="AL796" s="124" t="n"/>
      <c r="AM796" s="124" t="n"/>
      <c r="AN796" s="124" t="n"/>
      <c r="AO796" s="124" t="n"/>
      <c r="AP796" s="124" t="n"/>
      <c r="AQ796" s="124" t="n"/>
      <c r="AR796" s="124" t="n"/>
      <c r="AS796" s="124" t="n"/>
      <c r="AT796" s="124" t="n"/>
      <c r="AU796" s="124" t="n"/>
      <c r="AV796" s="124" t="n"/>
      <c r="AW796" s="124" t="n"/>
      <c r="AX796" s="124" t="n"/>
      <c r="AY796" s="124" t="n"/>
      <c r="AZ796" s="124" t="n"/>
      <c r="BA796" s="124" t="n"/>
      <c r="BB796" s="124" t="n"/>
      <c r="BC796" s="124" t="n"/>
      <c r="BD796" s="124" t="n"/>
      <c r="BE796" s="124" t="n"/>
      <c r="BF796" s="124" t="n"/>
      <c r="BG796" s="124" t="n"/>
      <c r="BH796" s="124" t="n"/>
      <c r="BI796" s="124" t="n"/>
      <c r="BJ796" s="124" t="n"/>
      <c r="BK796" s="124" t="n"/>
      <c r="BL796" s="124" t="n"/>
      <c r="BM796" s="124" t="n"/>
      <c r="BN796" s="124" t="n"/>
      <c r="BO796" s="124" t="n"/>
      <c r="BP796" s="124" t="n"/>
      <c r="BQ796" s="124" t="n"/>
      <c r="BR796" s="124" t="n"/>
      <c r="BS796" s="124" t="n"/>
      <c r="BT796" s="124" t="n"/>
      <c r="BU796" s="124" t="n"/>
      <c r="BV796" s="124" t="n"/>
      <c r="BW796" s="124" t="n"/>
      <c r="BX796" s="124" t="n"/>
      <c r="BY796" s="124" t="n"/>
      <c r="BZ796" s="124" t="n"/>
      <c r="CA796" s="124" t="n"/>
      <c r="CB796" s="124" t="n"/>
      <c r="CC796" s="124" t="n"/>
      <c r="CD796" s="124" t="n"/>
      <c r="CE796" s="124" t="n"/>
      <c r="CF796" s="124" t="n"/>
      <c r="CG796" s="124" t="n"/>
      <c r="CH796" s="124" t="n"/>
      <c r="CI796" s="124" t="n"/>
      <c r="CJ796" s="124" t="n"/>
      <c r="CK796" s="124" t="n"/>
      <c r="CL796" s="124" t="n"/>
      <c r="CM796" s="124" t="n"/>
      <c r="CN796" s="124" t="n"/>
      <c r="CO796" s="124" t="n"/>
      <c r="CP796" s="124" t="n"/>
      <c r="CQ796" s="124" t="n"/>
      <c r="CR796" s="124" t="n"/>
      <c r="CS796" s="124" t="n"/>
      <c r="CT796" s="124" t="n"/>
      <c r="CU796" s="124" t="n"/>
      <c r="CV796" s="124" t="n"/>
      <c r="CW796" s="124" t="n"/>
      <c r="CX796" s="124" t="n"/>
      <c r="CY796" s="124" t="n"/>
      <c r="CZ796" s="124" t="n"/>
      <c r="DA796" s="124" t="n"/>
      <c r="DB796" s="124" t="n"/>
      <c r="DC796" s="124" t="n"/>
      <c r="DD796" s="124" t="n"/>
      <c r="DE796" s="124" t="n"/>
      <c r="DF796" s="124" t="n"/>
      <c r="DG796" s="124" t="n"/>
      <c r="DH796" s="124" t="n"/>
      <c r="DI796" s="124" t="n"/>
      <c r="DJ796" s="124" t="n"/>
      <c r="DK796" s="124" t="n"/>
      <c r="DL796" s="124" t="n"/>
      <c r="DM796" s="124" t="n"/>
      <c r="DN796" s="124" t="n"/>
      <c r="DO796" s="124" t="n"/>
      <c r="DP796" s="124" t="n"/>
      <c r="DQ796" s="124" t="n"/>
      <c r="DR796" s="124" t="n"/>
      <c r="DS796" s="124" t="n"/>
      <c r="DT796" s="124" t="n"/>
      <c r="DU796" s="124" t="n"/>
      <c r="DV796" s="124" t="n"/>
      <c r="DW796" s="124" t="n"/>
      <c r="DX796" s="124" t="n"/>
      <c r="DY796" s="124" t="n"/>
      <c r="DZ796" s="124" t="n"/>
      <c r="EA796" s="124" t="n"/>
      <c r="EB796" s="124" t="n"/>
      <c r="EC796" s="124" t="n"/>
      <c r="ED796" s="124" t="n"/>
      <c r="EE796" s="124" t="n"/>
      <c r="EF796" s="124" t="n"/>
      <c r="EG796" s="124" t="n"/>
      <c r="EH796" s="124" t="n"/>
      <c r="EI796" s="124" t="n"/>
      <c r="EJ796" s="124" t="n"/>
      <c r="EK796" s="124" t="n"/>
      <c r="EL796" s="124" t="n"/>
      <c r="EM796" s="124" t="n"/>
      <c r="EN796" s="124" t="n"/>
      <c r="EO796" s="124" t="n"/>
      <c r="EP796" s="124" t="n"/>
      <c r="EQ796" s="124" t="n"/>
      <c r="ER796" s="124" t="n"/>
      <c r="ES796" s="124" t="n"/>
      <c r="ET796" s="124" t="n"/>
      <c r="EU796" s="124" t="n"/>
      <c r="EV796" s="124" t="n"/>
      <c r="EW796" s="124" t="n"/>
      <c r="EX796" s="124" t="n"/>
      <c r="EY796" s="124" t="n"/>
      <c r="EZ796" s="124" t="n"/>
      <c r="FA796" s="124" t="n"/>
      <c r="FB796" s="124" t="n"/>
      <c r="FC796" s="124" t="n"/>
      <c r="FD796" s="124" t="n"/>
      <c r="FE796" s="124" t="n"/>
      <c r="FF796" s="124" t="n"/>
      <c r="FG796" s="124" t="n"/>
      <c r="FH796" s="124" t="n"/>
      <c r="FI796" s="124" t="n"/>
      <c r="FJ796" s="124" t="n"/>
      <c r="FK796" s="124" t="n"/>
      <c r="FL796" s="124" t="n"/>
      <c r="FM796" s="124" t="n"/>
      <c r="FN796" s="124" t="n"/>
      <c r="FO796" s="124" t="n"/>
      <c r="FP796" s="124" t="n"/>
      <c r="FQ796" s="124" t="n"/>
      <c r="FR796" s="124" t="n"/>
      <c r="FS796" s="124" t="n"/>
      <c r="FT796" s="124" t="n"/>
      <c r="FU796" s="124" t="n"/>
      <c r="FV796" s="124" t="n"/>
      <c r="FW796" s="124" t="n"/>
      <c r="FX796" s="124" t="n"/>
      <c r="FY796" s="124" t="n"/>
      <c r="FZ796" s="124" t="n"/>
      <c r="GA796" s="124" t="n"/>
      <c r="GB796" s="124" t="n"/>
      <c r="GC796" s="124" t="n"/>
      <c r="GD796" s="124" t="n"/>
      <c r="GE796" s="124" t="n"/>
      <c r="GF796" s="124" t="n"/>
      <c r="GG796" s="124" t="n"/>
      <c r="GH796" s="124" t="n"/>
      <c r="GI796" s="124" t="n"/>
      <c r="GJ796" s="124" t="n"/>
      <c r="GK796" s="124" t="n"/>
      <c r="GL796" s="124" t="n"/>
      <c r="GM796" s="124" t="n"/>
      <c r="GN796" s="124" t="n"/>
      <c r="GO796" s="124" t="n"/>
      <c r="GP796" s="124" t="n"/>
      <c r="GQ796" s="124" t="n"/>
      <c r="GR796" s="124" t="n"/>
      <c r="GS796" s="124" t="n"/>
      <c r="GT796" s="124" t="n"/>
      <c r="GU796" s="124" t="n"/>
      <c r="GV796" s="124" t="n"/>
      <c r="GW796" s="124" t="n"/>
      <c r="GX796" s="124" t="n"/>
      <c r="GY796" s="124" t="n"/>
      <c r="GZ796" s="124" t="n"/>
      <c r="HA796" s="124" t="n"/>
      <c r="HB796" s="124" t="n"/>
      <c r="HC796" s="124" t="n"/>
      <c r="HD796" s="124" t="n"/>
      <c r="HE796" s="124" t="n"/>
      <c r="HF796" s="124" t="n"/>
      <c r="HG796" s="124" t="n"/>
      <c r="HH796" s="124" t="n"/>
      <c r="HI796" s="124" t="n"/>
      <c r="HJ796" s="124" t="n"/>
      <c r="HK796" s="124" t="n"/>
      <c r="HL796" s="124" t="n"/>
    </row>
    <row r="797" customFormat="1" s="3">
      <c r="A797" s="33" t="n"/>
      <c r="B797" s="34" t="n"/>
      <c r="C797" s="108" t="n"/>
      <c r="D797" s="36" t="n"/>
      <c r="E797" s="123" t="n"/>
      <c r="F797" s="124" t="n"/>
      <c r="G797" s="124" t="n"/>
      <c r="H797" s="124" t="n"/>
      <c r="I797" s="124" t="n"/>
      <c r="J797" s="124" t="n"/>
      <c r="K797" s="124" t="n"/>
      <c r="L797" s="124" t="n"/>
      <c r="M797" s="124" t="n"/>
      <c r="N797" s="124" t="n"/>
      <c r="O797" s="124" t="n"/>
      <c r="P797" s="124" t="n"/>
      <c r="Q797" s="124" t="n"/>
      <c r="R797" s="124" t="n"/>
      <c r="S797" s="124" t="n"/>
      <c r="T797" s="124" t="n"/>
      <c r="U797" s="124" t="n"/>
      <c r="V797" s="124" t="n"/>
      <c r="W797" s="124" t="n"/>
      <c r="X797" s="124" t="n"/>
      <c r="Y797" s="124" t="n"/>
      <c r="Z797" s="124" t="n"/>
      <c r="AA797" s="124" t="n"/>
      <c r="AB797" s="124" t="n"/>
      <c r="AC797" s="124" t="n"/>
      <c r="AD797" s="124" t="n"/>
      <c r="AE797" s="124" t="n"/>
      <c r="AF797" s="124" t="n"/>
      <c r="AG797" s="124" t="n"/>
      <c r="AH797" s="124" t="n"/>
      <c r="AI797" s="124" t="n"/>
      <c r="AJ797" s="124" t="n"/>
      <c r="AK797" s="124" t="n"/>
      <c r="AL797" s="124" t="n"/>
      <c r="AM797" s="124" t="n"/>
      <c r="AN797" s="124" t="n"/>
      <c r="AO797" s="124" t="n"/>
      <c r="AP797" s="124" t="n"/>
      <c r="AQ797" s="124" t="n"/>
      <c r="AR797" s="124" t="n"/>
      <c r="AS797" s="124" t="n"/>
      <c r="AT797" s="124" t="n"/>
      <c r="AU797" s="124" t="n"/>
      <c r="AV797" s="124" t="n"/>
      <c r="AW797" s="124" t="n"/>
      <c r="AX797" s="124" t="n"/>
      <c r="AY797" s="124" t="n"/>
      <c r="AZ797" s="124" t="n"/>
      <c r="BA797" s="124" t="n"/>
      <c r="BB797" s="124" t="n"/>
      <c r="BC797" s="124" t="n"/>
      <c r="BD797" s="124" t="n"/>
      <c r="BE797" s="124" t="n"/>
      <c r="BF797" s="124" t="n"/>
      <c r="BG797" s="124" t="n"/>
      <c r="BH797" s="124" t="n"/>
      <c r="BI797" s="124" t="n"/>
      <c r="BJ797" s="124" t="n"/>
      <c r="BK797" s="124" t="n"/>
      <c r="BL797" s="124" t="n"/>
      <c r="BM797" s="124" t="n"/>
      <c r="BN797" s="124" t="n"/>
      <c r="BO797" s="124" t="n"/>
      <c r="BP797" s="124" t="n"/>
      <c r="BQ797" s="124" t="n"/>
      <c r="BR797" s="124" t="n"/>
      <c r="BS797" s="124" t="n"/>
      <c r="BT797" s="124" t="n"/>
      <c r="BU797" s="124" t="n"/>
      <c r="BV797" s="124" t="n"/>
      <c r="BW797" s="124" t="n"/>
      <c r="BX797" s="124" t="n"/>
      <c r="BY797" s="124" t="n"/>
      <c r="BZ797" s="124" t="n"/>
      <c r="CA797" s="124" t="n"/>
      <c r="CB797" s="124" t="n"/>
      <c r="CC797" s="124" t="n"/>
      <c r="CD797" s="124" t="n"/>
      <c r="CE797" s="124" t="n"/>
      <c r="CF797" s="124" t="n"/>
      <c r="CG797" s="124" t="n"/>
      <c r="CH797" s="124" t="n"/>
      <c r="CI797" s="124" t="n"/>
      <c r="CJ797" s="124" t="n"/>
      <c r="CK797" s="124" t="n"/>
      <c r="CL797" s="124" t="n"/>
      <c r="CM797" s="124" t="n"/>
      <c r="CN797" s="124" t="n"/>
      <c r="CO797" s="124" t="n"/>
      <c r="CP797" s="124" t="n"/>
      <c r="CQ797" s="124" t="n"/>
      <c r="CR797" s="124" t="n"/>
      <c r="CS797" s="124" t="n"/>
      <c r="CT797" s="124" t="n"/>
      <c r="CU797" s="124" t="n"/>
      <c r="CV797" s="124" t="n"/>
      <c r="CW797" s="124" t="n"/>
      <c r="CX797" s="124" t="n"/>
      <c r="CY797" s="124" t="n"/>
      <c r="CZ797" s="124" t="n"/>
      <c r="DA797" s="124" t="n"/>
      <c r="DB797" s="124" t="n"/>
      <c r="DC797" s="124" t="n"/>
      <c r="DD797" s="124" t="n"/>
      <c r="DE797" s="124" t="n"/>
      <c r="DF797" s="124" t="n"/>
      <c r="DG797" s="124" t="n"/>
      <c r="DH797" s="124" t="n"/>
      <c r="DI797" s="124" t="n"/>
      <c r="DJ797" s="124" t="n"/>
      <c r="DK797" s="124" t="n"/>
      <c r="DL797" s="124" t="n"/>
      <c r="DM797" s="124" t="n"/>
      <c r="DN797" s="124" t="n"/>
      <c r="DO797" s="124" t="n"/>
      <c r="DP797" s="124" t="n"/>
      <c r="DQ797" s="124" t="n"/>
      <c r="DR797" s="124" t="n"/>
      <c r="DS797" s="124" t="n"/>
      <c r="DT797" s="124" t="n"/>
      <c r="DU797" s="124" t="n"/>
      <c r="DV797" s="124" t="n"/>
      <c r="DW797" s="124" t="n"/>
      <c r="DX797" s="124" t="n"/>
      <c r="DY797" s="124" t="n"/>
      <c r="DZ797" s="124" t="n"/>
      <c r="EA797" s="124" t="n"/>
      <c r="EB797" s="124" t="n"/>
      <c r="EC797" s="124" t="n"/>
      <c r="ED797" s="124" t="n"/>
      <c r="EE797" s="124" t="n"/>
      <c r="EF797" s="124" t="n"/>
      <c r="EG797" s="124" t="n"/>
      <c r="EH797" s="124" t="n"/>
      <c r="EI797" s="124" t="n"/>
      <c r="EJ797" s="124" t="n"/>
      <c r="EK797" s="124" t="n"/>
      <c r="EL797" s="124" t="n"/>
      <c r="EM797" s="124" t="n"/>
      <c r="EN797" s="124" t="n"/>
      <c r="EO797" s="124" t="n"/>
      <c r="EP797" s="124" t="n"/>
      <c r="EQ797" s="124" t="n"/>
      <c r="ER797" s="124" t="n"/>
      <c r="ES797" s="124" t="n"/>
      <c r="ET797" s="124" t="n"/>
      <c r="EU797" s="124" t="n"/>
      <c r="EV797" s="124" t="n"/>
      <c r="EW797" s="124" t="n"/>
      <c r="EX797" s="124" t="n"/>
      <c r="EY797" s="124" t="n"/>
      <c r="EZ797" s="124" t="n"/>
      <c r="FA797" s="124" t="n"/>
      <c r="FB797" s="124" t="n"/>
      <c r="FC797" s="124" t="n"/>
      <c r="FD797" s="124" t="n"/>
      <c r="FE797" s="124" t="n"/>
      <c r="FF797" s="124" t="n"/>
      <c r="FG797" s="124" t="n"/>
      <c r="FH797" s="124" t="n"/>
      <c r="FI797" s="124" t="n"/>
      <c r="FJ797" s="124" t="n"/>
      <c r="FK797" s="124" t="n"/>
      <c r="FL797" s="124" t="n"/>
      <c r="FM797" s="124" t="n"/>
      <c r="FN797" s="124" t="n"/>
      <c r="FO797" s="124" t="n"/>
      <c r="FP797" s="124" t="n"/>
      <c r="FQ797" s="124" t="n"/>
      <c r="FR797" s="124" t="n"/>
      <c r="FS797" s="124" t="n"/>
      <c r="FT797" s="124" t="n"/>
      <c r="FU797" s="124" t="n"/>
      <c r="FV797" s="124" t="n"/>
      <c r="FW797" s="124" t="n"/>
      <c r="FX797" s="124" t="n"/>
      <c r="FY797" s="124" t="n"/>
      <c r="FZ797" s="124" t="n"/>
      <c r="GA797" s="124" t="n"/>
      <c r="GB797" s="124" t="n"/>
      <c r="GC797" s="124" t="n"/>
      <c r="GD797" s="124" t="n"/>
      <c r="GE797" s="124" t="n"/>
      <c r="GF797" s="124" t="n"/>
      <c r="GG797" s="124" t="n"/>
      <c r="GH797" s="124" t="n"/>
      <c r="GI797" s="124" t="n"/>
      <c r="GJ797" s="124" t="n"/>
      <c r="GK797" s="124" t="n"/>
      <c r="GL797" s="124" t="n"/>
      <c r="GM797" s="124" t="n"/>
      <c r="GN797" s="124" t="n"/>
      <c r="GO797" s="124" t="n"/>
      <c r="GP797" s="124" t="n"/>
      <c r="GQ797" s="124" t="n"/>
      <c r="GR797" s="124" t="n"/>
      <c r="GS797" s="124" t="n"/>
      <c r="GT797" s="124" t="n"/>
      <c r="GU797" s="124" t="n"/>
      <c r="GV797" s="124" t="n"/>
      <c r="GW797" s="124" t="n"/>
      <c r="GX797" s="124" t="n"/>
      <c r="GY797" s="124" t="n"/>
      <c r="GZ797" s="124" t="n"/>
      <c r="HA797" s="124" t="n"/>
      <c r="HB797" s="124" t="n"/>
      <c r="HC797" s="124" t="n"/>
      <c r="HD797" s="124" t="n"/>
      <c r="HE797" s="124" t="n"/>
      <c r="HF797" s="124" t="n"/>
      <c r="HG797" s="124" t="n"/>
      <c r="HH797" s="124" t="n"/>
      <c r="HI797" s="124" t="n"/>
      <c r="HJ797" s="124" t="n"/>
      <c r="HK797" s="124" t="n"/>
      <c r="HL797" s="124" t="n"/>
    </row>
    <row r="798" customFormat="1" s="3">
      <c r="A798" s="33" t="n"/>
      <c r="B798" s="34" t="n"/>
      <c r="C798" s="108" t="inlineStr">
        <is>
          <t>Планировка територии, выведение в проектную отметку</t>
        </is>
      </c>
      <c r="D798" s="36" t="inlineStr">
        <is>
          <t>м2</t>
        </is>
      </c>
      <c r="E798" s="131">
        <f>1040+810+330+1975+375+245+1380</f>
        <v/>
      </c>
      <c r="F798" s="124" t="n"/>
      <c r="G798" s="124" t="n"/>
      <c r="H798" s="124" t="n"/>
      <c r="I798" s="124" t="n"/>
      <c r="J798" s="124" t="n"/>
      <c r="K798" s="124" t="n"/>
      <c r="L798" s="124" t="n"/>
      <c r="M798" s="124" t="n"/>
      <c r="N798" s="124" t="n"/>
      <c r="O798" s="124" t="n"/>
      <c r="P798" s="124" t="n"/>
      <c r="Q798" s="124" t="n"/>
      <c r="R798" s="124" t="n"/>
      <c r="S798" s="124" t="n"/>
      <c r="T798" s="124" t="n"/>
      <c r="U798" s="124" t="n"/>
      <c r="V798" s="124" t="n"/>
      <c r="W798" s="124" t="n"/>
      <c r="X798" s="124" t="n"/>
      <c r="Y798" s="124" t="n"/>
      <c r="Z798" s="124" t="n"/>
      <c r="AA798" s="124" t="n"/>
      <c r="AB798" s="124" t="n"/>
      <c r="AC798" s="124" t="n"/>
      <c r="AD798" s="124" t="n"/>
      <c r="AE798" s="124" t="n"/>
      <c r="AF798" s="124" t="n"/>
      <c r="AG798" s="124" t="n"/>
      <c r="AH798" s="124" t="n"/>
      <c r="AI798" s="124" t="n"/>
      <c r="AJ798" s="124" t="n"/>
      <c r="AK798" s="124" t="n"/>
      <c r="AL798" s="124" t="n"/>
      <c r="AM798" s="124" t="n"/>
      <c r="AN798" s="124" t="n"/>
      <c r="AO798" s="124" t="n"/>
      <c r="AP798" s="124" t="n"/>
      <c r="AQ798" s="124" t="n"/>
      <c r="AR798" s="124" t="n"/>
      <c r="AS798" s="124" t="n"/>
      <c r="AT798" s="124" t="n"/>
      <c r="AU798" s="124" t="n"/>
      <c r="AV798" s="124" t="n"/>
      <c r="AW798" s="124" t="n"/>
      <c r="AX798" s="124" t="n"/>
      <c r="AY798" s="124" t="n"/>
      <c r="AZ798" s="124" t="n"/>
      <c r="BA798" s="124" t="n"/>
      <c r="BB798" s="124" t="n"/>
      <c r="BC798" s="124" t="n"/>
      <c r="BD798" s="124" t="n"/>
      <c r="BE798" s="124" t="n"/>
      <c r="BF798" s="124" t="n"/>
      <c r="BG798" s="124" t="n"/>
      <c r="BH798" s="124" t="n"/>
      <c r="BI798" s="124" t="n"/>
      <c r="BJ798" s="124" t="n"/>
      <c r="BK798" s="124" t="n"/>
      <c r="BL798" s="124" t="n"/>
      <c r="BM798" s="124" t="n"/>
      <c r="BN798" s="124" t="n"/>
      <c r="BO798" s="124" t="n"/>
      <c r="BP798" s="124" t="n"/>
      <c r="BQ798" s="124" t="n"/>
      <c r="BR798" s="124" t="n"/>
      <c r="BS798" s="124" t="n"/>
      <c r="BT798" s="124" t="n"/>
      <c r="BU798" s="124" t="n"/>
      <c r="BV798" s="124" t="n"/>
      <c r="BW798" s="124" t="n"/>
      <c r="BX798" s="124" t="n"/>
      <c r="BY798" s="124" t="n"/>
      <c r="BZ798" s="124" t="n"/>
      <c r="CA798" s="124" t="n"/>
      <c r="CB798" s="124" t="n"/>
      <c r="CC798" s="124" t="n"/>
      <c r="CD798" s="124" t="n"/>
      <c r="CE798" s="124" t="n"/>
      <c r="CF798" s="124" t="n"/>
      <c r="CG798" s="124" t="n"/>
      <c r="CH798" s="124" t="n"/>
      <c r="CI798" s="124" t="n"/>
      <c r="CJ798" s="124" t="n"/>
      <c r="CK798" s="124" t="n"/>
      <c r="CL798" s="124" t="n"/>
      <c r="CM798" s="124" t="n"/>
      <c r="CN798" s="124" t="n"/>
      <c r="CO798" s="124" t="n"/>
      <c r="CP798" s="124" t="n"/>
      <c r="CQ798" s="124" t="n"/>
      <c r="CR798" s="124" t="n"/>
      <c r="CS798" s="124" t="n"/>
      <c r="CT798" s="124" t="n"/>
      <c r="CU798" s="124" t="n"/>
      <c r="CV798" s="124" t="n"/>
      <c r="CW798" s="124" t="n"/>
      <c r="CX798" s="124" t="n"/>
      <c r="CY798" s="124" t="n"/>
      <c r="CZ798" s="124" t="n"/>
      <c r="DA798" s="124" t="n"/>
      <c r="DB798" s="124" t="n"/>
      <c r="DC798" s="124" t="n"/>
      <c r="DD798" s="124" t="n"/>
      <c r="DE798" s="124" t="n"/>
      <c r="DF798" s="124" t="n"/>
      <c r="DG798" s="124" t="n"/>
      <c r="DH798" s="124" t="n"/>
      <c r="DI798" s="124" t="n"/>
      <c r="DJ798" s="124" t="n"/>
      <c r="DK798" s="124" t="n"/>
      <c r="DL798" s="124" t="n"/>
      <c r="DM798" s="124" t="n"/>
      <c r="DN798" s="124" t="n"/>
      <c r="DO798" s="124" t="n"/>
      <c r="DP798" s="124" t="n"/>
      <c r="DQ798" s="124" t="n"/>
      <c r="DR798" s="124" t="n"/>
      <c r="DS798" s="124" t="n"/>
      <c r="DT798" s="124" t="n"/>
      <c r="DU798" s="124" t="n"/>
      <c r="DV798" s="124" t="n"/>
      <c r="DW798" s="124" t="n"/>
      <c r="DX798" s="124" t="n"/>
      <c r="DY798" s="124" t="n"/>
      <c r="DZ798" s="124" t="n"/>
      <c r="EA798" s="124" t="n"/>
      <c r="EB798" s="124" t="n"/>
      <c r="EC798" s="124" t="n"/>
      <c r="ED798" s="124" t="n"/>
      <c r="EE798" s="124" t="n"/>
      <c r="EF798" s="124" t="n"/>
      <c r="EG798" s="124" t="n"/>
      <c r="EH798" s="124" t="n"/>
      <c r="EI798" s="124" t="n"/>
      <c r="EJ798" s="124" t="n"/>
      <c r="EK798" s="124" t="n"/>
      <c r="EL798" s="124" t="n"/>
      <c r="EM798" s="124" t="n"/>
      <c r="EN798" s="124" t="n"/>
      <c r="EO798" s="124" t="n"/>
      <c r="EP798" s="124" t="n"/>
      <c r="EQ798" s="124" t="n"/>
      <c r="ER798" s="124" t="n"/>
      <c r="ES798" s="124" t="n"/>
      <c r="ET798" s="124" t="n"/>
      <c r="EU798" s="124" t="n"/>
      <c r="EV798" s="124" t="n"/>
      <c r="EW798" s="124" t="n"/>
      <c r="EX798" s="124" t="n"/>
      <c r="EY798" s="124" t="n"/>
      <c r="EZ798" s="124" t="n"/>
      <c r="FA798" s="124" t="n"/>
      <c r="FB798" s="124" t="n"/>
      <c r="FC798" s="124" t="n"/>
      <c r="FD798" s="124" t="n"/>
      <c r="FE798" s="124" t="n"/>
      <c r="FF798" s="124" t="n"/>
      <c r="FG798" s="124" t="n"/>
      <c r="FH798" s="124" t="n"/>
      <c r="FI798" s="124" t="n"/>
      <c r="FJ798" s="124" t="n"/>
      <c r="FK798" s="124" t="n"/>
      <c r="FL798" s="124" t="n"/>
      <c r="FM798" s="124" t="n"/>
      <c r="FN798" s="124" t="n"/>
      <c r="FO798" s="124" t="n"/>
      <c r="FP798" s="124" t="n"/>
      <c r="FQ798" s="124" t="n"/>
      <c r="FR798" s="124" t="n"/>
      <c r="FS798" s="124" t="n"/>
      <c r="FT798" s="124" t="n"/>
      <c r="FU798" s="124" t="n"/>
      <c r="FV798" s="124" t="n"/>
      <c r="FW798" s="124" t="n"/>
      <c r="FX798" s="124" t="n"/>
      <c r="FY798" s="124" t="n"/>
      <c r="FZ798" s="124" t="n"/>
      <c r="GA798" s="124" t="n"/>
      <c r="GB798" s="124" t="n"/>
      <c r="GC798" s="124" t="n"/>
      <c r="GD798" s="124" t="n"/>
      <c r="GE798" s="124" t="n"/>
      <c r="GF798" s="124" t="n"/>
      <c r="GG798" s="124" t="n"/>
      <c r="GH798" s="124" t="n"/>
      <c r="GI798" s="124" t="n"/>
      <c r="GJ798" s="124" t="n"/>
      <c r="GK798" s="124" t="n"/>
      <c r="GL798" s="124" t="n"/>
      <c r="GM798" s="124" t="n"/>
      <c r="GN798" s="124" t="n"/>
      <c r="GO798" s="124" t="n"/>
      <c r="GP798" s="124" t="n"/>
      <c r="GQ798" s="124" t="n"/>
      <c r="GR798" s="124" t="n"/>
      <c r="GS798" s="124" t="n"/>
      <c r="GT798" s="124" t="n"/>
      <c r="GU798" s="124" t="n"/>
      <c r="GV798" s="124" t="n"/>
      <c r="GW798" s="124" t="n"/>
      <c r="GX798" s="124" t="n"/>
      <c r="GY798" s="124" t="n"/>
      <c r="GZ798" s="124" t="n"/>
      <c r="HA798" s="124" t="n"/>
      <c r="HB798" s="124" t="n"/>
      <c r="HC798" s="124" t="n"/>
      <c r="HD798" s="124" t="n"/>
      <c r="HE798" s="124" t="n"/>
      <c r="HF798" s="124" t="n"/>
      <c r="HG798" s="124" t="n"/>
      <c r="HH798" s="124" t="n"/>
      <c r="HI798" s="124" t="n"/>
      <c r="HJ798" s="124" t="n"/>
      <c r="HK798" s="124" t="n"/>
      <c r="HL798" s="124" t="n"/>
    </row>
    <row r="799" ht="28.8" customFormat="1" customHeight="1" s="3">
      <c r="A799" s="26" t="inlineStr">
        <is>
          <t>7 этап</t>
        </is>
      </c>
      <c r="B799" s="27" t="n"/>
      <c r="C799" s="60" t="inlineStr">
        <is>
          <t>Покрытие Тип 1 (Щебеночное покрытие проездов и площадок</t>
        </is>
      </c>
      <c r="D799" s="54" t="inlineStr">
        <is>
          <t>м2</t>
        </is>
      </c>
      <c r="E799" s="126" t="n">
        <v>810</v>
      </c>
      <c r="F799" s="124" t="n"/>
      <c r="G799" s="124" t="n"/>
      <c r="H799" s="124" t="n"/>
      <c r="I799" s="124" t="n"/>
      <c r="J799" s="124" t="n"/>
      <c r="K799" s="124" t="n"/>
      <c r="L799" s="124" t="n"/>
      <c r="M799" s="124" t="n"/>
      <c r="N799" s="124" t="n"/>
      <c r="O799" s="124" t="n"/>
      <c r="P799" s="124" t="n"/>
      <c r="Q799" s="124" t="n"/>
      <c r="R799" s="124" t="n"/>
      <c r="S799" s="124" t="n"/>
      <c r="T799" s="124" t="n"/>
      <c r="U799" s="124" t="n"/>
      <c r="V799" s="124" t="n"/>
      <c r="W799" s="124" t="n"/>
      <c r="X799" s="124" t="n"/>
      <c r="Y799" s="124" t="n"/>
      <c r="Z799" s="124" t="n"/>
      <c r="AA799" s="124" t="n"/>
      <c r="AB799" s="124" t="n"/>
      <c r="AC799" s="124" t="n"/>
      <c r="AD799" s="124" t="n"/>
      <c r="AE799" s="124" t="n"/>
      <c r="AF799" s="124" t="n"/>
      <c r="AG799" s="124" t="n"/>
      <c r="AH799" s="124" t="n"/>
      <c r="AI799" s="124" t="n"/>
      <c r="AJ799" s="124" t="n"/>
      <c r="AK799" s="124" t="n"/>
      <c r="AL799" s="124" t="n"/>
      <c r="AM799" s="124" t="n"/>
      <c r="AN799" s="124" t="n"/>
      <c r="AO799" s="124" t="n"/>
      <c r="AP799" s="124" t="n"/>
      <c r="AQ799" s="124" t="n"/>
      <c r="AR799" s="124" t="n"/>
      <c r="AS799" s="124" t="n"/>
      <c r="AT799" s="124" t="n"/>
      <c r="AU799" s="124" t="n"/>
      <c r="AV799" s="124" t="n"/>
      <c r="AW799" s="124" t="n"/>
      <c r="AX799" s="124" t="n"/>
      <c r="AY799" s="124" t="n"/>
      <c r="AZ799" s="124" t="n"/>
      <c r="BA799" s="124" t="n"/>
      <c r="BB799" s="124" t="n"/>
      <c r="BC799" s="124" t="n"/>
      <c r="BD799" s="124" t="n"/>
      <c r="BE799" s="124" t="n"/>
      <c r="BF799" s="124" t="n"/>
      <c r="BG799" s="124" t="n"/>
      <c r="BH799" s="124" t="n"/>
      <c r="BI799" s="124" t="n"/>
      <c r="BJ799" s="124" t="n"/>
      <c r="BK799" s="124" t="n"/>
      <c r="BL799" s="124" t="n"/>
      <c r="BM799" s="124" t="n"/>
      <c r="BN799" s="124" t="n"/>
      <c r="BO799" s="124" t="n"/>
      <c r="BP799" s="124" t="n"/>
      <c r="BQ799" s="124" t="n"/>
      <c r="BR799" s="124" t="n"/>
      <c r="BS799" s="124" t="n"/>
      <c r="BT799" s="124" t="n"/>
      <c r="BU799" s="124" t="n"/>
      <c r="BV799" s="124" t="n"/>
      <c r="BW799" s="124" t="n"/>
      <c r="BX799" s="124" t="n"/>
      <c r="BY799" s="124" t="n"/>
      <c r="BZ799" s="124" t="n"/>
      <c r="CA799" s="124" t="n"/>
      <c r="CB799" s="124" t="n"/>
      <c r="CC799" s="124" t="n"/>
      <c r="CD799" s="124" t="n"/>
      <c r="CE799" s="124" t="n"/>
      <c r="CF799" s="124" t="n"/>
      <c r="CG799" s="124" t="n"/>
      <c r="CH799" s="124" t="n"/>
      <c r="CI799" s="124" t="n"/>
      <c r="CJ799" s="124" t="n"/>
      <c r="CK799" s="124" t="n"/>
      <c r="CL799" s="124" t="n"/>
      <c r="CM799" s="124" t="n"/>
      <c r="CN799" s="124" t="n"/>
      <c r="CO799" s="124" t="n"/>
      <c r="CP799" s="124" t="n"/>
      <c r="CQ799" s="124" t="n"/>
      <c r="CR799" s="124" t="n"/>
      <c r="CS799" s="124" t="n"/>
      <c r="CT799" s="124" t="n"/>
      <c r="CU799" s="124" t="n"/>
      <c r="CV799" s="124" t="n"/>
      <c r="CW799" s="124" t="n"/>
      <c r="CX799" s="124" t="n"/>
      <c r="CY799" s="124" t="n"/>
      <c r="CZ799" s="124" t="n"/>
      <c r="DA799" s="124" t="n"/>
      <c r="DB799" s="124" t="n"/>
      <c r="DC799" s="124" t="n"/>
      <c r="DD799" s="124" t="n"/>
      <c r="DE799" s="124" t="n"/>
      <c r="DF799" s="124" t="n"/>
      <c r="DG799" s="124" t="n"/>
      <c r="DH799" s="124" t="n"/>
      <c r="DI799" s="124" t="n"/>
      <c r="DJ799" s="124" t="n"/>
      <c r="DK799" s="124" t="n"/>
      <c r="DL799" s="124" t="n"/>
      <c r="DM799" s="124" t="n"/>
      <c r="DN799" s="124" t="n"/>
      <c r="DO799" s="124" t="n"/>
      <c r="DP799" s="124" t="n"/>
      <c r="DQ799" s="124" t="n"/>
      <c r="DR799" s="124" t="n"/>
      <c r="DS799" s="124" t="n"/>
      <c r="DT799" s="124" t="n"/>
      <c r="DU799" s="124" t="n"/>
      <c r="DV799" s="124" t="n"/>
      <c r="DW799" s="124" t="n"/>
      <c r="DX799" s="124" t="n"/>
      <c r="DY799" s="124" t="n"/>
      <c r="DZ799" s="124" t="n"/>
      <c r="EA799" s="124" t="n"/>
      <c r="EB799" s="124" t="n"/>
      <c r="EC799" s="124" t="n"/>
      <c r="ED799" s="124" t="n"/>
      <c r="EE799" s="124" t="n"/>
      <c r="EF799" s="124" t="n"/>
      <c r="EG799" s="124" t="n"/>
      <c r="EH799" s="124" t="n"/>
      <c r="EI799" s="124" t="n"/>
      <c r="EJ799" s="124" t="n"/>
      <c r="EK799" s="124" t="n"/>
      <c r="EL799" s="124" t="n"/>
      <c r="EM799" s="124" t="n"/>
      <c r="EN799" s="124" t="n"/>
      <c r="EO799" s="124" t="n"/>
      <c r="EP799" s="124" t="n"/>
      <c r="EQ799" s="124" t="n"/>
      <c r="ER799" s="124" t="n"/>
      <c r="ES799" s="124" t="n"/>
      <c r="ET799" s="124" t="n"/>
      <c r="EU799" s="124" t="n"/>
      <c r="EV799" s="124" t="n"/>
      <c r="EW799" s="124" t="n"/>
      <c r="EX799" s="124" t="n"/>
      <c r="EY799" s="124" t="n"/>
      <c r="EZ799" s="124" t="n"/>
      <c r="FA799" s="124" t="n"/>
      <c r="FB799" s="124" t="n"/>
      <c r="FC799" s="124" t="n"/>
      <c r="FD799" s="124" t="n"/>
      <c r="FE799" s="124" t="n"/>
      <c r="FF799" s="124" t="n"/>
      <c r="FG799" s="124" t="n"/>
      <c r="FH799" s="124" t="n"/>
      <c r="FI799" s="124" t="n"/>
      <c r="FJ799" s="124" t="n"/>
      <c r="FK799" s="124" t="n"/>
      <c r="FL799" s="124" t="n"/>
      <c r="FM799" s="124" t="n"/>
      <c r="FN799" s="124" t="n"/>
      <c r="FO799" s="124" t="n"/>
      <c r="FP799" s="124" t="n"/>
      <c r="FQ799" s="124" t="n"/>
      <c r="FR799" s="124" t="n"/>
      <c r="FS799" s="124" t="n"/>
      <c r="FT799" s="124" t="n"/>
      <c r="FU799" s="124" t="n"/>
      <c r="FV799" s="124" t="n"/>
      <c r="FW799" s="124" t="n"/>
      <c r="FX799" s="124" t="n"/>
      <c r="FY799" s="124" t="n"/>
      <c r="FZ799" s="124" t="n"/>
      <c r="GA799" s="124" t="n"/>
      <c r="GB799" s="124" t="n"/>
      <c r="GC799" s="124" t="n"/>
      <c r="GD799" s="124" t="n"/>
      <c r="GE799" s="124" t="n"/>
      <c r="GF799" s="124" t="n"/>
      <c r="GG799" s="124" t="n"/>
      <c r="GH799" s="124" t="n"/>
      <c r="GI799" s="124" t="n"/>
      <c r="GJ799" s="124" t="n"/>
      <c r="GK799" s="124" t="n"/>
      <c r="GL799" s="124" t="n"/>
      <c r="GM799" s="124" t="n"/>
      <c r="GN799" s="124" t="n"/>
      <c r="GO799" s="124" t="n"/>
      <c r="GP799" s="124" t="n"/>
      <c r="GQ799" s="124" t="n"/>
      <c r="GR799" s="124" t="n"/>
      <c r="GS799" s="124" t="n"/>
      <c r="GT799" s="124" t="n"/>
      <c r="GU799" s="124" t="n"/>
      <c r="GV799" s="124" t="n"/>
      <c r="GW799" s="124" t="n"/>
      <c r="GX799" s="124" t="n"/>
      <c r="GY799" s="124" t="n"/>
      <c r="GZ799" s="124" t="n"/>
      <c r="HA799" s="124" t="n"/>
      <c r="HB799" s="124" t="n"/>
      <c r="HC799" s="124" t="n"/>
      <c r="HD799" s="124" t="n"/>
      <c r="HE799" s="124" t="n"/>
      <c r="HF799" s="124" t="n"/>
      <c r="HG799" s="124" t="n"/>
      <c r="HH799" s="124" t="n"/>
      <c r="HI799" s="124" t="n"/>
      <c r="HJ799" s="124" t="n"/>
      <c r="HK799" s="124" t="n"/>
      <c r="HL799" s="124" t="n"/>
    </row>
    <row r="800" customFormat="1" s="3">
      <c r="A800" s="33" t="n"/>
      <c r="B800" s="34" t="n"/>
      <c r="C800" s="38" t="inlineStr">
        <is>
          <t>Уплотнение грунта основания</t>
        </is>
      </c>
      <c r="D800" s="36" t="inlineStr">
        <is>
          <t>м2</t>
        </is>
      </c>
      <c r="E800" s="123">
        <f>810*1.2</f>
        <v/>
      </c>
      <c r="F800" s="124" t="n"/>
      <c r="G800" s="124" t="n"/>
      <c r="H800" s="124" t="n"/>
      <c r="I800" s="124" t="n"/>
      <c r="J800" s="124" t="n"/>
      <c r="K800" s="124" t="n"/>
      <c r="L800" s="124" t="n"/>
      <c r="M800" s="124" t="n"/>
      <c r="N800" s="124" t="n"/>
      <c r="O800" s="124" t="n"/>
      <c r="P800" s="124" t="n"/>
      <c r="Q800" s="124" t="n"/>
      <c r="R800" s="124" t="n"/>
      <c r="S800" s="124" t="n"/>
      <c r="T800" s="124" t="n"/>
      <c r="U800" s="124" t="n"/>
      <c r="V800" s="124" t="n"/>
      <c r="W800" s="124" t="n"/>
      <c r="X800" s="124" t="n"/>
      <c r="Y800" s="124" t="n"/>
      <c r="Z800" s="124" t="n"/>
      <c r="AA800" s="124" t="n"/>
      <c r="AB800" s="124" t="n"/>
      <c r="AC800" s="124" t="n"/>
      <c r="AD800" s="124" t="n"/>
      <c r="AE800" s="124" t="n"/>
      <c r="AF800" s="124" t="n"/>
      <c r="AG800" s="124" t="n"/>
      <c r="AH800" s="124" t="n"/>
      <c r="AI800" s="124" t="n"/>
      <c r="AJ800" s="124" t="n"/>
      <c r="AK800" s="124" t="n"/>
      <c r="AL800" s="124" t="n"/>
      <c r="AM800" s="124" t="n"/>
      <c r="AN800" s="124" t="n"/>
      <c r="AO800" s="124" t="n"/>
      <c r="AP800" s="124" t="n"/>
      <c r="AQ800" s="124" t="n"/>
      <c r="AR800" s="124" t="n"/>
      <c r="AS800" s="124" t="n"/>
      <c r="AT800" s="124" t="n"/>
      <c r="AU800" s="124" t="n"/>
      <c r="AV800" s="124" t="n"/>
      <c r="AW800" s="124" t="n"/>
      <c r="AX800" s="124" t="n"/>
      <c r="AY800" s="124" t="n"/>
      <c r="AZ800" s="124" t="n"/>
      <c r="BA800" s="124" t="n"/>
      <c r="BB800" s="124" t="n"/>
      <c r="BC800" s="124" t="n"/>
      <c r="BD800" s="124" t="n"/>
      <c r="BE800" s="124" t="n"/>
      <c r="BF800" s="124" t="n"/>
      <c r="BG800" s="124" t="n"/>
      <c r="BH800" s="124" t="n"/>
      <c r="BI800" s="124" t="n"/>
      <c r="BJ800" s="124" t="n"/>
      <c r="BK800" s="124" t="n"/>
      <c r="BL800" s="124" t="n"/>
      <c r="BM800" s="124" t="n"/>
      <c r="BN800" s="124" t="n"/>
      <c r="BO800" s="124" t="n"/>
      <c r="BP800" s="124" t="n"/>
      <c r="BQ800" s="124" t="n"/>
      <c r="BR800" s="124" t="n"/>
      <c r="BS800" s="124" t="n"/>
      <c r="BT800" s="124" t="n"/>
      <c r="BU800" s="124" t="n"/>
      <c r="BV800" s="124" t="n"/>
      <c r="BW800" s="124" t="n"/>
      <c r="BX800" s="124" t="n"/>
      <c r="BY800" s="124" t="n"/>
      <c r="BZ800" s="124" t="n"/>
      <c r="CA800" s="124" t="n"/>
      <c r="CB800" s="124" t="n"/>
      <c r="CC800" s="124" t="n"/>
      <c r="CD800" s="124" t="n"/>
      <c r="CE800" s="124" t="n"/>
      <c r="CF800" s="124" t="n"/>
      <c r="CG800" s="124" t="n"/>
      <c r="CH800" s="124" t="n"/>
      <c r="CI800" s="124" t="n"/>
      <c r="CJ800" s="124" t="n"/>
      <c r="CK800" s="124" t="n"/>
      <c r="CL800" s="124" t="n"/>
      <c r="CM800" s="124" t="n"/>
      <c r="CN800" s="124" t="n"/>
      <c r="CO800" s="124" t="n"/>
      <c r="CP800" s="124" t="n"/>
      <c r="CQ800" s="124" t="n"/>
      <c r="CR800" s="124" t="n"/>
      <c r="CS800" s="124" t="n"/>
      <c r="CT800" s="124" t="n"/>
      <c r="CU800" s="124" t="n"/>
      <c r="CV800" s="124" t="n"/>
      <c r="CW800" s="124" t="n"/>
      <c r="CX800" s="124" t="n"/>
      <c r="CY800" s="124" t="n"/>
      <c r="CZ800" s="124" t="n"/>
      <c r="DA800" s="124" t="n"/>
      <c r="DB800" s="124" t="n"/>
      <c r="DC800" s="124" t="n"/>
      <c r="DD800" s="124" t="n"/>
      <c r="DE800" s="124" t="n"/>
      <c r="DF800" s="124" t="n"/>
      <c r="DG800" s="124" t="n"/>
      <c r="DH800" s="124" t="n"/>
      <c r="DI800" s="124" t="n"/>
      <c r="DJ800" s="124" t="n"/>
      <c r="DK800" s="124" t="n"/>
      <c r="DL800" s="124" t="n"/>
      <c r="DM800" s="124" t="n"/>
      <c r="DN800" s="124" t="n"/>
      <c r="DO800" s="124" t="n"/>
      <c r="DP800" s="124" t="n"/>
      <c r="DQ800" s="124" t="n"/>
      <c r="DR800" s="124" t="n"/>
      <c r="DS800" s="124" t="n"/>
      <c r="DT800" s="124" t="n"/>
      <c r="DU800" s="124" t="n"/>
      <c r="DV800" s="124" t="n"/>
      <c r="DW800" s="124" t="n"/>
      <c r="DX800" s="124" t="n"/>
      <c r="DY800" s="124" t="n"/>
      <c r="DZ800" s="124" t="n"/>
      <c r="EA800" s="124" t="n"/>
      <c r="EB800" s="124" t="n"/>
      <c r="EC800" s="124" t="n"/>
      <c r="ED800" s="124" t="n"/>
      <c r="EE800" s="124" t="n"/>
      <c r="EF800" s="124" t="n"/>
      <c r="EG800" s="124" t="n"/>
      <c r="EH800" s="124" t="n"/>
      <c r="EI800" s="124" t="n"/>
      <c r="EJ800" s="124" t="n"/>
      <c r="EK800" s="124" t="n"/>
      <c r="EL800" s="124" t="n"/>
      <c r="EM800" s="124" t="n"/>
      <c r="EN800" s="124" t="n"/>
      <c r="EO800" s="124" t="n"/>
      <c r="EP800" s="124" t="n"/>
      <c r="EQ800" s="124" t="n"/>
      <c r="ER800" s="124" t="n"/>
      <c r="ES800" s="124" t="n"/>
      <c r="ET800" s="124" t="n"/>
      <c r="EU800" s="124" t="n"/>
      <c r="EV800" s="124" t="n"/>
      <c r="EW800" s="124" t="n"/>
      <c r="EX800" s="124" t="n"/>
      <c r="EY800" s="124" t="n"/>
      <c r="EZ800" s="124" t="n"/>
      <c r="FA800" s="124" t="n"/>
      <c r="FB800" s="124" t="n"/>
      <c r="FC800" s="124" t="n"/>
      <c r="FD800" s="124" t="n"/>
      <c r="FE800" s="124" t="n"/>
      <c r="FF800" s="124" t="n"/>
      <c r="FG800" s="124" t="n"/>
      <c r="FH800" s="124" t="n"/>
      <c r="FI800" s="124" t="n"/>
      <c r="FJ800" s="124" t="n"/>
      <c r="FK800" s="124" t="n"/>
      <c r="FL800" s="124" t="n"/>
      <c r="FM800" s="124" t="n"/>
      <c r="FN800" s="124" t="n"/>
      <c r="FO800" s="124" t="n"/>
      <c r="FP800" s="124" t="n"/>
      <c r="FQ800" s="124" t="n"/>
      <c r="FR800" s="124" t="n"/>
      <c r="FS800" s="124" t="n"/>
      <c r="FT800" s="124" t="n"/>
      <c r="FU800" s="124" t="n"/>
      <c r="FV800" s="124" t="n"/>
      <c r="FW800" s="124" t="n"/>
      <c r="FX800" s="124" t="n"/>
      <c r="FY800" s="124" t="n"/>
      <c r="FZ800" s="124" t="n"/>
      <c r="GA800" s="124" t="n"/>
      <c r="GB800" s="124" t="n"/>
      <c r="GC800" s="124" t="n"/>
      <c r="GD800" s="124" t="n"/>
      <c r="GE800" s="124" t="n"/>
      <c r="GF800" s="124" t="n"/>
      <c r="GG800" s="124" t="n"/>
      <c r="GH800" s="124" t="n"/>
      <c r="GI800" s="124" t="n"/>
      <c r="GJ800" s="124" t="n"/>
      <c r="GK800" s="124" t="n"/>
      <c r="GL800" s="124" t="n"/>
      <c r="GM800" s="124" t="n"/>
      <c r="GN800" s="124" t="n"/>
      <c r="GO800" s="124" t="n"/>
      <c r="GP800" s="124" t="n"/>
      <c r="GQ800" s="124" t="n"/>
      <c r="GR800" s="124" t="n"/>
      <c r="GS800" s="124" t="n"/>
      <c r="GT800" s="124" t="n"/>
      <c r="GU800" s="124" t="n"/>
      <c r="GV800" s="124" t="n"/>
      <c r="GW800" s="124" t="n"/>
      <c r="GX800" s="124" t="n"/>
      <c r="GY800" s="124" t="n"/>
      <c r="GZ800" s="124" t="n"/>
      <c r="HA800" s="124" t="n"/>
      <c r="HB800" s="124" t="n"/>
      <c r="HC800" s="124" t="n"/>
      <c r="HD800" s="124" t="n"/>
      <c r="HE800" s="124" t="n"/>
      <c r="HF800" s="124" t="n"/>
      <c r="HG800" s="124" t="n"/>
      <c r="HH800" s="124" t="n"/>
      <c r="HI800" s="124" t="n"/>
      <c r="HJ800" s="124" t="n"/>
      <c r="HK800" s="124" t="n"/>
      <c r="HL800" s="124" t="n"/>
    </row>
    <row r="801" customFormat="1" s="3">
      <c r="A801" s="33" t="n"/>
      <c r="B801" s="34" t="n"/>
      <c r="C801" s="38" t="inlineStr">
        <is>
          <t>Песчано-щебеночная смесь 150мм 40/60</t>
        </is>
      </c>
      <c r="D801" s="36" t="inlineStr">
        <is>
          <t>м2</t>
        </is>
      </c>
      <c r="E801" s="123" t="n">
        <v>972</v>
      </c>
      <c r="F801" s="124" t="n"/>
      <c r="G801" s="124" t="n"/>
      <c r="H801" s="124" t="n"/>
      <c r="I801" s="124" t="n"/>
      <c r="J801" s="124" t="n"/>
      <c r="K801" s="124" t="n"/>
      <c r="L801" s="124" t="n"/>
      <c r="M801" s="124" t="n"/>
      <c r="N801" s="124" t="n"/>
      <c r="O801" s="124" t="n"/>
      <c r="P801" s="124" t="n"/>
      <c r="Q801" s="124" t="n"/>
      <c r="R801" s="124" t="n"/>
      <c r="S801" s="124" t="n"/>
      <c r="T801" s="124" t="n"/>
      <c r="U801" s="124" t="n"/>
      <c r="V801" s="124" t="n"/>
      <c r="W801" s="124" t="n"/>
      <c r="X801" s="124" t="n"/>
      <c r="Y801" s="124" t="n"/>
      <c r="Z801" s="124" t="n"/>
      <c r="AA801" s="124" t="n"/>
      <c r="AB801" s="124" t="n"/>
      <c r="AC801" s="124" t="n"/>
      <c r="AD801" s="124" t="n"/>
      <c r="AE801" s="124" t="n"/>
      <c r="AF801" s="124" t="n"/>
      <c r="AG801" s="124" t="n"/>
      <c r="AH801" s="124" t="n"/>
      <c r="AI801" s="124" t="n"/>
      <c r="AJ801" s="124" t="n"/>
      <c r="AK801" s="124" t="n"/>
      <c r="AL801" s="124" t="n"/>
      <c r="AM801" s="124" t="n"/>
      <c r="AN801" s="124" t="n"/>
      <c r="AO801" s="124" t="n"/>
      <c r="AP801" s="124" t="n"/>
      <c r="AQ801" s="124" t="n"/>
      <c r="AR801" s="124" t="n"/>
      <c r="AS801" s="124" t="n"/>
      <c r="AT801" s="124" t="n"/>
      <c r="AU801" s="124" t="n"/>
      <c r="AV801" s="124" t="n"/>
      <c r="AW801" s="124" t="n"/>
      <c r="AX801" s="124" t="n"/>
      <c r="AY801" s="124" t="n"/>
      <c r="AZ801" s="124" t="n"/>
      <c r="BA801" s="124" t="n"/>
      <c r="BB801" s="124" t="n"/>
      <c r="BC801" s="124" t="n"/>
      <c r="BD801" s="124" t="n"/>
      <c r="BE801" s="124" t="n"/>
      <c r="BF801" s="124" t="n"/>
      <c r="BG801" s="124" t="n"/>
      <c r="BH801" s="124" t="n"/>
      <c r="BI801" s="124" t="n"/>
      <c r="BJ801" s="124" t="n"/>
      <c r="BK801" s="124" t="n"/>
      <c r="BL801" s="124" t="n"/>
      <c r="BM801" s="124" t="n"/>
      <c r="BN801" s="124" t="n"/>
      <c r="BO801" s="124" t="n"/>
      <c r="BP801" s="124" t="n"/>
      <c r="BQ801" s="124" t="n"/>
      <c r="BR801" s="124" t="n"/>
      <c r="BS801" s="124" t="n"/>
      <c r="BT801" s="124" t="n"/>
      <c r="BU801" s="124" t="n"/>
      <c r="BV801" s="124" t="n"/>
      <c r="BW801" s="124" t="n"/>
      <c r="BX801" s="124" t="n"/>
      <c r="BY801" s="124" t="n"/>
      <c r="BZ801" s="124" t="n"/>
      <c r="CA801" s="124" t="n"/>
      <c r="CB801" s="124" t="n"/>
      <c r="CC801" s="124" t="n"/>
      <c r="CD801" s="124" t="n"/>
      <c r="CE801" s="124" t="n"/>
      <c r="CF801" s="124" t="n"/>
      <c r="CG801" s="124" t="n"/>
      <c r="CH801" s="124" t="n"/>
      <c r="CI801" s="124" t="n"/>
      <c r="CJ801" s="124" t="n"/>
      <c r="CK801" s="124" t="n"/>
      <c r="CL801" s="124" t="n"/>
      <c r="CM801" s="124" t="n"/>
      <c r="CN801" s="124" t="n"/>
      <c r="CO801" s="124" t="n"/>
      <c r="CP801" s="124" t="n"/>
      <c r="CQ801" s="124" t="n"/>
      <c r="CR801" s="124" t="n"/>
      <c r="CS801" s="124" t="n"/>
      <c r="CT801" s="124" t="n"/>
      <c r="CU801" s="124" t="n"/>
      <c r="CV801" s="124" t="n"/>
      <c r="CW801" s="124" t="n"/>
      <c r="CX801" s="124" t="n"/>
      <c r="CY801" s="124" t="n"/>
      <c r="CZ801" s="124" t="n"/>
      <c r="DA801" s="124" t="n"/>
      <c r="DB801" s="124" t="n"/>
      <c r="DC801" s="124" t="n"/>
      <c r="DD801" s="124" t="n"/>
      <c r="DE801" s="124" t="n"/>
      <c r="DF801" s="124" t="n"/>
      <c r="DG801" s="124" t="n"/>
      <c r="DH801" s="124" t="n"/>
      <c r="DI801" s="124" t="n"/>
      <c r="DJ801" s="124" t="n"/>
      <c r="DK801" s="124" t="n"/>
      <c r="DL801" s="124" t="n"/>
      <c r="DM801" s="124" t="n"/>
      <c r="DN801" s="124" t="n"/>
      <c r="DO801" s="124" t="n"/>
      <c r="DP801" s="124" t="n"/>
      <c r="DQ801" s="124" t="n"/>
      <c r="DR801" s="124" t="n"/>
      <c r="DS801" s="124" t="n"/>
      <c r="DT801" s="124" t="n"/>
      <c r="DU801" s="124" t="n"/>
      <c r="DV801" s="124" t="n"/>
      <c r="DW801" s="124" t="n"/>
      <c r="DX801" s="124" t="n"/>
      <c r="DY801" s="124" t="n"/>
      <c r="DZ801" s="124" t="n"/>
      <c r="EA801" s="124" t="n"/>
      <c r="EB801" s="124" t="n"/>
      <c r="EC801" s="124" t="n"/>
      <c r="ED801" s="124" t="n"/>
      <c r="EE801" s="124" t="n"/>
      <c r="EF801" s="124" t="n"/>
      <c r="EG801" s="124" t="n"/>
      <c r="EH801" s="124" t="n"/>
      <c r="EI801" s="124" t="n"/>
      <c r="EJ801" s="124" t="n"/>
      <c r="EK801" s="124" t="n"/>
      <c r="EL801" s="124" t="n"/>
      <c r="EM801" s="124" t="n"/>
      <c r="EN801" s="124" t="n"/>
      <c r="EO801" s="124" t="n"/>
      <c r="EP801" s="124" t="n"/>
      <c r="EQ801" s="124" t="n"/>
      <c r="ER801" s="124" t="n"/>
      <c r="ES801" s="124" t="n"/>
      <c r="ET801" s="124" t="n"/>
      <c r="EU801" s="124" t="n"/>
      <c r="EV801" s="124" t="n"/>
      <c r="EW801" s="124" t="n"/>
      <c r="EX801" s="124" t="n"/>
      <c r="EY801" s="124" t="n"/>
      <c r="EZ801" s="124" t="n"/>
      <c r="FA801" s="124" t="n"/>
      <c r="FB801" s="124" t="n"/>
      <c r="FC801" s="124" t="n"/>
      <c r="FD801" s="124" t="n"/>
      <c r="FE801" s="124" t="n"/>
      <c r="FF801" s="124" t="n"/>
      <c r="FG801" s="124" t="n"/>
      <c r="FH801" s="124" t="n"/>
      <c r="FI801" s="124" t="n"/>
      <c r="FJ801" s="124" t="n"/>
      <c r="FK801" s="124" t="n"/>
      <c r="FL801" s="124" t="n"/>
      <c r="FM801" s="124" t="n"/>
      <c r="FN801" s="124" t="n"/>
      <c r="FO801" s="124" t="n"/>
      <c r="FP801" s="124" t="n"/>
      <c r="FQ801" s="124" t="n"/>
      <c r="FR801" s="124" t="n"/>
      <c r="FS801" s="124" t="n"/>
      <c r="FT801" s="124" t="n"/>
      <c r="FU801" s="124" t="n"/>
      <c r="FV801" s="124" t="n"/>
      <c r="FW801" s="124" t="n"/>
      <c r="FX801" s="124" t="n"/>
      <c r="FY801" s="124" t="n"/>
      <c r="FZ801" s="124" t="n"/>
      <c r="GA801" s="124" t="n"/>
      <c r="GB801" s="124" t="n"/>
      <c r="GC801" s="124" t="n"/>
      <c r="GD801" s="124" t="n"/>
      <c r="GE801" s="124" t="n"/>
      <c r="GF801" s="124" t="n"/>
      <c r="GG801" s="124" t="n"/>
      <c r="GH801" s="124" t="n"/>
      <c r="GI801" s="124" t="n"/>
      <c r="GJ801" s="124" t="n"/>
      <c r="GK801" s="124" t="n"/>
      <c r="GL801" s="124" t="n"/>
      <c r="GM801" s="124" t="n"/>
      <c r="GN801" s="124" t="n"/>
      <c r="GO801" s="124" t="n"/>
      <c r="GP801" s="124" t="n"/>
      <c r="GQ801" s="124" t="n"/>
      <c r="GR801" s="124" t="n"/>
      <c r="GS801" s="124" t="n"/>
      <c r="GT801" s="124" t="n"/>
      <c r="GU801" s="124" t="n"/>
      <c r="GV801" s="124" t="n"/>
      <c r="GW801" s="124" t="n"/>
      <c r="GX801" s="124" t="n"/>
      <c r="GY801" s="124" t="n"/>
      <c r="GZ801" s="124" t="n"/>
      <c r="HA801" s="124" t="n"/>
      <c r="HB801" s="124" t="n"/>
      <c r="HC801" s="124" t="n"/>
      <c r="HD801" s="124" t="n"/>
      <c r="HE801" s="124" t="n"/>
      <c r="HF801" s="124" t="n"/>
      <c r="HG801" s="124" t="n"/>
      <c r="HH801" s="124" t="n"/>
      <c r="HI801" s="124" t="n"/>
      <c r="HJ801" s="124" t="n"/>
      <c r="HK801" s="124" t="n"/>
      <c r="HL801" s="124" t="n"/>
    </row>
    <row r="802" ht="55.2" customFormat="1" customHeight="1" s="3">
      <c r="A802" s="33" t="n"/>
      <c r="B802" s="34" t="n"/>
      <c r="C802" s="38" t="inlineStr">
        <is>
          <t>Покрытие щебень фракционированный 20-40 мм с заклинкой-мелким щебнем, марка по прочности не менее 350 МПа, марка по дробимости М800, И-3, F50 по ГОСТ 32703-2014 h- 250мм</t>
        </is>
      </c>
      <c r="D802" s="36" t="inlineStr">
        <is>
          <t>м2</t>
        </is>
      </c>
      <c r="E802" s="123" t="n">
        <v>810</v>
      </c>
      <c r="F802" s="124" t="n"/>
      <c r="G802" s="124" t="n"/>
      <c r="H802" s="124" t="n"/>
      <c r="I802" s="124" t="n"/>
      <c r="J802" s="124" t="n"/>
      <c r="K802" s="124" t="n"/>
      <c r="L802" s="124" t="n"/>
      <c r="M802" s="124" t="n"/>
      <c r="N802" s="124" t="n"/>
      <c r="O802" s="124" t="n"/>
      <c r="P802" s="124" t="n"/>
      <c r="Q802" s="124" t="n"/>
      <c r="R802" s="124" t="n"/>
      <c r="S802" s="124" t="n"/>
      <c r="T802" s="124" t="n"/>
      <c r="U802" s="124" t="n"/>
      <c r="V802" s="124" t="n"/>
      <c r="W802" s="124" t="n"/>
      <c r="X802" s="124" t="n"/>
      <c r="Y802" s="124" t="n"/>
      <c r="Z802" s="124" t="n"/>
      <c r="AA802" s="124" t="n"/>
      <c r="AB802" s="124" t="n"/>
      <c r="AC802" s="124" t="n"/>
      <c r="AD802" s="124" t="n"/>
      <c r="AE802" s="124" t="n"/>
      <c r="AF802" s="124" t="n"/>
      <c r="AG802" s="124" t="n"/>
      <c r="AH802" s="124" t="n"/>
      <c r="AI802" s="124" t="n"/>
      <c r="AJ802" s="124" t="n"/>
      <c r="AK802" s="124" t="n"/>
      <c r="AL802" s="124" t="n"/>
      <c r="AM802" s="124" t="n"/>
      <c r="AN802" s="124" t="n"/>
      <c r="AO802" s="124" t="n"/>
      <c r="AP802" s="124" t="n"/>
      <c r="AQ802" s="124" t="n"/>
      <c r="AR802" s="124" t="n"/>
      <c r="AS802" s="124" t="n"/>
      <c r="AT802" s="124" t="n"/>
      <c r="AU802" s="124" t="n"/>
      <c r="AV802" s="124" t="n"/>
      <c r="AW802" s="124" t="n"/>
      <c r="AX802" s="124" t="n"/>
      <c r="AY802" s="124" t="n"/>
      <c r="AZ802" s="124" t="n"/>
      <c r="BA802" s="124" t="n"/>
      <c r="BB802" s="124" t="n"/>
      <c r="BC802" s="124" t="n"/>
      <c r="BD802" s="124" t="n"/>
      <c r="BE802" s="124" t="n"/>
      <c r="BF802" s="124" t="n"/>
      <c r="BG802" s="124" t="n"/>
      <c r="BH802" s="124" t="n"/>
      <c r="BI802" s="124" t="n"/>
      <c r="BJ802" s="124" t="n"/>
      <c r="BK802" s="124" t="n"/>
      <c r="BL802" s="124" t="n"/>
      <c r="BM802" s="124" t="n"/>
      <c r="BN802" s="124" t="n"/>
      <c r="BO802" s="124" t="n"/>
      <c r="BP802" s="124" t="n"/>
      <c r="BQ802" s="124" t="n"/>
      <c r="BR802" s="124" t="n"/>
      <c r="BS802" s="124" t="n"/>
      <c r="BT802" s="124" t="n"/>
      <c r="BU802" s="124" t="n"/>
      <c r="BV802" s="124" t="n"/>
      <c r="BW802" s="124" t="n"/>
      <c r="BX802" s="124" t="n"/>
      <c r="BY802" s="124" t="n"/>
      <c r="BZ802" s="124" t="n"/>
      <c r="CA802" s="124" t="n"/>
      <c r="CB802" s="124" t="n"/>
      <c r="CC802" s="124" t="n"/>
      <c r="CD802" s="124" t="n"/>
      <c r="CE802" s="124" t="n"/>
      <c r="CF802" s="124" t="n"/>
      <c r="CG802" s="124" t="n"/>
      <c r="CH802" s="124" t="n"/>
      <c r="CI802" s="124" t="n"/>
      <c r="CJ802" s="124" t="n"/>
      <c r="CK802" s="124" t="n"/>
      <c r="CL802" s="124" t="n"/>
      <c r="CM802" s="124" t="n"/>
      <c r="CN802" s="124" t="n"/>
      <c r="CO802" s="124" t="n"/>
      <c r="CP802" s="124" t="n"/>
      <c r="CQ802" s="124" t="n"/>
      <c r="CR802" s="124" t="n"/>
      <c r="CS802" s="124" t="n"/>
      <c r="CT802" s="124" t="n"/>
      <c r="CU802" s="124" t="n"/>
      <c r="CV802" s="124" t="n"/>
      <c r="CW802" s="124" t="n"/>
      <c r="CX802" s="124" t="n"/>
      <c r="CY802" s="124" t="n"/>
      <c r="CZ802" s="124" t="n"/>
      <c r="DA802" s="124" t="n"/>
      <c r="DB802" s="124" t="n"/>
      <c r="DC802" s="124" t="n"/>
      <c r="DD802" s="124" t="n"/>
      <c r="DE802" s="124" t="n"/>
      <c r="DF802" s="124" t="n"/>
      <c r="DG802" s="124" t="n"/>
      <c r="DH802" s="124" t="n"/>
      <c r="DI802" s="124" t="n"/>
      <c r="DJ802" s="124" t="n"/>
      <c r="DK802" s="124" t="n"/>
      <c r="DL802" s="124" t="n"/>
      <c r="DM802" s="124" t="n"/>
      <c r="DN802" s="124" t="n"/>
      <c r="DO802" s="124" t="n"/>
      <c r="DP802" s="124" t="n"/>
      <c r="DQ802" s="124" t="n"/>
      <c r="DR802" s="124" t="n"/>
      <c r="DS802" s="124" t="n"/>
      <c r="DT802" s="124" t="n"/>
      <c r="DU802" s="124" t="n"/>
      <c r="DV802" s="124" t="n"/>
      <c r="DW802" s="124" t="n"/>
      <c r="DX802" s="124" t="n"/>
      <c r="DY802" s="124" t="n"/>
      <c r="DZ802" s="124" t="n"/>
      <c r="EA802" s="124" t="n"/>
      <c r="EB802" s="124" t="n"/>
      <c r="EC802" s="124" t="n"/>
      <c r="ED802" s="124" t="n"/>
      <c r="EE802" s="124" t="n"/>
      <c r="EF802" s="124" t="n"/>
      <c r="EG802" s="124" t="n"/>
      <c r="EH802" s="124" t="n"/>
      <c r="EI802" s="124" t="n"/>
      <c r="EJ802" s="124" t="n"/>
      <c r="EK802" s="124" t="n"/>
      <c r="EL802" s="124" t="n"/>
      <c r="EM802" s="124" t="n"/>
      <c r="EN802" s="124" t="n"/>
      <c r="EO802" s="124" t="n"/>
      <c r="EP802" s="124" t="n"/>
      <c r="EQ802" s="124" t="n"/>
      <c r="ER802" s="124" t="n"/>
      <c r="ES802" s="124" t="n"/>
      <c r="ET802" s="124" t="n"/>
      <c r="EU802" s="124" t="n"/>
      <c r="EV802" s="124" t="n"/>
      <c r="EW802" s="124" t="n"/>
      <c r="EX802" s="124" t="n"/>
      <c r="EY802" s="124" t="n"/>
      <c r="EZ802" s="124" t="n"/>
      <c r="FA802" s="124" t="n"/>
      <c r="FB802" s="124" t="n"/>
      <c r="FC802" s="124" t="n"/>
      <c r="FD802" s="124" t="n"/>
      <c r="FE802" s="124" t="n"/>
      <c r="FF802" s="124" t="n"/>
      <c r="FG802" s="124" t="n"/>
      <c r="FH802" s="124" t="n"/>
      <c r="FI802" s="124" t="n"/>
      <c r="FJ802" s="124" t="n"/>
      <c r="FK802" s="124" t="n"/>
      <c r="FL802" s="124" t="n"/>
      <c r="FM802" s="124" t="n"/>
      <c r="FN802" s="124" t="n"/>
      <c r="FO802" s="124" t="n"/>
      <c r="FP802" s="124" t="n"/>
      <c r="FQ802" s="124" t="n"/>
      <c r="FR802" s="124" t="n"/>
      <c r="FS802" s="124" t="n"/>
      <c r="FT802" s="124" t="n"/>
      <c r="FU802" s="124" t="n"/>
      <c r="FV802" s="124" t="n"/>
      <c r="FW802" s="124" t="n"/>
      <c r="FX802" s="124" t="n"/>
      <c r="FY802" s="124" t="n"/>
      <c r="FZ802" s="124" t="n"/>
      <c r="GA802" s="124" t="n"/>
      <c r="GB802" s="124" t="n"/>
      <c r="GC802" s="124" t="n"/>
      <c r="GD802" s="124" t="n"/>
      <c r="GE802" s="124" t="n"/>
      <c r="GF802" s="124" t="n"/>
      <c r="GG802" s="124" t="n"/>
      <c r="GH802" s="124" t="n"/>
      <c r="GI802" s="124" t="n"/>
      <c r="GJ802" s="124" t="n"/>
      <c r="GK802" s="124" t="n"/>
      <c r="GL802" s="124" t="n"/>
      <c r="GM802" s="124" t="n"/>
      <c r="GN802" s="124" t="n"/>
      <c r="GO802" s="124" t="n"/>
      <c r="GP802" s="124" t="n"/>
      <c r="GQ802" s="124" t="n"/>
      <c r="GR802" s="124" t="n"/>
      <c r="GS802" s="124" t="n"/>
      <c r="GT802" s="124" t="n"/>
      <c r="GU802" s="124" t="n"/>
      <c r="GV802" s="124" t="n"/>
      <c r="GW802" s="124" t="n"/>
      <c r="GX802" s="124" t="n"/>
      <c r="GY802" s="124" t="n"/>
      <c r="GZ802" s="124" t="n"/>
      <c r="HA802" s="124" t="n"/>
      <c r="HB802" s="124" t="n"/>
      <c r="HC802" s="124" t="n"/>
      <c r="HD802" s="124" t="n"/>
      <c r="HE802" s="124" t="n"/>
      <c r="HF802" s="124" t="n"/>
      <c r="HG802" s="124" t="n"/>
      <c r="HH802" s="124" t="n"/>
      <c r="HI802" s="124" t="n"/>
      <c r="HJ802" s="124" t="n"/>
      <c r="HK802" s="124" t="n"/>
      <c r="HL802" s="124" t="n"/>
    </row>
    <row r="803" customFormat="1" s="3">
      <c r="A803" s="33" t="n"/>
      <c r="B803" s="34" t="n"/>
      <c r="C803" s="38" t="inlineStr">
        <is>
          <t>Обочина щебень фракционированный, уложенный 150мм</t>
        </is>
      </c>
      <c r="D803" s="36" t="inlineStr">
        <is>
          <t>м2</t>
        </is>
      </c>
      <c r="E803" s="123" t="n">
        <v>330</v>
      </c>
      <c r="F803" s="124" t="n"/>
      <c r="G803" s="124" t="n"/>
      <c r="H803" s="124" t="n"/>
      <c r="I803" s="124" t="n"/>
      <c r="J803" s="124" t="n"/>
      <c r="K803" s="124" t="n"/>
      <c r="L803" s="124" t="n"/>
      <c r="M803" s="124" t="n"/>
      <c r="N803" s="124" t="n"/>
      <c r="O803" s="124" t="n"/>
      <c r="P803" s="124" t="n"/>
      <c r="Q803" s="124" t="n"/>
      <c r="R803" s="124" t="n"/>
      <c r="S803" s="124" t="n"/>
      <c r="T803" s="124" t="n"/>
      <c r="U803" s="124" t="n"/>
      <c r="V803" s="124" t="n"/>
      <c r="W803" s="124" t="n"/>
      <c r="X803" s="124" t="n"/>
      <c r="Y803" s="124" t="n"/>
      <c r="Z803" s="124" t="n"/>
      <c r="AA803" s="124" t="n"/>
      <c r="AB803" s="124" t="n"/>
      <c r="AC803" s="124" t="n"/>
      <c r="AD803" s="124" t="n"/>
      <c r="AE803" s="124" t="n"/>
      <c r="AF803" s="124" t="n"/>
      <c r="AG803" s="124" t="n"/>
      <c r="AH803" s="124" t="n"/>
      <c r="AI803" s="124" t="n"/>
      <c r="AJ803" s="124" t="n"/>
      <c r="AK803" s="124" t="n"/>
      <c r="AL803" s="124" t="n"/>
      <c r="AM803" s="124" t="n"/>
      <c r="AN803" s="124" t="n"/>
      <c r="AO803" s="124" t="n"/>
      <c r="AP803" s="124" t="n"/>
      <c r="AQ803" s="124" t="n"/>
      <c r="AR803" s="124" t="n"/>
      <c r="AS803" s="124" t="n"/>
      <c r="AT803" s="124" t="n"/>
      <c r="AU803" s="124" t="n"/>
      <c r="AV803" s="124" t="n"/>
      <c r="AW803" s="124" t="n"/>
      <c r="AX803" s="124" t="n"/>
      <c r="AY803" s="124" t="n"/>
      <c r="AZ803" s="124" t="n"/>
      <c r="BA803" s="124" t="n"/>
      <c r="BB803" s="124" t="n"/>
      <c r="BC803" s="124" t="n"/>
      <c r="BD803" s="124" t="n"/>
      <c r="BE803" s="124" t="n"/>
      <c r="BF803" s="124" t="n"/>
      <c r="BG803" s="124" t="n"/>
      <c r="BH803" s="124" t="n"/>
      <c r="BI803" s="124" t="n"/>
      <c r="BJ803" s="124" t="n"/>
      <c r="BK803" s="124" t="n"/>
      <c r="BL803" s="124" t="n"/>
      <c r="BM803" s="124" t="n"/>
      <c r="BN803" s="124" t="n"/>
      <c r="BO803" s="124" t="n"/>
      <c r="BP803" s="124" t="n"/>
      <c r="BQ803" s="124" t="n"/>
      <c r="BR803" s="124" t="n"/>
      <c r="BS803" s="124" t="n"/>
      <c r="BT803" s="124" t="n"/>
      <c r="BU803" s="124" t="n"/>
      <c r="BV803" s="124" t="n"/>
      <c r="BW803" s="124" t="n"/>
      <c r="BX803" s="124" t="n"/>
      <c r="BY803" s="124" t="n"/>
      <c r="BZ803" s="124" t="n"/>
      <c r="CA803" s="124" t="n"/>
      <c r="CB803" s="124" t="n"/>
      <c r="CC803" s="124" t="n"/>
      <c r="CD803" s="124" t="n"/>
      <c r="CE803" s="124" t="n"/>
      <c r="CF803" s="124" t="n"/>
      <c r="CG803" s="124" t="n"/>
      <c r="CH803" s="124" t="n"/>
      <c r="CI803" s="124" t="n"/>
      <c r="CJ803" s="124" t="n"/>
      <c r="CK803" s="124" t="n"/>
      <c r="CL803" s="124" t="n"/>
      <c r="CM803" s="124" t="n"/>
      <c r="CN803" s="124" t="n"/>
      <c r="CO803" s="124" t="n"/>
      <c r="CP803" s="124" t="n"/>
      <c r="CQ803" s="124" t="n"/>
      <c r="CR803" s="124" t="n"/>
      <c r="CS803" s="124" t="n"/>
      <c r="CT803" s="124" t="n"/>
      <c r="CU803" s="124" t="n"/>
      <c r="CV803" s="124" t="n"/>
      <c r="CW803" s="124" t="n"/>
      <c r="CX803" s="124" t="n"/>
      <c r="CY803" s="124" t="n"/>
      <c r="CZ803" s="124" t="n"/>
      <c r="DA803" s="124" t="n"/>
      <c r="DB803" s="124" t="n"/>
      <c r="DC803" s="124" t="n"/>
      <c r="DD803" s="124" t="n"/>
      <c r="DE803" s="124" t="n"/>
      <c r="DF803" s="124" t="n"/>
      <c r="DG803" s="124" t="n"/>
      <c r="DH803" s="124" t="n"/>
      <c r="DI803" s="124" t="n"/>
      <c r="DJ803" s="124" t="n"/>
      <c r="DK803" s="124" t="n"/>
      <c r="DL803" s="124" t="n"/>
      <c r="DM803" s="124" t="n"/>
      <c r="DN803" s="124" t="n"/>
      <c r="DO803" s="124" t="n"/>
      <c r="DP803" s="124" t="n"/>
      <c r="DQ803" s="124" t="n"/>
      <c r="DR803" s="124" t="n"/>
      <c r="DS803" s="124" t="n"/>
      <c r="DT803" s="124" t="n"/>
      <c r="DU803" s="124" t="n"/>
      <c r="DV803" s="124" t="n"/>
      <c r="DW803" s="124" t="n"/>
      <c r="DX803" s="124" t="n"/>
      <c r="DY803" s="124" t="n"/>
      <c r="DZ803" s="124" t="n"/>
      <c r="EA803" s="124" t="n"/>
      <c r="EB803" s="124" t="n"/>
      <c r="EC803" s="124" t="n"/>
      <c r="ED803" s="124" t="n"/>
      <c r="EE803" s="124" t="n"/>
      <c r="EF803" s="124" t="n"/>
      <c r="EG803" s="124" t="n"/>
      <c r="EH803" s="124" t="n"/>
      <c r="EI803" s="124" t="n"/>
      <c r="EJ803" s="124" t="n"/>
      <c r="EK803" s="124" t="n"/>
      <c r="EL803" s="124" t="n"/>
      <c r="EM803" s="124" t="n"/>
      <c r="EN803" s="124" t="n"/>
      <c r="EO803" s="124" t="n"/>
      <c r="EP803" s="124" t="n"/>
      <c r="EQ803" s="124" t="n"/>
      <c r="ER803" s="124" t="n"/>
      <c r="ES803" s="124" t="n"/>
      <c r="ET803" s="124" t="n"/>
      <c r="EU803" s="124" t="n"/>
      <c r="EV803" s="124" t="n"/>
      <c r="EW803" s="124" t="n"/>
      <c r="EX803" s="124" t="n"/>
      <c r="EY803" s="124" t="n"/>
      <c r="EZ803" s="124" t="n"/>
      <c r="FA803" s="124" t="n"/>
      <c r="FB803" s="124" t="n"/>
      <c r="FC803" s="124" t="n"/>
      <c r="FD803" s="124" t="n"/>
      <c r="FE803" s="124" t="n"/>
      <c r="FF803" s="124" t="n"/>
      <c r="FG803" s="124" t="n"/>
      <c r="FH803" s="124" t="n"/>
      <c r="FI803" s="124" t="n"/>
      <c r="FJ803" s="124" t="n"/>
      <c r="FK803" s="124" t="n"/>
      <c r="FL803" s="124" t="n"/>
      <c r="FM803" s="124" t="n"/>
      <c r="FN803" s="124" t="n"/>
      <c r="FO803" s="124" t="n"/>
      <c r="FP803" s="124" t="n"/>
      <c r="FQ803" s="124" t="n"/>
      <c r="FR803" s="124" t="n"/>
      <c r="FS803" s="124" t="n"/>
      <c r="FT803" s="124" t="n"/>
      <c r="FU803" s="124" t="n"/>
      <c r="FV803" s="124" t="n"/>
      <c r="FW803" s="124" t="n"/>
      <c r="FX803" s="124" t="n"/>
      <c r="FY803" s="124" t="n"/>
      <c r="FZ803" s="124" t="n"/>
      <c r="GA803" s="124" t="n"/>
      <c r="GB803" s="124" t="n"/>
      <c r="GC803" s="124" t="n"/>
      <c r="GD803" s="124" t="n"/>
      <c r="GE803" s="124" t="n"/>
      <c r="GF803" s="124" t="n"/>
      <c r="GG803" s="124" t="n"/>
      <c r="GH803" s="124" t="n"/>
      <c r="GI803" s="124" t="n"/>
      <c r="GJ803" s="124" t="n"/>
      <c r="GK803" s="124" t="n"/>
      <c r="GL803" s="124" t="n"/>
      <c r="GM803" s="124" t="n"/>
      <c r="GN803" s="124" t="n"/>
      <c r="GO803" s="124" t="n"/>
      <c r="GP803" s="124" t="n"/>
      <c r="GQ803" s="124" t="n"/>
      <c r="GR803" s="124" t="n"/>
      <c r="GS803" s="124" t="n"/>
      <c r="GT803" s="124" t="n"/>
      <c r="GU803" s="124" t="n"/>
      <c r="GV803" s="124" t="n"/>
      <c r="GW803" s="124" t="n"/>
      <c r="GX803" s="124" t="n"/>
      <c r="GY803" s="124" t="n"/>
      <c r="GZ803" s="124" t="n"/>
      <c r="HA803" s="124" t="n"/>
      <c r="HB803" s="124" t="n"/>
      <c r="HC803" s="124" t="n"/>
      <c r="HD803" s="124" t="n"/>
      <c r="HE803" s="124" t="n"/>
      <c r="HF803" s="124" t="n"/>
      <c r="HG803" s="124" t="n"/>
      <c r="HH803" s="124" t="n"/>
      <c r="HI803" s="124" t="n"/>
      <c r="HJ803" s="124" t="n"/>
      <c r="HK803" s="124" t="n"/>
      <c r="HL803" s="124" t="n"/>
    </row>
    <row r="804" ht="28.8" customFormat="1" customHeight="1" s="3">
      <c r="A804" s="26" t="inlineStr">
        <is>
          <t>7 этап</t>
        </is>
      </c>
      <c r="B804" s="27" t="n"/>
      <c r="C804" s="60" t="inlineStr">
        <is>
          <t>Покрытие Tип 11 из брусчатки с возможностью проезда</t>
        </is>
      </c>
      <c r="D804" s="54" t="inlineStr">
        <is>
          <t>м2</t>
        </is>
      </c>
      <c r="E804" s="126" t="n">
        <v>1975</v>
      </c>
      <c r="F804" s="124" t="n"/>
      <c r="G804" s="124" t="n"/>
      <c r="H804" s="124" t="n"/>
      <c r="I804" s="124" t="n"/>
      <c r="J804" s="124" t="n"/>
      <c r="K804" s="124" t="n"/>
      <c r="L804" s="124" t="n"/>
      <c r="M804" s="124" t="n"/>
      <c r="N804" s="124" t="n"/>
      <c r="O804" s="124" t="n"/>
      <c r="P804" s="124" t="n"/>
      <c r="Q804" s="124" t="n"/>
      <c r="R804" s="124" t="n"/>
      <c r="S804" s="124" t="n"/>
      <c r="T804" s="124" t="n"/>
      <c r="U804" s="124" t="n"/>
      <c r="V804" s="124" t="n"/>
      <c r="W804" s="124" t="n"/>
      <c r="X804" s="124" t="n"/>
      <c r="Y804" s="124" t="n"/>
      <c r="Z804" s="124" t="n"/>
      <c r="AA804" s="124" t="n"/>
      <c r="AB804" s="124" t="n"/>
      <c r="AC804" s="124" t="n"/>
      <c r="AD804" s="124" t="n"/>
      <c r="AE804" s="124" t="n"/>
      <c r="AF804" s="124" t="n"/>
      <c r="AG804" s="124" t="n"/>
      <c r="AH804" s="124" t="n"/>
      <c r="AI804" s="124" t="n"/>
      <c r="AJ804" s="124" t="n"/>
      <c r="AK804" s="124" t="n"/>
      <c r="AL804" s="124" t="n"/>
      <c r="AM804" s="124" t="n"/>
      <c r="AN804" s="124" t="n"/>
      <c r="AO804" s="124" t="n"/>
      <c r="AP804" s="124" t="n"/>
      <c r="AQ804" s="124" t="n"/>
      <c r="AR804" s="124" t="n"/>
      <c r="AS804" s="124" t="n"/>
      <c r="AT804" s="124" t="n"/>
      <c r="AU804" s="124" t="n"/>
      <c r="AV804" s="124" t="n"/>
      <c r="AW804" s="124" t="n"/>
      <c r="AX804" s="124" t="n"/>
      <c r="AY804" s="124" t="n"/>
      <c r="AZ804" s="124" t="n"/>
      <c r="BA804" s="124" t="n"/>
      <c r="BB804" s="124" t="n"/>
      <c r="BC804" s="124" t="n"/>
      <c r="BD804" s="124" t="n"/>
      <c r="BE804" s="124" t="n"/>
      <c r="BF804" s="124" t="n"/>
      <c r="BG804" s="124" t="n"/>
      <c r="BH804" s="124" t="n"/>
      <c r="BI804" s="124" t="n"/>
      <c r="BJ804" s="124" t="n"/>
      <c r="BK804" s="124" t="n"/>
      <c r="BL804" s="124" t="n"/>
      <c r="BM804" s="124" t="n"/>
      <c r="BN804" s="124" t="n"/>
      <c r="BO804" s="124" t="n"/>
      <c r="BP804" s="124" t="n"/>
      <c r="BQ804" s="124" t="n"/>
      <c r="BR804" s="124" t="n"/>
      <c r="BS804" s="124" t="n"/>
      <c r="BT804" s="124" t="n"/>
      <c r="BU804" s="124" t="n"/>
      <c r="BV804" s="124" t="n"/>
      <c r="BW804" s="124" t="n"/>
      <c r="BX804" s="124" t="n"/>
      <c r="BY804" s="124" t="n"/>
      <c r="BZ804" s="124" t="n"/>
      <c r="CA804" s="124" t="n"/>
      <c r="CB804" s="124" t="n"/>
      <c r="CC804" s="124" t="n"/>
      <c r="CD804" s="124" t="n"/>
      <c r="CE804" s="124" t="n"/>
      <c r="CF804" s="124" t="n"/>
      <c r="CG804" s="124" t="n"/>
      <c r="CH804" s="124" t="n"/>
      <c r="CI804" s="124" t="n"/>
      <c r="CJ804" s="124" t="n"/>
      <c r="CK804" s="124" t="n"/>
      <c r="CL804" s="124" t="n"/>
      <c r="CM804" s="124" t="n"/>
      <c r="CN804" s="124" t="n"/>
      <c r="CO804" s="124" t="n"/>
      <c r="CP804" s="124" t="n"/>
      <c r="CQ804" s="124" t="n"/>
      <c r="CR804" s="124" t="n"/>
      <c r="CS804" s="124" t="n"/>
      <c r="CT804" s="124" t="n"/>
      <c r="CU804" s="124" t="n"/>
      <c r="CV804" s="124" t="n"/>
      <c r="CW804" s="124" t="n"/>
      <c r="CX804" s="124" t="n"/>
      <c r="CY804" s="124" t="n"/>
      <c r="CZ804" s="124" t="n"/>
      <c r="DA804" s="124" t="n"/>
      <c r="DB804" s="124" t="n"/>
      <c r="DC804" s="124" t="n"/>
      <c r="DD804" s="124" t="n"/>
      <c r="DE804" s="124" t="n"/>
      <c r="DF804" s="124" t="n"/>
      <c r="DG804" s="124" t="n"/>
      <c r="DH804" s="124" t="n"/>
      <c r="DI804" s="124" t="n"/>
      <c r="DJ804" s="124" t="n"/>
      <c r="DK804" s="124" t="n"/>
      <c r="DL804" s="124" t="n"/>
      <c r="DM804" s="124" t="n"/>
      <c r="DN804" s="124" t="n"/>
      <c r="DO804" s="124" t="n"/>
      <c r="DP804" s="124" t="n"/>
      <c r="DQ804" s="124" t="n"/>
      <c r="DR804" s="124" t="n"/>
      <c r="DS804" s="124" t="n"/>
      <c r="DT804" s="124" t="n"/>
      <c r="DU804" s="124" t="n"/>
      <c r="DV804" s="124" t="n"/>
      <c r="DW804" s="124" t="n"/>
      <c r="DX804" s="124" t="n"/>
      <c r="DY804" s="124" t="n"/>
      <c r="DZ804" s="124" t="n"/>
      <c r="EA804" s="124" t="n"/>
      <c r="EB804" s="124" t="n"/>
      <c r="EC804" s="124" t="n"/>
      <c r="ED804" s="124" t="n"/>
      <c r="EE804" s="124" t="n"/>
      <c r="EF804" s="124" t="n"/>
      <c r="EG804" s="124" t="n"/>
      <c r="EH804" s="124" t="n"/>
      <c r="EI804" s="124" t="n"/>
      <c r="EJ804" s="124" t="n"/>
      <c r="EK804" s="124" t="n"/>
      <c r="EL804" s="124" t="n"/>
      <c r="EM804" s="124" t="n"/>
      <c r="EN804" s="124" t="n"/>
      <c r="EO804" s="124" t="n"/>
      <c r="EP804" s="124" t="n"/>
      <c r="EQ804" s="124" t="n"/>
      <c r="ER804" s="124" t="n"/>
      <c r="ES804" s="124" t="n"/>
      <c r="ET804" s="124" t="n"/>
      <c r="EU804" s="124" t="n"/>
      <c r="EV804" s="124" t="n"/>
      <c r="EW804" s="124" t="n"/>
      <c r="EX804" s="124" t="n"/>
      <c r="EY804" s="124" t="n"/>
      <c r="EZ804" s="124" t="n"/>
      <c r="FA804" s="124" t="n"/>
      <c r="FB804" s="124" t="n"/>
      <c r="FC804" s="124" t="n"/>
      <c r="FD804" s="124" t="n"/>
      <c r="FE804" s="124" t="n"/>
      <c r="FF804" s="124" t="n"/>
      <c r="FG804" s="124" t="n"/>
      <c r="FH804" s="124" t="n"/>
      <c r="FI804" s="124" t="n"/>
      <c r="FJ804" s="124" t="n"/>
      <c r="FK804" s="124" t="n"/>
      <c r="FL804" s="124" t="n"/>
      <c r="FM804" s="124" t="n"/>
      <c r="FN804" s="124" t="n"/>
      <c r="FO804" s="124" t="n"/>
      <c r="FP804" s="124" t="n"/>
      <c r="FQ804" s="124" t="n"/>
      <c r="FR804" s="124" t="n"/>
      <c r="FS804" s="124" t="n"/>
      <c r="FT804" s="124" t="n"/>
      <c r="FU804" s="124" t="n"/>
      <c r="FV804" s="124" t="n"/>
      <c r="FW804" s="124" t="n"/>
      <c r="FX804" s="124" t="n"/>
      <c r="FY804" s="124" t="n"/>
      <c r="FZ804" s="124" t="n"/>
      <c r="GA804" s="124" t="n"/>
      <c r="GB804" s="124" t="n"/>
      <c r="GC804" s="124" t="n"/>
      <c r="GD804" s="124" t="n"/>
      <c r="GE804" s="124" t="n"/>
      <c r="GF804" s="124" t="n"/>
      <c r="GG804" s="124" t="n"/>
      <c r="GH804" s="124" t="n"/>
      <c r="GI804" s="124" t="n"/>
      <c r="GJ804" s="124" t="n"/>
      <c r="GK804" s="124" t="n"/>
      <c r="GL804" s="124" t="n"/>
      <c r="GM804" s="124" t="n"/>
      <c r="GN804" s="124" t="n"/>
      <c r="GO804" s="124" t="n"/>
      <c r="GP804" s="124" t="n"/>
      <c r="GQ804" s="124" t="n"/>
      <c r="GR804" s="124" t="n"/>
      <c r="GS804" s="124" t="n"/>
      <c r="GT804" s="124" t="n"/>
      <c r="GU804" s="124" t="n"/>
      <c r="GV804" s="124" t="n"/>
      <c r="GW804" s="124" t="n"/>
      <c r="GX804" s="124" t="n"/>
      <c r="GY804" s="124" t="n"/>
      <c r="GZ804" s="124" t="n"/>
      <c r="HA804" s="124" t="n"/>
      <c r="HB804" s="124" t="n"/>
      <c r="HC804" s="124" t="n"/>
      <c r="HD804" s="124" t="n"/>
      <c r="HE804" s="124" t="n"/>
      <c r="HF804" s="124" t="n"/>
      <c r="HG804" s="124" t="n"/>
      <c r="HH804" s="124" t="n"/>
      <c r="HI804" s="124" t="n"/>
      <c r="HJ804" s="124" t="n"/>
      <c r="HK804" s="124" t="n"/>
      <c r="HL804" s="124" t="n"/>
    </row>
    <row r="805" customFormat="1" s="3">
      <c r="A805" s="33" t="n"/>
      <c r="B805" s="34" t="n"/>
      <c r="C805" s="38" t="inlineStr">
        <is>
          <t>Уплотнение грунта основания</t>
        </is>
      </c>
      <c r="D805" s="36" t="inlineStr">
        <is>
          <t>м2</t>
        </is>
      </c>
      <c r="E805" s="123">
        <f>E804*1.2</f>
        <v/>
      </c>
      <c r="F805" s="124" t="n"/>
      <c r="G805" s="124" t="n"/>
      <c r="H805" s="124" t="n"/>
      <c r="I805" s="124" t="n"/>
      <c r="J805" s="124" t="n"/>
      <c r="K805" s="124" t="n"/>
      <c r="L805" s="124" t="n"/>
      <c r="M805" s="124" t="n"/>
      <c r="N805" s="124" t="n"/>
      <c r="O805" s="124" t="n"/>
      <c r="P805" s="124" t="n"/>
      <c r="Q805" s="124" t="n"/>
      <c r="R805" s="124" t="n"/>
      <c r="S805" s="124" t="n"/>
      <c r="T805" s="124" t="n"/>
      <c r="U805" s="124" t="n"/>
      <c r="V805" s="124" t="n"/>
      <c r="W805" s="124" t="n"/>
      <c r="X805" s="124" t="n"/>
      <c r="Y805" s="124" t="n"/>
      <c r="Z805" s="124" t="n"/>
      <c r="AA805" s="124" t="n"/>
      <c r="AB805" s="124" t="n"/>
      <c r="AC805" s="124" t="n"/>
      <c r="AD805" s="124" t="n"/>
      <c r="AE805" s="124" t="n"/>
      <c r="AF805" s="124" t="n"/>
      <c r="AG805" s="124" t="n"/>
      <c r="AH805" s="124" t="n"/>
      <c r="AI805" s="124" t="n"/>
      <c r="AJ805" s="124" t="n"/>
      <c r="AK805" s="124" t="n"/>
      <c r="AL805" s="124" t="n"/>
      <c r="AM805" s="124" t="n"/>
      <c r="AN805" s="124" t="n"/>
      <c r="AO805" s="124" t="n"/>
      <c r="AP805" s="124" t="n"/>
      <c r="AQ805" s="124" t="n"/>
      <c r="AR805" s="124" t="n"/>
      <c r="AS805" s="124" t="n"/>
      <c r="AT805" s="124" t="n"/>
      <c r="AU805" s="124" t="n"/>
      <c r="AV805" s="124" t="n"/>
      <c r="AW805" s="124" t="n"/>
      <c r="AX805" s="124" t="n"/>
      <c r="AY805" s="124" t="n"/>
      <c r="AZ805" s="124" t="n"/>
      <c r="BA805" s="124" t="n"/>
      <c r="BB805" s="124" t="n"/>
      <c r="BC805" s="124" t="n"/>
      <c r="BD805" s="124" t="n"/>
      <c r="BE805" s="124" t="n"/>
      <c r="BF805" s="124" t="n"/>
      <c r="BG805" s="124" t="n"/>
      <c r="BH805" s="124" t="n"/>
      <c r="BI805" s="124" t="n"/>
      <c r="BJ805" s="124" t="n"/>
      <c r="BK805" s="124" t="n"/>
      <c r="BL805" s="124" t="n"/>
      <c r="BM805" s="124" t="n"/>
      <c r="BN805" s="124" t="n"/>
      <c r="BO805" s="124" t="n"/>
      <c r="BP805" s="124" t="n"/>
      <c r="BQ805" s="124" t="n"/>
      <c r="BR805" s="124" t="n"/>
      <c r="BS805" s="124" t="n"/>
      <c r="BT805" s="124" t="n"/>
      <c r="BU805" s="124" t="n"/>
      <c r="BV805" s="124" t="n"/>
      <c r="BW805" s="124" t="n"/>
      <c r="BX805" s="124" t="n"/>
      <c r="BY805" s="124" t="n"/>
      <c r="BZ805" s="124" t="n"/>
      <c r="CA805" s="124" t="n"/>
      <c r="CB805" s="124" t="n"/>
      <c r="CC805" s="124" t="n"/>
      <c r="CD805" s="124" t="n"/>
      <c r="CE805" s="124" t="n"/>
      <c r="CF805" s="124" t="n"/>
      <c r="CG805" s="124" t="n"/>
      <c r="CH805" s="124" t="n"/>
      <c r="CI805" s="124" t="n"/>
      <c r="CJ805" s="124" t="n"/>
      <c r="CK805" s="124" t="n"/>
      <c r="CL805" s="124" t="n"/>
      <c r="CM805" s="124" t="n"/>
      <c r="CN805" s="124" t="n"/>
      <c r="CO805" s="124" t="n"/>
      <c r="CP805" s="124" t="n"/>
      <c r="CQ805" s="124" t="n"/>
      <c r="CR805" s="124" t="n"/>
      <c r="CS805" s="124" t="n"/>
      <c r="CT805" s="124" t="n"/>
      <c r="CU805" s="124" t="n"/>
      <c r="CV805" s="124" t="n"/>
      <c r="CW805" s="124" t="n"/>
      <c r="CX805" s="124" t="n"/>
      <c r="CY805" s="124" t="n"/>
      <c r="CZ805" s="124" t="n"/>
      <c r="DA805" s="124" t="n"/>
      <c r="DB805" s="124" t="n"/>
      <c r="DC805" s="124" t="n"/>
      <c r="DD805" s="124" t="n"/>
      <c r="DE805" s="124" t="n"/>
      <c r="DF805" s="124" t="n"/>
      <c r="DG805" s="124" t="n"/>
      <c r="DH805" s="124" t="n"/>
      <c r="DI805" s="124" t="n"/>
      <c r="DJ805" s="124" t="n"/>
      <c r="DK805" s="124" t="n"/>
      <c r="DL805" s="124" t="n"/>
      <c r="DM805" s="124" t="n"/>
      <c r="DN805" s="124" t="n"/>
      <c r="DO805" s="124" t="n"/>
      <c r="DP805" s="124" t="n"/>
      <c r="DQ805" s="124" t="n"/>
      <c r="DR805" s="124" t="n"/>
      <c r="DS805" s="124" t="n"/>
      <c r="DT805" s="124" t="n"/>
      <c r="DU805" s="124" t="n"/>
      <c r="DV805" s="124" t="n"/>
      <c r="DW805" s="124" t="n"/>
      <c r="DX805" s="124" t="n"/>
      <c r="DY805" s="124" t="n"/>
      <c r="DZ805" s="124" t="n"/>
      <c r="EA805" s="124" t="n"/>
      <c r="EB805" s="124" t="n"/>
      <c r="EC805" s="124" t="n"/>
      <c r="ED805" s="124" t="n"/>
      <c r="EE805" s="124" t="n"/>
      <c r="EF805" s="124" t="n"/>
      <c r="EG805" s="124" t="n"/>
      <c r="EH805" s="124" t="n"/>
      <c r="EI805" s="124" t="n"/>
      <c r="EJ805" s="124" t="n"/>
      <c r="EK805" s="124" t="n"/>
      <c r="EL805" s="124" t="n"/>
      <c r="EM805" s="124" t="n"/>
      <c r="EN805" s="124" t="n"/>
      <c r="EO805" s="124" t="n"/>
      <c r="EP805" s="124" t="n"/>
      <c r="EQ805" s="124" t="n"/>
      <c r="ER805" s="124" t="n"/>
      <c r="ES805" s="124" t="n"/>
      <c r="ET805" s="124" t="n"/>
      <c r="EU805" s="124" t="n"/>
      <c r="EV805" s="124" t="n"/>
      <c r="EW805" s="124" t="n"/>
      <c r="EX805" s="124" t="n"/>
      <c r="EY805" s="124" t="n"/>
      <c r="EZ805" s="124" t="n"/>
      <c r="FA805" s="124" t="n"/>
      <c r="FB805" s="124" t="n"/>
      <c r="FC805" s="124" t="n"/>
      <c r="FD805" s="124" t="n"/>
      <c r="FE805" s="124" t="n"/>
      <c r="FF805" s="124" t="n"/>
      <c r="FG805" s="124" t="n"/>
      <c r="FH805" s="124" t="n"/>
      <c r="FI805" s="124" t="n"/>
      <c r="FJ805" s="124" t="n"/>
      <c r="FK805" s="124" t="n"/>
      <c r="FL805" s="124" t="n"/>
      <c r="FM805" s="124" t="n"/>
      <c r="FN805" s="124" t="n"/>
      <c r="FO805" s="124" t="n"/>
      <c r="FP805" s="124" t="n"/>
      <c r="FQ805" s="124" t="n"/>
      <c r="FR805" s="124" t="n"/>
      <c r="FS805" s="124" t="n"/>
      <c r="FT805" s="124" t="n"/>
      <c r="FU805" s="124" t="n"/>
      <c r="FV805" s="124" t="n"/>
      <c r="FW805" s="124" t="n"/>
      <c r="FX805" s="124" t="n"/>
      <c r="FY805" s="124" t="n"/>
      <c r="FZ805" s="124" t="n"/>
      <c r="GA805" s="124" t="n"/>
      <c r="GB805" s="124" t="n"/>
      <c r="GC805" s="124" t="n"/>
      <c r="GD805" s="124" t="n"/>
      <c r="GE805" s="124" t="n"/>
      <c r="GF805" s="124" t="n"/>
      <c r="GG805" s="124" t="n"/>
      <c r="GH805" s="124" t="n"/>
      <c r="GI805" s="124" t="n"/>
      <c r="GJ805" s="124" t="n"/>
      <c r="GK805" s="124" t="n"/>
      <c r="GL805" s="124" t="n"/>
      <c r="GM805" s="124" t="n"/>
      <c r="GN805" s="124" t="n"/>
      <c r="GO805" s="124" t="n"/>
      <c r="GP805" s="124" t="n"/>
      <c r="GQ805" s="124" t="n"/>
      <c r="GR805" s="124" t="n"/>
      <c r="GS805" s="124" t="n"/>
      <c r="GT805" s="124" t="n"/>
      <c r="GU805" s="124" t="n"/>
      <c r="GV805" s="124" t="n"/>
      <c r="GW805" s="124" t="n"/>
      <c r="GX805" s="124" t="n"/>
      <c r="GY805" s="124" t="n"/>
      <c r="GZ805" s="124" t="n"/>
      <c r="HA805" s="124" t="n"/>
      <c r="HB805" s="124" t="n"/>
      <c r="HC805" s="124" t="n"/>
      <c r="HD805" s="124" t="n"/>
      <c r="HE805" s="124" t="n"/>
      <c r="HF805" s="124" t="n"/>
      <c r="HG805" s="124" t="n"/>
      <c r="HH805" s="124" t="n"/>
      <c r="HI805" s="124" t="n"/>
      <c r="HJ805" s="124" t="n"/>
      <c r="HK805" s="124" t="n"/>
      <c r="HL805" s="124" t="n"/>
    </row>
    <row r="806" customFormat="1" s="3">
      <c r="A806" s="33" t="n"/>
      <c r="B806" s="34" t="n"/>
      <c r="C806" s="38" t="inlineStr">
        <is>
          <t>Песчаная подушка 150мм</t>
        </is>
      </c>
      <c r="D806" s="36" t="inlineStr">
        <is>
          <t>м2</t>
        </is>
      </c>
      <c r="E806" s="123">
        <f>E805</f>
        <v/>
      </c>
      <c r="F806" s="124" t="n"/>
      <c r="G806" s="124" t="n"/>
      <c r="H806" s="124" t="n"/>
      <c r="I806" s="124" t="n"/>
      <c r="J806" s="124" t="n"/>
      <c r="K806" s="124" t="n"/>
      <c r="L806" s="124" t="n"/>
      <c r="M806" s="124" t="n"/>
      <c r="N806" s="124" t="n"/>
      <c r="O806" s="124" t="n"/>
      <c r="P806" s="124" t="n"/>
      <c r="Q806" s="124" t="n"/>
      <c r="R806" s="124" t="n"/>
      <c r="S806" s="124" t="n"/>
      <c r="T806" s="124" t="n"/>
      <c r="U806" s="124" t="n"/>
      <c r="V806" s="124" t="n"/>
      <c r="W806" s="124" t="n"/>
      <c r="X806" s="124" t="n"/>
      <c r="Y806" s="124" t="n"/>
      <c r="Z806" s="124" t="n"/>
      <c r="AA806" s="124" t="n"/>
      <c r="AB806" s="124" t="n"/>
      <c r="AC806" s="124" t="n"/>
      <c r="AD806" s="124" t="n"/>
      <c r="AE806" s="124" t="n"/>
      <c r="AF806" s="124" t="n"/>
      <c r="AG806" s="124" t="n"/>
      <c r="AH806" s="124" t="n"/>
      <c r="AI806" s="124" t="n"/>
      <c r="AJ806" s="124" t="n"/>
      <c r="AK806" s="124" t="n"/>
      <c r="AL806" s="124" t="n"/>
      <c r="AM806" s="124" t="n"/>
      <c r="AN806" s="124" t="n"/>
      <c r="AO806" s="124" t="n"/>
      <c r="AP806" s="124" t="n"/>
      <c r="AQ806" s="124" t="n"/>
      <c r="AR806" s="124" t="n"/>
      <c r="AS806" s="124" t="n"/>
      <c r="AT806" s="124" t="n"/>
      <c r="AU806" s="124" t="n"/>
      <c r="AV806" s="124" t="n"/>
      <c r="AW806" s="124" t="n"/>
      <c r="AX806" s="124" t="n"/>
      <c r="AY806" s="124" t="n"/>
      <c r="AZ806" s="124" t="n"/>
      <c r="BA806" s="124" t="n"/>
      <c r="BB806" s="124" t="n"/>
      <c r="BC806" s="124" t="n"/>
      <c r="BD806" s="124" t="n"/>
      <c r="BE806" s="124" t="n"/>
      <c r="BF806" s="124" t="n"/>
      <c r="BG806" s="124" t="n"/>
      <c r="BH806" s="124" t="n"/>
      <c r="BI806" s="124" t="n"/>
      <c r="BJ806" s="124" t="n"/>
      <c r="BK806" s="124" t="n"/>
      <c r="BL806" s="124" t="n"/>
      <c r="BM806" s="124" t="n"/>
      <c r="BN806" s="124" t="n"/>
      <c r="BO806" s="124" t="n"/>
      <c r="BP806" s="124" t="n"/>
      <c r="BQ806" s="124" t="n"/>
      <c r="BR806" s="124" t="n"/>
      <c r="BS806" s="124" t="n"/>
      <c r="BT806" s="124" t="n"/>
      <c r="BU806" s="124" t="n"/>
      <c r="BV806" s="124" t="n"/>
      <c r="BW806" s="124" t="n"/>
      <c r="BX806" s="124" t="n"/>
      <c r="BY806" s="124" t="n"/>
      <c r="BZ806" s="124" t="n"/>
      <c r="CA806" s="124" t="n"/>
      <c r="CB806" s="124" t="n"/>
      <c r="CC806" s="124" t="n"/>
      <c r="CD806" s="124" t="n"/>
      <c r="CE806" s="124" t="n"/>
      <c r="CF806" s="124" t="n"/>
      <c r="CG806" s="124" t="n"/>
      <c r="CH806" s="124" t="n"/>
      <c r="CI806" s="124" t="n"/>
      <c r="CJ806" s="124" t="n"/>
      <c r="CK806" s="124" t="n"/>
      <c r="CL806" s="124" t="n"/>
      <c r="CM806" s="124" t="n"/>
      <c r="CN806" s="124" t="n"/>
      <c r="CO806" s="124" t="n"/>
      <c r="CP806" s="124" t="n"/>
      <c r="CQ806" s="124" t="n"/>
      <c r="CR806" s="124" t="n"/>
      <c r="CS806" s="124" t="n"/>
      <c r="CT806" s="124" t="n"/>
      <c r="CU806" s="124" t="n"/>
      <c r="CV806" s="124" t="n"/>
      <c r="CW806" s="124" t="n"/>
      <c r="CX806" s="124" t="n"/>
      <c r="CY806" s="124" t="n"/>
      <c r="CZ806" s="124" t="n"/>
      <c r="DA806" s="124" t="n"/>
      <c r="DB806" s="124" t="n"/>
      <c r="DC806" s="124" t="n"/>
      <c r="DD806" s="124" t="n"/>
      <c r="DE806" s="124" t="n"/>
      <c r="DF806" s="124" t="n"/>
      <c r="DG806" s="124" t="n"/>
      <c r="DH806" s="124" t="n"/>
      <c r="DI806" s="124" t="n"/>
      <c r="DJ806" s="124" t="n"/>
      <c r="DK806" s="124" t="n"/>
      <c r="DL806" s="124" t="n"/>
      <c r="DM806" s="124" t="n"/>
      <c r="DN806" s="124" t="n"/>
      <c r="DO806" s="124" t="n"/>
      <c r="DP806" s="124" t="n"/>
      <c r="DQ806" s="124" t="n"/>
      <c r="DR806" s="124" t="n"/>
      <c r="DS806" s="124" t="n"/>
      <c r="DT806" s="124" t="n"/>
      <c r="DU806" s="124" t="n"/>
      <c r="DV806" s="124" t="n"/>
      <c r="DW806" s="124" t="n"/>
      <c r="DX806" s="124" t="n"/>
      <c r="DY806" s="124" t="n"/>
      <c r="DZ806" s="124" t="n"/>
      <c r="EA806" s="124" t="n"/>
      <c r="EB806" s="124" t="n"/>
      <c r="EC806" s="124" t="n"/>
      <c r="ED806" s="124" t="n"/>
      <c r="EE806" s="124" t="n"/>
      <c r="EF806" s="124" t="n"/>
      <c r="EG806" s="124" t="n"/>
      <c r="EH806" s="124" t="n"/>
      <c r="EI806" s="124" t="n"/>
      <c r="EJ806" s="124" t="n"/>
      <c r="EK806" s="124" t="n"/>
      <c r="EL806" s="124" t="n"/>
      <c r="EM806" s="124" t="n"/>
      <c r="EN806" s="124" t="n"/>
      <c r="EO806" s="124" t="n"/>
      <c r="EP806" s="124" t="n"/>
      <c r="EQ806" s="124" t="n"/>
      <c r="ER806" s="124" t="n"/>
      <c r="ES806" s="124" t="n"/>
      <c r="ET806" s="124" t="n"/>
      <c r="EU806" s="124" t="n"/>
      <c r="EV806" s="124" t="n"/>
      <c r="EW806" s="124" t="n"/>
      <c r="EX806" s="124" t="n"/>
      <c r="EY806" s="124" t="n"/>
      <c r="EZ806" s="124" t="n"/>
      <c r="FA806" s="124" t="n"/>
      <c r="FB806" s="124" t="n"/>
      <c r="FC806" s="124" t="n"/>
      <c r="FD806" s="124" t="n"/>
      <c r="FE806" s="124" t="n"/>
      <c r="FF806" s="124" t="n"/>
      <c r="FG806" s="124" t="n"/>
      <c r="FH806" s="124" t="n"/>
      <c r="FI806" s="124" t="n"/>
      <c r="FJ806" s="124" t="n"/>
      <c r="FK806" s="124" t="n"/>
      <c r="FL806" s="124" t="n"/>
      <c r="FM806" s="124" t="n"/>
      <c r="FN806" s="124" t="n"/>
      <c r="FO806" s="124" t="n"/>
      <c r="FP806" s="124" t="n"/>
      <c r="FQ806" s="124" t="n"/>
      <c r="FR806" s="124" t="n"/>
      <c r="FS806" s="124" t="n"/>
      <c r="FT806" s="124" t="n"/>
      <c r="FU806" s="124" t="n"/>
      <c r="FV806" s="124" t="n"/>
      <c r="FW806" s="124" t="n"/>
      <c r="FX806" s="124" t="n"/>
      <c r="FY806" s="124" t="n"/>
      <c r="FZ806" s="124" t="n"/>
      <c r="GA806" s="124" t="n"/>
      <c r="GB806" s="124" t="n"/>
      <c r="GC806" s="124" t="n"/>
      <c r="GD806" s="124" t="n"/>
      <c r="GE806" s="124" t="n"/>
      <c r="GF806" s="124" t="n"/>
      <c r="GG806" s="124" t="n"/>
      <c r="GH806" s="124" t="n"/>
      <c r="GI806" s="124" t="n"/>
      <c r="GJ806" s="124" t="n"/>
      <c r="GK806" s="124" t="n"/>
      <c r="GL806" s="124" t="n"/>
      <c r="GM806" s="124" t="n"/>
      <c r="GN806" s="124" t="n"/>
      <c r="GO806" s="124" t="n"/>
      <c r="GP806" s="124" t="n"/>
      <c r="GQ806" s="124" t="n"/>
      <c r="GR806" s="124" t="n"/>
      <c r="GS806" s="124" t="n"/>
      <c r="GT806" s="124" t="n"/>
      <c r="GU806" s="124" t="n"/>
      <c r="GV806" s="124" t="n"/>
      <c r="GW806" s="124" t="n"/>
      <c r="GX806" s="124" t="n"/>
      <c r="GY806" s="124" t="n"/>
      <c r="GZ806" s="124" t="n"/>
      <c r="HA806" s="124" t="n"/>
      <c r="HB806" s="124" t="n"/>
      <c r="HC806" s="124" t="n"/>
      <c r="HD806" s="124" t="n"/>
      <c r="HE806" s="124" t="n"/>
      <c r="HF806" s="124" t="n"/>
      <c r="HG806" s="124" t="n"/>
      <c r="HH806" s="124" t="n"/>
      <c r="HI806" s="124" t="n"/>
      <c r="HJ806" s="124" t="n"/>
      <c r="HK806" s="124" t="n"/>
      <c r="HL806" s="124" t="n"/>
    </row>
    <row r="807" customFormat="1" s="3">
      <c r="A807" s="33" t="n"/>
      <c r="B807" s="34" t="n"/>
      <c r="C807" s="38" t="inlineStr">
        <is>
          <t>Монтаж геотекстиль иглопробивной 200г/м2</t>
        </is>
      </c>
      <c r="D807" s="36" t="inlineStr">
        <is>
          <t>м2</t>
        </is>
      </c>
      <c r="E807" s="123" t="n">
        <v>2370</v>
      </c>
      <c r="F807" s="124" t="n"/>
      <c r="G807" s="124" t="n"/>
      <c r="H807" s="124" t="n"/>
      <c r="I807" s="124" t="n"/>
      <c r="J807" s="124" t="n"/>
      <c r="K807" s="124" t="n"/>
      <c r="L807" s="124" t="n"/>
      <c r="M807" s="124" t="n"/>
      <c r="N807" s="124" t="n"/>
      <c r="O807" s="124" t="n"/>
      <c r="P807" s="124" t="n"/>
      <c r="Q807" s="124" t="n"/>
      <c r="R807" s="124" t="n"/>
      <c r="S807" s="124" t="n"/>
      <c r="T807" s="124" t="n"/>
      <c r="U807" s="124" t="n"/>
      <c r="V807" s="124" t="n"/>
      <c r="W807" s="124" t="n"/>
      <c r="X807" s="124" t="n"/>
      <c r="Y807" s="124" t="n"/>
      <c r="Z807" s="124" t="n"/>
      <c r="AA807" s="124" t="n"/>
      <c r="AB807" s="124" t="n"/>
      <c r="AC807" s="124" t="n"/>
      <c r="AD807" s="124" t="n"/>
      <c r="AE807" s="124" t="n"/>
      <c r="AF807" s="124" t="n"/>
      <c r="AG807" s="124" t="n"/>
      <c r="AH807" s="124" t="n"/>
      <c r="AI807" s="124" t="n"/>
      <c r="AJ807" s="124" t="n"/>
      <c r="AK807" s="124" t="n"/>
      <c r="AL807" s="124" t="n"/>
      <c r="AM807" s="124" t="n"/>
      <c r="AN807" s="124" t="n"/>
      <c r="AO807" s="124" t="n"/>
      <c r="AP807" s="124" t="n"/>
      <c r="AQ807" s="124" t="n"/>
      <c r="AR807" s="124" t="n"/>
      <c r="AS807" s="124" t="n"/>
      <c r="AT807" s="124" t="n"/>
      <c r="AU807" s="124" t="n"/>
      <c r="AV807" s="124" t="n"/>
      <c r="AW807" s="124" t="n"/>
      <c r="AX807" s="124" t="n"/>
      <c r="AY807" s="124" t="n"/>
      <c r="AZ807" s="124" t="n"/>
      <c r="BA807" s="124" t="n"/>
      <c r="BB807" s="124" t="n"/>
      <c r="BC807" s="124" t="n"/>
      <c r="BD807" s="124" t="n"/>
      <c r="BE807" s="124" t="n"/>
      <c r="BF807" s="124" t="n"/>
      <c r="BG807" s="124" t="n"/>
      <c r="BH807" s="124" t="n"/>
      <c r="BI807" s="124" t="n"/>
      <c r="BJ807" s="124" t="n"/>
      <c r="BK807" s="124" t="n"/>
      <c r="BL807" s="124" t="n"/>
      <c r="BM807" s="124" t="n"/>
      <c r="BN807" s="124" t="n"/>
      <c r="BO807" s="124" t="n"/>
      <c r="BP807" s="124" t="n"/>
      <c r="BQ807" s="124" t="n"/>
      <c r="BR807" s="124" t="n"/>
      <c r="BS807" s="124" t="n"/>
      <c r="BT807" s="124" t="n"/>
      <c r="BU807" s="124" t="n"/>
      <c r="BV807" s="124" t="n"/>
      <c r="BW807" s="124" t="n"/>
      <c r="BX807" s="124" t="n"/>
      <c r="BY807" s="124" t="n"/>
      <c r="BZ807" s="124" t="n"/>
      <c r="CA807" s="124" t="n"/>
      <c r="CB807" s="124" t="n"/>
      <c r="CC807" s="124" t="n"/>
      <c r="CD807" s="124" t="n"/>
      <c r="CE807" s="124" t="n"/>
      <c r="CF807" s="124" t="n"/>
      <c r="CG807" s="124" t="n"/>
      <c r="CH807" s="124" t="n"/>
      <c r="CI807" s="124" t="n"/>
      <c r="CJ807" s="124" t="n"/>
      <c r="CK807" s="124" t="n"/>
      <c r="CL807" s="124" t="n"/>
      <c r="CM807" s="124" t="n"/>
      <c r="CN807" s="124" t="n"/>
      <c r="CO807" s="124" t="n"/>
      <c r="CP807" s="124" t="n"/>
      <c r="CQ807" s="124" t="n"/>
      <c r="CR807" s="124" t="n"/>
      <c r="CS807" s="124" t="n"/>
      <c r="CT807" s="124" t="n"/>
      <c r="CU807" s="124" t="n"/>
      <c r="CV807" s="124" t="n"/>
      <c r="CW807" s="124" t="n"/>
      <c r="CX807" s="124" t="n"/>
      <c r="CY807" s="124" t="n"/>
      <c r="CZ807" s="124" t="n"/>
      <c r="DA807" s="124" t="n"/>
      <c r="DB807" s="124" t="n"/>
      <c r="DC807" s="124" t="n"/>
      <c r="DD807" s="124" t="n"/>
      <c r="DE807" s="124" t="n"/>
      <c r="DF807" s="124" t="n"/>
      <c r="DG807" s="124" t="n"/>
      <c r="DH807" s="124" t="n"/>
      <c r="DI807" s="124" t="n"/>
      <c r="DJ807" s="124" t="n"/>
      <c r="DK807" s="124" t="n"/>
      <c r="DL807" s="124" t="n"/>
      <c r="DM807" s="124" t="n"/>
      <c r="DN807" s="124" t="n"/>
      <c r="DO807" s="124" t="n"/>
      <c r="DP807" s="124" t="n"/>
      <c r="DQ807" s="124" t="n"/>
      <c r="DR807" s="124" t="n"/>
      <c r="DS807" s="124" t="n"/>
      <c r="DT807" s="124" t="n"/>
      <c r="DU807" s="124" t="n"/>
      <c r="DV807" s="124" t="n"/>
      <c r="DW807" s="124" t="n"/>
      <c r="DX807" s="124" t="n"/>
      <c r="DY807" s="124" t="n"/>
      <c r="DZ807" s="124" t="n"/>
      <c r="EA807" s="124" t="n"/>
      <c r="EB807" s="124" t="n"/>
      <c r="EC807" s="124" t="n"/>
      <c r="ED807" s="124" t="n"/>
      <c r="EE807" s="124" t="n"/>
      <c r="EF807" s="124" t="n"/>
      <c r="EG807" s="124" t="n"/>
      <c r="EH807" s="124" t="n"/>
      <c r="EI807" s="124" t="n"/>
      <c r="EJ807" s="124" t="n"/>
      <c r="EK807" s="124" t="n"/>
      <c r="EL807" s="124" t="n"/>
      <c r="EM807" s="124" t="n"/>
      <c r="EN807" s="124" t="n"/>
      <c r="EO807" s="124" t="n"/>
      <c r="EP807" s="124" t="n"/>
      <c r="EQ807" s="124" t="n"/>
      <c r="ER807" s="124" t="n"/>
      <c r="ES807" s="124" t="n"/>
      <c r="ET807" s="124" t="n"/>
      <c r="EU807" s="124" t="n"/>
      <c r="EV807" s="124" t="n"/>
      <c r="EW807" s="124" t="n"/>
      <c r="EX807" s="124" t="n"/>
      <c r="EY807" s="124" t="n"/>
      <c r="EZ807" s="124" t="n"/>
      <c r="FA807" s="124" t="n"/>
      <c r="FB807" s="124" t="n"/>
      <c r="FC807" s="124" t="n"/>
      <c r="FD807" s="124" t="n"/>
      <c r="FE807" s="124" t="n"/>
      <c r="FF807" s="124" t="n"/>
      <c r="FG807" s="124" t="n"/>
      <c r="FH807" s="124" t="n"/>
      <c r="FI807" s="124" t="n"/>
      <c r="FJ807" s="124" t="n"/>
      <c r="FK807" s="124" t="n"/>
      <c r="FL807" s="124" t="n"/>
      <c r="FM807" s="124" t="n"/>
      <c r="FN807" s="124" t="n"/>
      <c r="FO807" s="124" t="n"/>
      <c r="FP807" s="124" t="n"/>
      <c r="FQ807" s="124" t="n"/>
      <c r="FR807" s="124" t="n"/>
      <c r="FS807" s="124" t="n"/>
      <c r="FT807" s="124" t="n"/>
      <c r="FU807" s="124" t="n"/>
      <c r="FV807" s="124" t="n"/>
      <c r="FW807" s="124" t="n"/>
      <c r="FX807" s="124" t="n"/>
      <c r="FY807" s="124" t="n"/>
      <c r="FZ807" s="124" t="n"/>
      <c r="GA807" s="124" t="n"/>
      <c r="GB807" s="124" t="n"/>
      <c r="GC807" s="124" t="n"/>
      <c r="GD807" s="124" t="n"/>
      <c r="GE807" s="124" t="n"/>
      <c r="GF807" s="124" t="n"/>
      <c r="GG807" s="124" t="n"/>
      <c r="GH807" s="124" t="n"/>
      <c r="GI807" s="124" t="n"/>
      <c r="GJ807" s="124" t="n"/>
      <c r="GK807" s="124" t="n"/>
      <c r="GL807" s="124" t="n"/>
      <c r="GM807" s="124" t="n"/>
      <c r="GN807" s="124" t="n"/>
      <c r="GO807" s="124" t="n"/>
      <c r="GP807" s="124" t="n"/>
      <c r="GQ807" s="124" t="n"/>
      <c r="GR807" s="124" t="n"/>
      <c r="GS807" s="124" t="n"/>
      <c r="GT807" s="124" t="n"/>
      <c r="GU807" s="124" t="n"/>
      <c r="GV807" s="124" t="n"/>
      <c r="GW807" s="124" t="n"/>
      <c r="GX807" s="124" t="n"/>
      <c r="GY807" s="124" t="n"/>
      <c r="GZ807" s="124" t="n"/>
      <c r="HA807" s="124" t="n"/>
      <c r="HB807" s="124" t="n"/>
      <c r="HC807" s="124" t="n"/>
      <c r="HD807" s="124" t="n"/>
      <c r="HE807" s="124" t="n"/>
      <c r="HF807" s="124" t="n"/>
      <c r="HG807" s="124" t="n"/>
      <c r="HH807" s="124" t="n"/>
      <c r="HI807" s="124" t="n"/>
      <c r="HJ807" s="124" t="n"/>
      <c r="HK807" s="124" t="n"/>
      <c r="HL807" s="124" t="n"/>
    </row>
    <row r="808" ht="27.6" customFormat="1" customHeight="1" s="3">
      <c r="A808" s="33" t="n"/>
      <c r="B808" s="34" t="n"/>
      <c r="C808" s="38" t="inlineStr">
        <is>
          <t>Бордюр из бортового камня БР 100.15.10 на бетонном основании</t>
        </is>
      </c>
      <c r="D808" s="36" t="inlineStr">
        <is>
          <t>м/п</t>
        </is>
      </c>
      <c r="E808" s="123" t="n">
        <v>712</v>
      </c>
      <c r="F808" s="124" t="n"/>
      <c r="G808" s="124" t="n"/>
      <c r="H808" s="124" t="n"/>
      <c r="I808" s="124" t="n"/>
      <c r="J808" s="124" t="n"/>
      <c r="K808" s="124" t="n"/>
      <c r="L808" s="124" t="n"/>
      <c r="M808" s="124" t="n"/>
      <c r="N808" s="124" t="n"/>
      <c r="O808" s="124" t="n"/>
      <c r="P808" s="124" t="n"/>
      <c r="Q808" s="124" t="n"/>
      <c r="R808" s="124" t="n"/>
      <c r="S808" s="124" t="n"/>
      <c r="T808" s="124" t="n"/>
      <c r="U808" s="124" t="n"/>
      <c r="V808" s="124" t="n"/>
      <c r="W808" s="124" t="n"/>
      <c r="X808" s="124" t="n"/>
      <c r="Y808" s="124" t="n"/>
      <c r="Z808" s="124" t="n"/>
      <c r="AA808" s="124" t="n"/>
      <c r="AB808" s="124" t="n"/>
      <c r="AC808" s="124" t="n"/>
      <c r="AD808" s="124" t="n"/>
      <c r="AE808" s="124" t="n"/>
      <c r="AF808" s="124" t="n"/>
      <c r="AG808" s="124" t="n"/>
      <c r="AH808" s="124" t="n"/>
      <c r="AI808" s="124" t="n"/>
      <c r="AJ808" s="124" t="n"/>
      <c r="AK808" s="124" t="n"/>
      <c r="AL808" s="124" t="n"/>
      <c r="AM808" s="124" t="n"/>
      <c r="AN808" s="124" t="n"/>
      <c r="AO808" s="124" t="n"/>
      <c r="AP808" s="124" t="n"/>
      <c r="AQ808" s="124" t="n"/>
      <c r="AR808" s="124" t="n"/>
      <c r="AS808" s="124" t="n"/>
      <c r="AT808" s="124" t="n"/>
      <c r="AU808" s="124" t="n"/>
      <c r="AV808" s="124" t="n"/>
      <c r="AW808" s="124" t="n"/>
      <c r="AX808" s="124" t="n"/>
      <c r="AY808" s="124" t="n"/>
      <c r="AZ808" s="124" t="n"/>
      <c r="BA808" s="124" t="n"/>
      <c r="BB808" s="124" t="n"/>
      <c r="BC808" s="124" t="n"/>
      <c r="BD808" s="124" t="n"/>
      <c r="BE808" s="124" t="n"/>
      <c r="BF808" s="124" t="n"/>
      <c r="BG808" s="124" t="n"/>
      <c r="BH808" s="124" t="n"/>
      <c r="BI808" s="124" t="n"/>
      <c r="BJ808" s="124" t="n"/>
      <c r="BK808" s="124" t="n"/>
      <c r="BL808" s="124" t="n"/>
      <c r="BM808" s="124" t="n"/>
      <c r="BN808" s="124" t="n"/>
      <c r="BO808" s="124" t="n"/>
      <c r="BP808" s="124" t="n"/>
      <c r="BQ808" s="124" t="n"/>
      <c r="BR808" s="124" t="n"/>
      <c r="BS808" s="124" t="n"/>
      <c r="BT808" s="124" t="n"/>
      <c r="BU808" s="124" t="n"/>
      <c r="BV808" s="124" t="n"/>
      <c r="BW808" s="124" t="n"/>
      <c r="BX808" s="124" t="n"/>
      <c r="BY808" s="124" t="n"/>
      <c r="BZ808" s="124" t="n"/>
      <c r="CA808" s="124" t="n"/>
      <c r="CB808" s="124" t="n"/>
      <c r="CC808" s="124" t="n"/>
      <c r="CD808" s="124" t="n"/>
      <c r="CE808" s="124" t="n"/>
      <c r="CF808" s="124" t="n"/>
      <c r="CG808" s="124" t="n"/>
      <c r="CH808" s="124" t="n"/>
      <c r="CI808" s="124" t="n"/>
      <c r="CJ808" s="124" t="n"/>
      <c r="CK808" s="124" t="n"/>
      <c r="CL808" s="124" t="n"/>
      <c r="CM808" s="124" t="n"/>
      <c r="CN808" s="124" t="n"/>
      <c r="CO808" s="124" t="n"/>
      <c r="CP808" s="124" t="n"/>
      <c r="CQ808" s="124" t="n"/>
      <c r="CR808" s="124" t="n"/>
      <c r="CS808" s="124" t="n"/>
      <c r="CT808" s="124" t="n"/>
      <c r="CU808" s="124" t="n"/>
      <c r="CV808" s="124" t="n"/>
      <c r="CW808" s="124" t="n"/>
      <c r="CX808" s="124" t="n"/>
      <c r="CY808" s="124" t="n"/>
      <c r="CZ808" s="124" t="n"/>
      <c r="DA808" s="124" t="n"/>
      <c r="DB808" s="124" t="n"/>
      <c r="DC808" s="124" t="n"/>
      <c r="DD808" s="124" t="n"/>
      <c r="DE808" s="124" t="n"/>
      <c r="DF808" s="124" t="n"/>
      <c r="DG808" s="124" t="n"/>
      <c r="DH808" s="124" t="n"/>
      <c r="DI808" s="124" t="n"/>
      <c r="DJ808" s="124" t="n"/>
      <c r="DK808" s="124" t="n"/>
      <c r="DL808" s="124" t="n"/>
      <c r="DM808" s="124" t="n"/>
      <c r="DN808" s="124" t="n"/>
      <c r="DO808" s="124" t="n"/>
      <c r="DP808" s="124" t="n"/>
      <c r="DQ808" s="124" t="n"/>
      <c r="DR808" s="124" t="n"/>
      <c r="DS808" s="124" t="n"/>
      <c r="DT808" s="124" t="n"/>
      <c r="DU808" s="124" t="n"/>
      <c r="DV808" s="124" t="n"/>
      <c r="DW808" s="124" t="n"/>
      <c r="DX808" s="124" t="n"/>
      <c r="DY808" s="124" t="n"/>
      <c r="DZ808" s="124" t="n"/>
      <c r="EA808" s="124" t="n"/>
      <c r="EB808" s="124" t="n"/>
      <c r="EC808" s="124" t="n"/>
      <c r="ED808" s="124" t="n"/>
      <c r="EE808" s="124" t="n"/>
      <c r="EF808" s="124" t="n"/>
      <c r="EG808" s="124" t="n"/>
      <c r="EH808" s="124" t="n"/>
      <c r="EI808" s="124" t="n"/>
      <c r="EJ808" s="124" t="n"/>
      <c r="EK808" s="124" t="n"/>
      <c r="EL808" s="124" t="n"/>
      <c r="EM808" s="124" t="n"/>
      <c r="EN808" s="124" t="n"/>
      <c r="EO808" s="124" t="n"/>
      <c r="EP808" s="124" t="n"/>
      <c r="EQ808" s="124" t="n"/>
      <c r="ER808" s="124" t="n"/>
      <c r="ES808" s="124" t="n"/>
      <c r="ET808" s="124" t="n"/>
      <c r="EU808" s="124" t="n"/>
      <c r="EV808" s="124" t="n"/>
      <c r="EW808" s="124" t="n"/>
      <c r="EX808" s="124" t="n"/>
      <c r="EY808" s="124" t="n"/>
      <c r="EZ808" s="124" t="n"/>
      <c r="FA808" s="124" t="n"/>
      <c r="FB808" s="124" t="n"/>
      <c r="FC808" s="124" t="n"/>
      <c r="FD808" s="124" t="n"/>
      <c r="FE808" s="124" t="n"/>
      <c r="FF808" s="124" t="n"/>
      <c r="FG808" s="124" t="n"/>
      <c r="FH808" s="124" t="n"/>
      <c r="FI808" s="124" t="n"/>
      <c r="FJ808" s="124" t="n"/>
      <c r="FK808" s="124" t="n"/>
      <c r="FL808" s="124" t="n"/>
      <c r="FM808" s="124" t="n"/>
      <c r="FN808" s="124" t="n"/>
      <c r="FO808" s="124" t="n"/>
      <c r="FP808" s="124" t="n"/>
      <c r="FQ808" s="124" t="n"/>
      <c r="FR808" s="124" t="n"/>
      <c r="FS808" s="124" t="n"/>
      <c r="FT808" s="124" t="n"/>
      <c r="FU808" s="124" t="n"/>
      <c r="FV808" s="124" t="n"/>
      <c r="FW808" s="124" t="n"/>
      <c r="FX808" s="124" t="n"/>
      <c r="FY808" s="124" t="n"/>
      <c r="FZ808" s="124" t="n"/>
      <c r="GA808" s="124" t="n"/>
      <c r="GB808" s="124" t="n"/>
      <c r="GC808" s="124" t="n"/>
      <c r="GD808" s="124" t="n"/>
      <c r="GE808" s="124" t="n"/>
      <c r="GF808" s="124" t="n"/>
      <c r="GG808" s="124" t="n"/>
      <c r="GH808" s="124" t="n"/>
      <c r="GI808" s="124" t="n"/>
      <c r="GJ808" s="124" t="n"/>
      <c r="GK808" s="124" t="n"/>
      <c r="GL808" s="124" t="n"/>
      <c r="GM808" s="124" t="n"/>
      <c r="GN808" s="124" t="n"/>
      <c r="GO808" s="124" t="n"/>
      <c r="GP808" s="124" t="n"/>
      <c r="GQ808" s="124" t="n"/>
      <c r="GR808" s="124" t="n"/>
      <c r="GS808" s="124" t="n"/>
      <c r="GT808" s="124" t="n"/>
      <c r="GU808" s="124" t="n"/>
      <c r="GV808" s="124" t="n"/>
      <c r="GW808" s="124" t="n"/>
      <c r="GX808" s="124" t="n"/>
      <c r="GY808" s="124" t="n"/>
      <c r="GZ808" s="124" t="n"/>
      <c r="HA808" s="124" t="n"/>
      <c r="HB808" s="124" t="n"/>
      <c r="HC808" s="124" t="n"/>
      <c r="HD808" s="124" t="n"/>
      <c r="HE808" s="124" t="n"/>
      <c r="HF808" s="124" t="n"/>
      <c r="HG808" s="124" t="n"/>
      <c r="HH808" s="124" t="n"/>
      <c r="HI808" s="124" t="n"/>
      <c r="HJ808" s="124" t="n"/>
      <c r="HK808" s="124" t="n"/>
      <c r="HL808" s="124" t="n"/>
    </row>
    <row r="809" customFormat="1" s="3">
      <c r="A809" s="33" t="n"/>
      <c r="B809" s="34" t="n"/>
      <c r="C809" s="38" t="inlineStr">
        <is>
          <t>Щебеночная подушка 20-40мм 200мм</t>
        </is>
      </c>
      <c r="D809" s="36" t="inlineStr">
        <is>
          <t>м2</t>
        </is>
      </c>
      <c r="E809" s="123" t="n">
        <v>2370</v>
      </c>
      <c r="F809" s="124" t="n"/>
      <c r="G809" s="124" t="n"/>
      <c r="H809" s="124" t="n"/>
      <c r="I809" s="124" t="n"/>
      <c r="J809" s="124" t="n"/>
      <c r="K809" s="124" t="n"/>
      <c r="L809" s="124" t="n"/>
      <c r="M809" s="124" t="n"/>
      <c r="N809" s="124" t="n"/>
      <c r="O809" s="124" t="n"/>
      <c r="P809" s="124" t="n"/>
      <c r="Q809" s="124" t="n"/>
      <c r="R809" s="124" t="n"/>
      <c r="S809" s="124" t="n"/>
      <c r="T809" s="124" t="n"/>
      <c r="U809" s="124" t="n"/>
      <c r="V809" s="124" t="n"/>
      <c r="W809" s="124" t="n"/>
      <c r="X809" s="124" t="n"/>
      <c r="Y809" s="124" t="n"/>
      <c r="Z809" s="124" t="n"/>
      <c r="AA809" s="124" t="n"/>
      <c r="AB809" s="124" t="n"/>
      <c r="AC809" s="124" t="n"/>
      <c r="AD809" s="124" t="n"/>
      <c r="AE809" s="124" t="n"/>
      <c r="AF809" s="124" t="n"/>
      <c r="AG809" s="124" t="n"/>
      <c r="AH809" s="124" t="n"/>
      <c r="AI809" s="124" t="n"/>
      <c r="AJ809" s="124" t="n"/>
      <c r="AK809" s="124" t="n"/>
      <c r="AL809" s="124" t="n"/>
      <c r="AM809" s="124" t="n"/>
      <c r="AN809" s="124" t="n"/>
      <c r="AO809" s="124" t="n"/>
      <c r="AP809" s="124" t="n"/>
      <c r="AQ809" s="124" t="n"/>
      <c r="AR809" s="124" t="n"/>
      <c r="AS809" s="124" t="n"/>
      <c r="AT809" s="124" t="n"/>
      <c r="AU809" s="124" t="n"/>
      <c r="AV809" s="124" t="n"/>
      <c r="AW809" s="124" t="n"/>
      <c r="AX809" s="124" t="n"/>
      <c r="AY809" s="124" t="n"/>
      <c r="AZ809" s="124" t="n"/>
      <c r="BA809" s="124" t="n"/>
      <c r="BB809" s="124" t="n"/>
      <c r="BC809" s="124" t="n"/>
      <c r="BD809" s="124" t="n"/>
      <c r="BE809" s="124" t="n"/>
      <c r="BF809" s="124" t="n"/>
      <c r="BG809" s="124" t="n"/>
      <c r="BH809" s="124" t="n"/>
      <c r="BI809" s="124" t="n"/>
      <c r="BJ809" s="124" t="n"/>
      <c r="BK809" s="124" t="n"/>
      <c r="BL809" s="124" t="n"/>
      <c r="BM809" s="124" t="n"/>
      <c r="BN809" s="124" t="n"/>
      <c r="BO809" s="124" t="n"/>
      <c r="BP809" s="124" t="n"/>
      <c r="BQ809" s="124" t="n"/>
      <c r="BR809" s="124" t="n"/>
      <c r="BS809" s="124" t="n"/>
      <c r="BT809" s="124" t="n"/>
      <c r="BU809" s="124" t="n"/>
      <c r="BV809" s="124" t="n"/>
      <c r="BW809" s="124" t="n"/>
      <c r="BX809" s="124" t="n"/>
      <c r="BY809" s="124" t="n"/>
      <c r="BZ809" s="124" t="n"/>
      <c r="CA809" s="124" t="n"/>
      <c r="CB809" s="124" t="n"/>
      <c r="CC809" s="124" t="n"/>
      <c r="CD809" s="124" t="n"/>
      <c r="CE809" s="124" t="n"/>
      <c r="CF809" s="124" t="n"/>
      <c r="CG809" s="124" t="n"/>
      <c r="CH809" s="124" t="n"/>
      <c r="CI809" s="124" t="n"/>
      <c r="CJ809" s="124" t="n"/>
      <c r="CK809" s="124" t="n"/>
      <c r="CL809" s="124" t="n"/>
      <c r="CM809" s="124" t="n"/>
      <c r="CN809" s="124" t="n"/>
      <c r="CO809" s="124" t="n"/>
      <c r="CP809" s="124" t="n"/>
      <c r="CQ809" s="124" t="n"/>
      <c r="CR809" s="124" t="n"/>
      <c r="CS809" s="124" t="n"/>
      <c r="CT809" s="124" t="n"/>
      <c r="CU809" s="124" t="n"/>
      <c r="CV809" s="124" t="n"/>
      <c r="CW809" s="124" t="n"/>
      <c r="CX809" s="124" t="n"/>
      <c r="CY809" s="124" t="n"/>
      <c r="CZ809" s="124" t="n"/>
      <c r="DA809" s="124" t="n"/>
      <c r="DB809" s="124" t="n"/>
      <c r="DC809" s="124" t="n"/>
      <c r="DD809" s="124" t="n"/>
      <c r="DE809" s="124" t="n"/>
      <c r="DF809" s="124" t="n"/>
      <c r="DG809" s="124" t="n"/>
      <c r="DH809" s="124" t="n"/>
      <c r="DI809" s="124" t="n"/>
      <c r="DJ809" s="124" t="n"/>
      <c r="DK809" s="124" t="n"/>
      <c r="DL809" s="124" t="n"/>
      <c r="DM809" s="124" t="n"/>
      <c r="DN809" s="124" t="n"/>
      <c r="DO809" s="124" t="n"/>
      <c r="DP809" s="124" t="n"/>
      <c r="DQ809" s="124" t="n"/>
      <c r="DR809" s="124" t="n"/>
      <c r="DS809" s="124" t="n"/>
      <c r="DT809" s="124" t="n"/>
      <c r="DU809" s="124" t="n"/>
      <c r="DV809" s="124" t="n"/>
      <c r="DW809" s="124" t="n"/>
      <c r="DX809" s="124" t="n"/>
      <c r="DY809" s="124" t="n"/>
      <c r="DZ809" s="124" t="n"/>
      <c r="EA809" s="124" t="n"/>
      <c r="EB809" s="124" t="n"/>
      <c r="EC809" s="124" t="n"/>
      <c r="ED809" s="124" t="n"/>
      <c r="EE809" s="124" t="n"/>
      <c r="EF809" s="124" t="n"/>
      <c r="EG809" s="124" t="n"/>
      <c r="EH809" s="124" t="n"/>
      <c r="EI809" s="124" t="n"/>
      <c r="EJ809" s="124" t="n"/>
      <c r="EK809" s="124" t="n"/>
      <c r="EL809" s="124" t="n"/>
      <c r="EM809" s="124" t="n"/>
      <c r="EN809" s="124" t="n"/>
      <c r="EO809" s="124" t="n"/>
      <c r="EP809" s="124" t="n"/>
      <c r="EQ809" s="124" t="n"/>
      <c r="ER809" s="124" t="n"/>
      <c r="ES809" s="124" t="n"/>
      <c r="ET809" s="124" t="n"/>
      <c r="EU809" s="124" t="n"/>
      <c r="EV809" s="124" t="n"/>
      <c r="EW809" s="124" t="n"/>
      <c r="EX809" s="124" t="n"/>
      <c r="EY809" s="124" t="n"/>
      <c r="EZ809" s="124" t="n"/>
      <c r="FA809" s="124" t="n"/>
      <c r="FB809" s="124" t="n"/>
      <c r="FC809" s="124" t="n"/>
      <c r="FD809" s="124" t="n"/>
      <c r="FE809" s="124" t="n"/>
      <c r="FF809" s="124" t="n"/>
      <c r="FG809" s="124" t="n"/>
      <c r="FH809" s="124" t="n"/>
      <c r="FI809" s="124" t="n"/>
      <c r="FJ809" s="124" t="n"/>
      <c r="FK809" s="124" t="n"/>
      <c r="FL809" s="124" t="n"/>
      <c r="FM809" s="124" t="n"/>
      <c r="FN809" s="124" t="n"/>
      <c r="FO809" s="124" t="n"/>
      <c r="FP809" s="124" t="n"/>
      <c r="FQ809" s="124" t="n"/>
      <c r="FR809" s="124" t="n"/>
      <c r="FS809" s="124" t="n"/>
      <c r="FT809" s="124" t="n"/>
      <c r="FU809" s="124" t="n"/>
      <c r="FV809" s="124" t="n"/>
      <c r="FW809" s="124" t="n"/>
      <c r="FX809" s="124" t="n"/>
      <c r="FY809" s="124" t="n"/>
      <c r="FZ809" s="124" t="n"/>
      <c r="GA809" s="124" t="n"/>
      <c r="GB809" s="124" t="n"/>
      <c r="GC809" s="124" t="n"/>
      <c r="GD809" s="124" t="n"/>
      <c r="GE809" s="124" t="n"/>
      <c r="GF809" s="124" t="n"/>
      <c r="GG809" s="124" t="n"/>
      <c r="GH809" s="124" t="n"/>
      <c r="GI809" s="124" t="n"/>
      <c r="GJ809" s="124" t="n"/>
      <c r="GK809" s="124" t="n"/>
      <c r="GL809" s="124" t="n"/>
      <c r="GM809" s="124" t="n"/>
      <c r="GN809" s="124" t="n"/>
      <c r="GO809" s="124" t="n"/>
      <c r="GP809" s="124" t="n"/>
      <c r="GQ809" s="124" t="n"/>
      <c r="GR809" s="124" t="n"/>
      <c r="GS809" s="124" t="n"/>
      <c r="GT809" s="124" t="n"/>
      <c r="GU809" s="124" t="n"/>
      <c r="GV809" s="124" t="n"/>
      <c r="GW809" s="124" t="n"/>
      <c r="GX809" s="124" t="n"/>
      <c r="GY809" s="124" t="n"/>
      <c r="GZ809" s="124" t="n"/>
      <c r="HA809" s="124" t="n"/>
      <c r="HB809" s="124" t="n"/>
      <c r="HC809" s="124" t="n"/>
      <c r="HD809" s="124" t="n"/>
      <c r="HE809" s="124" t="n"/>
      <c r="HF809" s="124" t="n"/>
      <c r="HG809" s="124" t="n"/>
      <c r="HH809" s="124" t="n"/>
      <c r="HI809" s="124" t="n"/>
      <c r="HJ809" s="124" t="n"/>
      <c r="HK809" s="124" t="n"/>
      <c r="HL809" s="124" t="n"/>
    </row>
    <row r="810" customFormat="1" s="3">
      <c r="A810" s="33" t="n"/>
      <c r="B810" s="34" t="n"/>
      <c r="C810" s="38" t="inlineStr">
        <is>
          <t>Песчаное основание укрепленное 10% цемента 40мм</t>
        </is>
      </c>
      <c r="D810" s="36" t="inlineStr">
        <is>
          <t>м2</t>
        </is>
      </c>
      <c r="E810" s="123" t="n">
        <v>1975</v>
      </c>
      <c r="F810" s="124" t="n"/>
      <c r="G810" s="124" t="n"/>
      <c r="H810" s="124" t="n"/>
      <c r="I810" s="124" t="n"/>
      <c r="J810" s="124" t="n"/>
      <c r="K810" s="124" t="n"/>
      <c r="L810" s="124" t="n"/>
      <c r="M810" s="124" t="n"/>
      <c r="N810" s="124" t="n"/>
      <c r="O810" s="124" t="n"/>
      <c r="P810" s="124" t="n"/>
      <c r="Q810" s="124" t="n"/>
      <c r="R810" s="124" t="n"/>
      <c r="S810" s="124" t="n"/>
      <c r="T810" s="124" t="n"/>
      <c r="U810" s="124" t="n"/>
      <c r="V810" s="124" t="n"/>
      <c r="W810" s="124" t="n"/>
      <c r="X810" s="124" t="n"/>
      <c r="Y810" s="124" t="n"/>
      <c r="Z810" s="124" t="n"/>
      <c r="AA810" s="124" t="n"/>
      <c r="AB810" s="124" t="n"/>
      <c r="AC810" s="124" t="n"/>
      <c r="AD810" s="124" t="n"/>
      <c r="AE810" s="124" t="n"/>
      <c r="AF810" s="124" t="n"/>
      <c r="AG810" s="124" t="n"/>
      <c r="AH810" s="124" t="n"/>
      <c r="AI810" s="124" t="n"/>
      <c r="AJ810" s="124" t="n"/>
      <c r="AK810" s="124" t="n"/>
      <c r="AL810" s="124" t="n"/>
      <c r="AM810" s="124" t="n"/>
      <c r="AN810" s="124" t="n"/>
      <c r="AO810" s="124" t="n"/>
      <c r="AP810" s="124" t="n"/>
      <c r="AQ810" s="124" t="n"/>
      <c r="AR810" s="124" t="n"/>
      <c r="AS810" s="124" t="n"/>
      <c r="AT810" s="124" t="n"/>
      <c r="AU810" s="124" t="n"/>
      <c r="AV810" s="124" t="n"/>
      <c r="AW810" s="124" t="n"/>
      <c r="AX810" s="124" t="n"/>
      <c r="AY810" s="124" t="n"/>
      <c r="AZ810" s="124" t="n"/>
      <c r="BA810" s="124" t="n"/>
      <c r="BB810" s="124" t="n"/>
      <c r="BC810" s="124" t="n"/>
      <c r="BD810" s="124" t="n"/>
      <c r="BE810" s="124" t="n"/>
      <c r="BF810" s="124" t="n"/>
      <c r="BG810" s="124" t="n"/>
      <c r="BH810" s="124" t="n"/>
      <c r="BI810" s="124" t="n"/>
      <c r="BJ810" s="124" t="n"/>
      <c r="BK810" s="124" t="n"/>
      <c r="BL810" s="124" t="n"/>
      <c r="BM810" s="124" t="n"/>
      <c r="BN810" s="124" t="n"/>
      <c r="BO810" s="124" t="n"/>
      <c r="BP810" s="124" t="n"/>
      <c r="BQ810" s="124" t="n"/>
      <c r="BR810" s="124" t="n"/>
      <c r="BS810" s="124" t="n"/>
      <c r="BT810" s="124" t="n"/>
      <c r="BU810" s="124" t="n"/>
      <c r="BV810" s="124" t="n"/>
      <c r="BW810" s="124" t="n"/>
      <c r="BX810" s="124" t="n"/>
      <c r="BY810" s="124" t="n"/>
      <c r="BZ810" s="124" t="n"/>
      <c r="CA810" s="124" t="n"/>
      <c r="CB810" s="124" t="n"/>
      <c r="CC810" s="124" t="n"/>
      <c r="CD810" s="124" t="n"/>
      <c r="CE810" s="124" t="n"/>
      <c r="CF810" s="124" t="n"/>
      <c r="CG810" s="124" t="n"/>
      <c r="CH810" s="124" t="n"/>
      <c r="CI810" s="124" t="n"/>
      <c r="CJ810" s="124" t="n"/>
      <c r="CK810" s="124" t="n"/>
      <c r="CL810" s="124" t="n"/>
      <c r="CM810" s="124" t="n"/>
      <c r="CN810" s="124" t="n"/>
      <c r="CO810" s="124" t="n"/>
      <c r="CP810" s="124" t="n"/>
      <c r="CQ810" s="124" t="n"/>
      <c r="CR810" s="124" t="n"/>
      <c r="CS810" s="124" t="n"/>
      <c r="CT810" s="124" t="n"/>
      <c r="CU810" s="124" t="n"/>
      <c r="CV810" s="124" t="n"/>
      <c r="CW810" s="124" t="n"/>
      <c r="CX810" s="124" t="n"/>
      <c r="CY810" s="124" t="n"/>
      <c r="CZ810" s="124" t="n"/>
      <c r="DA810" s="124" t="n"/>
      <c r="DB810" s="124" t="n"/>
      <c r="DC810" s="124" t="n"/>
      <c r="DD810" s="124" t="n"/>
      <c r="DE810" s="124" t="n"/>
      <c r="DF810" s="124" t="n"/>
      <c r="DG810" s="124" t="n"/>
      <c r="DH810" s="124" t="n"/>
      <c r="DI810" s="124" t="n"/>
      <c r="DJ810" s="124" t="n"/>
      <c r="DK810" s="124" t="n"/>
      <c r="DL810" s="124" t="n"/>
      <c r="DM810" s="124" t="n"/>
      <c r="DN810" s="124" t="n"/>
      <c r="DO810" s="124" t="n"/>
      <c r="DP810" s="124" t="n"/>
      <c r="DQ810" s="124" t="n"/>
      <c r="DR810" s="124" t="n"/>
      <c r="DS810" s="124" t="n"/>
      <c r="DT810" s="124" t="n"/>
      <c r="DU810" s="124" t="n"/>
      <c r="DV810" s="124" t="n"/>
      <c r="DW810" s="124" t="n"/>
      <c r="DX810" s="124" t="n"/>
      <c r="DY810" s="124" t="n"/>
      <c r="DZ810" s="124" t="n"/>
      <c r="EA810" s="124" t="n"/>
      <c r="EB810" s="124" t="n"/>
      <c r="EC810" s="124" t="n"/>
      <c r="ED810" s="124" t="n"/>
      <c r="EE810" s="124" t="n"/>
      <c r="EF810" s="124" t="n"/>
      <c r="EG810" s="124" t="n"/>
      <c r="EH810" s="124" t="n"/>
      <c r="EI810" s="124" t="n"/>
      <c r="EJ810" s="124" t="n"/>
      <c r="EK810" s="124" t="n"/>
      <c r="EL810" s="124" t="n"/>
      <c r="EM810" s="124" t="n"/>
      <c r="EN810" s="124" t="n"/>
      <c r="EO810" s="124" t="n"/>
      <c r="EP810" s="124" t="n"/>
      <c r="EQ810" s="124" t="n"/>
      <c r="ER810" s="124" t="n"/>
      <c r="ES810" s="124" t="n"/>
      <c r="ET810" s="124" t="n"/>
      <c r="EU810" s="124" t="n"/>
      <c r="EV810" s="124" t="n"/>
      <c r="EW810" s="124" t="n"/>
      <c r="EX810" s="124" t="n"/>
      <c r="EY810" s="124" t="n"/>
      <c r="EZ810" s="124" t="n"/>
      <c r="FA810" s="124" t="n"/>
      <c r="FB810" s="124" t="n"/>
      <c r="FC810" s="124" t="n"/>
      <c r="FD810" s="124" t="n"/>
      <c r="FE810" s="124" t="n"/>
      <c r="FF810" s="124" t="n"/>
      <c r="FG810" s="124" t="n"/>
      <c r="FH810" s="124" t="n"/>
      <c r="FI810" s="124" t="n"/>
      <c r="FJ810" s="124" t="n"/>
      <c r="FK810" s="124" t="n"/>
      <c r="FL810" s="124" t="n"/>
      <c r="FM810" s="124" t="n"/>
      <c r="FN810" s="124" t="n"/>
      <c r="FO810" s="124" t="n"/>
      <c r="FP810" s="124" t="n"/>
      <c r="FQ810" s="124" t="n"/>
      <c r="FR810" s="124" t="n"/>
      <c r="FS810" s="124" t="n"/>
      <c r="FT810" s="124" t="n"/>
      <c r="FU810" s="124" t="n"/>
      <c r="FV810" s="124" t="n"/>
      <c r="FW810" s="124" t="n"/>
      <c r="FX810" s="124" t="n"/>
      <c r="FY810" s="124" t="n"/>
      <c r="FZ810" s="124" t="n"/>
      <c r="GA810" s="124" t="n"/>
      <c r="GB810" s="124" t="n"/>
      <c r="GC810" s="124" t="n"/>
      <c r="GD810" s="124" t="n"/>
      <c r="GE810" s="124" t="n"/>
      <c r="GF810" s="124" t="n"/>
      <c r="GG810" s="124" t="n"/>
      <c r="GH810" s="124" t="n"/>
      <c r="GI810" s="124" t="n"/>
      <c r="GJ810" s="124" t="n"/>
      <c r="GK810" s="124" t="n"/>
      <c r="GL810" s="124" t="n"/>
      <c r="GM810" s="124" t="n"/>
      <c r="GN810" s="124" t="n"/>
      <c r="GO810" s="124" t="n"/>
      <c r="GP810" s="124" t="n"/>
      <c r="GQ810" s="124" t="n"/>
      <c r="GR810" s="124" t="n"/>
      <c r="GS810" s="124" t="n"/>
      <c r="GT810" s="124" t="n"/>
      <c r="GU810" s="124" t="n"/>
      <c r="GV810" s="124" t="n"/>
      <c r="GW810" s="124" t="n"/>
      <c r="GX810" s="124" t="n"/>
      <c r="GY810" s="124" t="n"/>
      <c r="GZ810" s="124" t="n"/>
      <c r="HA810" s="124" t="n"/>
      <c r="HB810" s="124" t="n"/>
      <c r="HC810" s="124" t="n"/>
      <c r="HD810" s="124" t="n"/>
      <c r="HE810" s="124" t="n"/>
      <c r="HF810" s="124" t="n"/>
      <c r="HG810" s="124" t="n"/>
      <c r="HH810" s="124" t="n"/>
      <c r="HI810" s="124" t="n"/>
      <c r="HJ810" s="124" t="n"/>
      <c r="HK810" s="124" t="n"/>
      <c r="HL810" s="124" t="n"/>
    </row>
    <row r="811" ht="27.6" customFormat="1" customHeight="1" s="3">
      <c r="A811" s="33" t="n"/>
      <c r="B811" s="34" t="n"/>
      <c r="C811" s="38" t="inlineStr">
        <is>
          <t>Монтаж бетонная плитка Б.1.К8 по ГОСТ 17608-2017 - 0,08</t>
        </is>
      </c>
      <c r="D811" s="36" t="inlineStr">
        <is>
          <t>м2</t>
        </is>
      </c>
      <c r="E811" s="123" t="n">
        <v>1975</v>
      </c>
      <c r="F811" s="124" t="n"/>
      <c r="G811" s="124" t="n"/>
      <c r="H811" s="124" t="n"/>
      <c r="I811" s="124" t="n"/>
      <c r="J811" s="124" t="n"/>
      <c r="K811" s="124" t="n"/>
      <c r="L811" s="124" t="n"/>
      <c r="M811" s="124" t="n"/>
      <c r="N811" s="124" t="n"/>
      <c r="O811" s="124" t="n"/>
      <c r="P811" s="124" t="n"/>
      <c r="Q811" s="124" t="n"/>
      <c r="R811" s="124" t="n"/>
      <c r="S811" s="124" t="n"/>
      <c r="T811" s="124" t="n"/>
      <c r="U811" s="124" t="n"/>
      <c r="V811" s="124" t="n"/>
      <c r="W811" s="124" t="n"/>
      <c r="X811" s="124" t="n"/>
      <c r="Y811" s="124" t="n"/>
      <c r="Z811" s="124" t="n"/>
      <c r="AA811" s="124" t="n"/>
      <c r="AB811" s="124" t="n"/>
      <c r="AC811" s="124" t="n"/>
      <c r="AD811" s="124" t="n"/>
      <c r="AE811" s="124" t="n"/>
      <c r="AF811" s="124" t="n"/>
      <c r="AG811" s="124" t="n"/>
      <c r="AH811" s="124" t="n"/>
      <c r="AI811" s="124" t="n"/>
      <c r="AJ811" s="124" t="n"/>
      <c r="AK811" s="124" t="n"/>
      <c r="AL811" s="124" t="n"/>
      <c r="AM811" s="124" t="n"/>
      <c r="AN811" s="124" t="n"/>
      <c r="AO811" s="124" t="n"/>
      <c r="AP811" s="124" t="n"/>
      <c r="AQ811" s="124" t="n"/>
      <c r="AR811" s="124" t="n"/>
      <c r="AS811" s="124" t="n"/>
      <c r="AT811" s="124" t="n"/>
      <c r="AU811" s="124" t="n"/>
      <c r="AV811" s="124" t="n"/>
      <c r="AW811" s="124" t="n"/>
      <c r="AX811" s="124" t="n"/>
      <c r="AY811" s="124" t="n"/>
      <c r="AZ811" s="124" t="n"/>
      <c r="BA811" s="124" t="n"/>
      <c r="BB811" s="124" t="n"/>
      <c r="BC811" s="124" t="n"/>
      <c r="BD811" s="124" t="n"/>
      <c r="BE811" s="124" t="n"/>
      <c r="BF811" s="124" t="n"/>
      <c r="BG811" s="124" t="n"/>
      <c r="BH811" s="124" t="n"/>
      <c r="BI811" s="124" t="n"/>
      <c r="BJ811" s="124" t="n"/>
      <c r="BK811" s="124" t="n"/>
      <c r="BL811" s="124" t="n"/>
      <c r="BM811" s="124" t="n"/>
      <c r="BN811" s="124" t="n"/>
      <c r="BO811" s="124" t="n"/>
      <c r="BP811" s="124" t="n"/>
      <c r="BQ811" s="124" t="n"/>
      <c r="BR811" s="124" t="n"/>
      <c r="BS811" s="124" t="n"/>
      <c r="BT811" s="124" t="n"/>
      <c r="BU811" s="124" t="n"/>
      <c r="BV811" s="124" t="n"/>
      <c r="BW811" s="124" t="n"/>
      <c r="BX811" s="124" t="n"/>
      <c r="BY811" s="124" t="n"/>
      <c r="BZ811" s="124" t="n"/>
      <c r="CA811" s="124" t="n"/>
      <c r="CB811" s="124" t="n"/>
      <c r="CC811" s="124" t="n"/>
      <c r="CD811" s="124" t="n"/>
      <c r="CE811" s="124" t="n"/>
      <c r="CF811" s="124" t="n"/>
      <c r="CG811" s="124" t="n"/>
      <c r="CH811" s="124" t="n"/>
      <c r="CI811" s="124" t="n"/>
      <c r="CJ811" s="124" t="n"/>
      <c r="CK811" s="124" t="n"/>
      <c r="CL811" s="124" t="n"/>
      <c r="CM811" s="124" t="n"/>
      <c r="CN811" s="124" t="n"/>
      <c r="CO811" s="124" t="n"/>
      <c r="CP811" s="124" t="n"/>
      <c r="CQ811" s="124" t="n"/>
      <c r="CR811" s="124" t="n"/>
      <c r="CS811" s="124" t="n"/>
      <c r="CT811" s="124" t="n"/>
      <c r="CU811" s="124" t="n"/>
      <c r="CV811" s="124" t="n"/>
      <c r="CW811" s="124" t="n"/>
      <c r="CX811" s="124" t="n"/>
      <c r="CY811" s="124" t="n"/>
      <c r="CZ811" s="124" t="n"/>
      <c r="DA811" s="124" t="n"/>
      <c r="DB811" s="124" t="n"/>
      <c r="DC811" s="124" t="n"/>
      <c r="DD811" s="124" t="n"/>
      <c r="DE811" s="124" t="n"/>
      <c r="DF811" s="124" t="n"/>
      <c r="DG811" s="124" t="n"/>
      <c r="DH811" s="124" t="n"/>
      <c r="DI811" s="124" t="n"/>
      <c r="DJ811" s="124" t="n"/>
      <c r="DK811" s="124" t="n"/>
      <c r="DL811" s="124" t="n"/>
      <c r="DM811" s="124" t="n"/>
      <c r="DN811" s="124" t="n"/>
      <c r="DO811" s="124" t="n"/>
      <c r="DP811" s="124" t="n"/>
      <c r="DQ811" s="124" t="n"/>
      <c r="DR811" s="124" t="n"/>
      <c r="DS811" s="124" t="n"/>
      <c r="DT811" s="124" t="n"/>
      <c r="DU811" s="124" t="n"/>
      <c r="DV811" s="124" t="n"/>
      <c r="DW811" s="124" t="n"/>
      <c r="DX811" s="124" t="n"/>
      <c r="DY811" s="124" t="n"/>
      <c r="DZ811" s="124" t="n"/>
      <c r="EA811" s="124" t="n"/>
      <c r="EB811" s="124" t="n"/>
      <c r="EC811" s="124" t="n"/>
      <c r="ED811" s="124" t="n"/>
      <c r="EE811" s="124" t="n"/>
      <c r="EF811" s="124" t="n"/>
      <c r="EG811" s="124" t="n"/>
      <c r="EH811" s="124" t="n"/>
      <c r="EI811" s="124" t="n"/>
      <c r="EJ811" s="124" t="n"/>
      <c r="EK811" s="124" t="n"/>
      <c r="EL811" s="124" t="n"/>
      <c r="EM811" s="124" t="n"/>
      <c r="EN811" s="124" t="n"/>
      <c r="EO811" s="124" t="n"/>
      <c r="EP811" s="124" t="n"/>
      <c r="EQ811" s="124" t="n"/>
      <c r="ER811" s="124" t="n"/>
      <c r="ES811" s="124" t="n"/>
      <c r="ET811" s="124" t="n"/>
      <c r="EU811" s="124" t="n"/>
      <c r="EV811" s="124" t="n"/>
      <c r="EW811" s="124" t="n"/>
      <c r="EX811" s="124" t="n"/>
      <c r="EY811" s="124" t="n"/>
      <c r="EZ811" s="124" t="n"/>
      <c r="FA811" s="124" t="n"/>
      <c r="FB811" s="124" t="n"/>
      <c r="FC811" s="124" t="n"/>
      <c r="FD811" s="124" t="n"/>
      <c r="FE811" s="124" t="n"/>
      <c r="FF811" s="124" t="n"/>
      <c r="FG811" s="124" t="n"/>
      <c r="FH811" s="124" t="n"/>
      <c r="FI811" s="124" t="n"/>
      <c r="FJ811" s="124" t="n"/>
      <c r="FK811" s="124" t="n"/>
      <c r="FL811" s="124" t="n"/>
      <c r="FM811" s="124" t="n"/>
      <c r="FN811" s="124" t="n"/>
      <c r="FO811" s="124" t="n"/>
      <c r="FP811" s="124" t="n"/>
      <c r="FQ811" s="124" t="n"/>
      <c r="FR811" s="124" t="n"/>
      <c r="FS811" s="124" t="n"/>
      <c r="FT811" s="124" t="n"/>
      <c r="FU811" s="124" t="n"/>
      <c r="FV811" s="124" t="n"/>
      <c r="FW811" s="124" t="n"/>
      <c r="FX811" s="124" t="n"/>
      <c r="FY811" s="124" t="n"/>
      <c r="FZ811" s="124" t="n"/>
      <c r="GA811" s="124" t="n"/>
      <c r="GB811" s="124" t="n"/>
      <c r="GC811" s="124" t="n"/>
      <c r="GD811" s="124" t="n"/>
      <c r="GE811" s="124" t="n"/>
      <c r="GF811" s="124" t="n"/>
      <c r="GG811" s="124" t="n"/>
      <c r="GH811" s="124" t="n"/>
      <c r="GI811" s="124" t="n"/>
      <c r="GJ811" s="124" t="n"/>
      <c r="GK811" s="124" t="n"/>
      <c r="GL811" s="124" t="n"/>
      <c r="GM811" s="124" t="n"/>
      <c r="GN811" s="124" t="n"/>
      <c r="GO811" s="124" t="n"/>
      <c r="GP811" s="124" t="n"/>
      <c r="GQ811" s="124" t="n"/>
      <c r="GR811" s="124" t="n"/>
      <c r="GS811" s="124" t="n"/>
      <c r="GT811" s="124" t="n"/>
      <c r="GU811" s="124" t="n"/>
      <c r="GV811" s="124" t="n"/>
      <c r="GW811" s="124" t="n"/>
      <c r="GX811" s="124" t="n"/>
      <c r="GY811" s="124" t="n"/>
      <c r="GZ811" s="124" t="n"/>
      <c r="HA811" s="124" t="n"/>
      <c r="HB811" s="124" t="n"/>
      <c r="HC811" s="124" t="n"/>
      <c r="HD811" s="124" t="n"/>
      <c r="HE811" s="124" t="n"/>
      <c r="HF811" s="124" t="n"/>
      <c r="HG811" s="124" t="n"/>
      <c r="HH811" s="124" t="n"/>
      <c r="HI811" s="124" t="n"/>
      <c r="HJ811" s="124" t="n"/>
      <c r="HK811" s="124" t="n"/>
      <c r="HL811" s="124" t="n"/>
    </row>
    <row r="812" ht="14.4" customFormat="1" customHeight="1" s="3">
      <c r="A812" s="26" t="inlineStr">
        <is>
          <t>7 этап</t>
        </is>
      </c>
      <c r="B812" s="27" t="n"/>
      <c r="C812" s="60" t="inlineStr">
        <is>
          <t xml:space="preserve">Покрытие Tип 111 из брусчатки </t>
        </is>
      </c>
      <c r="D812" s="54" t="inlineStr">
        <is>
          <t>м2</t>
        </is>
      </c>
      <c r="E812" s="126" t="n">
        <v>375</v>
      </c>
      <c r="F812" s="124" t="n"/>
      <c r="G812" s="124" t="n"/>
      <c r="H812" s="124" t="n"/>
      <c r="I812" s="124" t="n"/>
      <c r="J812" s="124" t="n"/>
      <c r="K812" s="124" t="n"/>
      <c r="L812" s="124" t="n"/>
      <c r="M812" s="124" t="n"/>
      <c r="N812" s="124" t="n"/>
      <c r="O812" s="124" t="n"/>
      <c r="P812" s="124" t="n"/>
      <c r="Q812" s="124" t="n"/>
      <c r="R812" s="124" t="n"/>
      <c r="S812" s="124" t="n"/>
      <c r="T812" s="124" t="n"/>
      <c r="U812" s="124" t="n"/>
      <c r="V812" s="124" t="n"/>
      <c r="W812" s="124" t="n"/>
      <c r="X812" s="124" t="n"/>
      <c r="Y812" s="124" t="n"/>
      <c r="Z812" s="124" t="n"/>
      <c r="AA812" s="124" t="n"/>
      <c r="AB812" s="124" t="n"/>
      <c r="AC812" s="124" t="n"/>
      <c r="AD812" s="124" t="n"/>
      <c r="AE812" s="124" t="n"/>
      <c r="AF812" s="124" t="n"/>
      <c r="AG812" s="124" t="n"/>
      <c r="AH812" s="124" t="n"/>
      <c r="AI812" s="124" t="n"/>
      <c r="AJ812" s="124" t="n"/>
      <c r="AK812" s="124" t="n"/>
      <c r="AL812" s="124" t="n"/>
      <c r="AM812" s="124" t="n"/>
      <c r="AN812" s="124" t="n"/>
      <c r="AO812" s="124" t="n"/>
      <c r="AP812" s="124" t="n"/>
      <c r="AQ812" s="124" t="n"/>
      <c r="AR812" s="124" t="n"/>
      <c r="AS812" s="124" t="n"/>
      <c r="AT812" s="124" t="n"/>
      <c r="AU812" s="124" t="n"/>
      <c r="AV812" s="124" t="n"/>
      <c r="AW812" s="124" t="n"/>
      <c r="AX812" s="124" t="n"/>
      <c r="AY812" s="124" t="n"/>
      <c r="AZ812" s="124" t="n"/>
      <c r="BA812" s="124" t="n"/>
      <c r="BB812" s="124" t="n"/>
      <c r="BC812" s="124" t="n"/>
      <c r="BD812" s="124" t="n"/>
      <c r="BE812" s="124" t="n"/>
      <c r="BF812" s="124" t="n"/>
      <c r="BG812" s="124" t="n"/>
      <c r="BH812" s="124" t="n"/>
      <c r="BI812" s="124" t="n"/>
      <c r="BJ812" s="124" t="n"/>
      <c r="BK812" s="124" t="n"/>
      <c r="BL812" s="124" t="n"/>
      <c r="BM812" s="124" t="n"/>
      <c r="BN812" s="124" t="n"/>
      <c r="BO812" s="124" t="n"/>
      <c r="BP812" s="124" t="n"/>
      <c r="BQ812" s="124" t="n"/>
      <c r="BR812" s="124" t="n"/>
      <c r="BS812" s="124" t="n"/>
      <c r="BT812" s="124" t="n"/>
      <c r="BU812" s="124" t="n"/>
      <c r="BV812" s="124" t="n"/>
      <c r="BW812" s="124" t="n"/>
      <c r="BX812" s="124" t="n"/>
      <c r="BY812" s="124" t="n"/>
      <c r="BZ812" s="124" t="n"/>
      <c r="CA812" s="124" t="n"/>
      <c r="CB812" s="124" t="n"/>
      <c r="CC812" s="124" t="n"/>
      <c r="CD812" s="124" t="n"/>
      <c r="CE812" s="124" t="n"/>
      <c r="CF812" s="124" t="n"/>
      <c r="CG812" s="124" t="n"/>
      <c r="CH812" s="124" t="n"/>
      <c r="CI812" s="124" t="n"/>
      <c r="CJ812" s="124" t="n"/>
      <c r="CK812" s="124" t="n"/>
      <c r="CL812" s="124" t="n"/>
      <c r="CM812" s="124" t="n"/>
      <c r="CN812" s="124" t="n"/>
      <c r="CO812" s="124" t="n"/>
      <c r="CP812" s="124" t="n"/>
      <c r="CQ812" s="124" t="n"/>
      <c r="CR812" s="124" t="n"/>
      <c r="CS812" s="124" t="n"/>
      <c r="CT812" s="124" t="n"/>
      <c r="CU812" s="124" t="n"/>
      <c r="CV812" s="124" t="n"/>
      <c r="CW812" s="124" t="n"/>
      <c r="CX812" s="124" t="n"/>
      <c r="CY812" s="124" t="n"/>
      <c r="CZ812" s="124" t="n"/>
      <c r="DA812" s="124" t="n"/>
      <c r="DB812" s="124" t="n"/>
      <c r="DC812" s="124" t="n"/>
      <c r="DD812" s="124" t="n"/>
      <c r="DE812" s="124" t="n"/>
      <c r="DF812" s="124" t="n"/>
      <c r="DG812" s="124" t="n"/>
      <c r="DH812" s="124" t="n"/>
      <c r="DI812" s="124" t="n"/>
      <c r="DJ812" s="124" t="n"/>
      <c r="DK812" s="124" t="n"/>
      <c r="DL812" s="124" t="n"/>
      <c r="DM812" s="124" t="n"/>
      <c r="DN812" s="124" t="n"/>
      <c r="DO812" s="124" t="n"/>
      <c r="DP812" s="124" t="n"/>
      <c r="DQ812" s="124" t="n"/>
      <c r="DR812" s="124" t="n"/>
      <c r="DS812" s="124" t="n"/>
      <c r="DT812" s="124" t="n"/>
      <c r="DU812" s="124" t="n"/>
      <c r="DV812" s="124" t="n"/>
      <c r="DW812" s="124" t="n"/>
      <c r="DX812" s="124" t="n"/>
      <c r="DY812" s="124" t="n"/>
      <c r="DZ812" s="124" t="n"/>
      <c r="EA812" s="124" t="n"/>
      <c r="EB812" s="124" t="n"/>
      <c r="EC812" s="124" t="n"/>
      <c r="ED812" s="124" t="n"/>
      <c r="EE812" s="124" t="n"/>
      <c r="EF812" s="124" t="n"/>
      <c r="EG812" s="124" t="n"/>
      <c r="EH812" s="124" t="n"/>
      <c r="EI812" s="124" t="n"/>
      <c r="EJ812" s="124" t="n"/>
      <c r="EK812" s="124" t="n"/>
      <c r="EL812" s="124" t="n"/>
      <c r="EM812" s="124" t="n"/>
      <c r="EN812" s="124" t="n"/>
      <c r="EO812" s="124" t="n"/>
      <c r="EP812" s="124" t="n"/>
      <c r="EQ812" s="124" t="n"/>
      <c r="ER812" s="124" t="n"/>
      <c r="ES812" s="124" t="n"/>
      <c r="ET812" s="124" t="n"/>
      <c r="EU812" s="124" t="n"/>
      <c r="EV812" s="124" t="n"/>
      <c r="EW812" s="124" t="n"/>
      <c r="EX812" s="124" t="n"/>
      <c r="EY812" s="124" t="n"/>
      <c r="EZ812" s="124" t="n"/>
      <c r="FA812" s="124" t="n"/>
      <c r="FB812" s="124" t="n"/>
      <c r="FC812" s="124" t="n"/>
      <c r="FD812" s="124" t="n"/>
      <c r="FE812" s="124" t="n"/>
      <c r="FF812" s="124" t="n"/>
      <c r="FG812" s="124" t="n"/>
      <c r="FH812" s="124" t="n"/>
      <c r="FI812" s="124" t="n"/>
      <c r="FJ812" s="124" t="n"/>
      <c r="FK812" s="124" t="n"/>
      <c r="FL812" s="124" t="n"/>
      <c r="FM812" s="124" t="n"/>
      <c r="FN812" s="124" t="n"/>
      <c r="FO812" s="124" t="n"/>
      <c r="FP812" s="124" t="n"/>
      <c r="FQ812" s="124" t="n"/>
      <c r="FR812" s="124" t="n"/>
      <c r="FS812" s="124" t="n"/>
      <c r="FT812" s="124" t="n"/>
      <c r="FU812" s="124" t="n"/>
      <c r="FV812" s="124" t="n"/>
      <c r="FW812" s="124" t="n"/>
      <c r="FX812" s="124" t="n"/>
      <c r="FY812" s="124" t="n"/>
      <c r="FZ812" s="124" t="n"/>
      <c r="GA812" s="124" t="n"/>
      <c r="GB812" s="124" t="n"/>
      <c r="GC812" s="124" t="n"/>
      <c r="GD812" s="124" t="n"/>
      <c r="GE812" s="124" t="n"/>
      <c r="GF812" s="124" t="n"/>
      <c r="GG812" s="124" t="n"/>
      <c r="GH812" s="124" t="n"/>
      <c r="GI812" s="124" t="n"/>
      <c r="GJ812" s="124" t="n"/>
      <c r="GK812" s="124" t="n"/>
      <c r="GL812" s="124" t="n"/>
      <c r="GM812" s="124" t="n"/>
      <c r="GN812" s="124" t="n"/>
      <c r="GO812" s="124" t="n"/>
      <c r="GP812" s="124" t="n"/>
      <c r="GQ812" s="124" t="n"/>
      <c r="GR812" s="124" t="n"/>
      <c r="GS812" s="124" t="n"/>
      <c r="GT812" s="124" t="n"/>
      <c r="GU812" s="124" t="n"/>
      <c r="GV812" s="124" t="n"/>
      <c r="GW812" s="124" t="n"/>
      <c r="GX812" s="124" t="n"/>
      <c r="GY812" s="124" t="n"/>
      <c r="GZ812" s="124" t="n"/>
      <c r="HA812" s="124" t="n"/>
      <c r="HB812" s="124" t="n"/>
      <c r="HC812" s="124" t="n"/>
      <c r="HD812" s="124" t="n"/>
      <c r="HE812" s="124" t="n"/>
      <c r="HF812" s="124" t="n"/>
      <c r="HG812" s="124" t="n"/>
      <c r="HH812" s="124" t="n"/>
      <c r="HI812" s="124" t="n"/>
      <c r="HJ812" s="124" t="n"/>
      <c r="HK812" s="124" t="n"/>
      <c r="HL812" s="124" t="n"/>
    </row>
    <row r="813" customFormat="1" s="3">
      <c r="A813" s="33" t="n"/>
      <c r="B813" s="34" t="n"/>
      <c r="C813" s="38" t="inlineStr">
        <is>
          <t>Уплотнение грунта основания</t>
        </is>
      </c>
      <c r="D813" s="36" t="inlineStr">
        <is>
          <t>м2</t>
        </is>
      </c>
      <c r="E813" s="123">
        <f>E812*1.2</f>
        <v/>
      </c>
      <c r="F813" s="124" t="n"/>
      <c r="G813" s="124" t="n"/>
      <c r="H813" s="124" t="n"/>
      <c r="I813" s="124" t="n"/>
      <c r="J813" s="124" t="n"/>
      <c r="K813" s="124" t="n"/>
      <c r="L813" s="124" t="n"/>
      <c r="M813" s="124" t="n"/>
      <c r="N813" s="124" t="n"/>
      <c r="O813" s="124" t="n"/>
      <c r="P813" s="124" t="n"/>
      <c r="Q813" s="124" t="n"/>
      <c r="R813" s="124" t="n"/>
      <c r="S813" s="124" t="n"/>
      <c r="T813" s="124" t="n"/>
      <c r="U813" s="124" t="n"/>
      <c r="V813" s="124" t="n"/>
      <c r="W813" s="124" t="n"/>
      <c r="X813" s="124" t="n"/>
      <c r="Y813" s="124" t="n"/>
      <c r="Z813" s="124" t="n"/>
      <c r="AA813" s="124" t="n"/>
      <c r="AB813" s="124" t="n"/>
      <c r="AC813" s="124" t="n"/>
      <c r="AD813" s="124" t="n"/>
      <c r="AE813" s="124" t="n"/>
      <c r="AF813" s="124" t="n"/>
      <c r="AG813" s="124" t="n"/>
      <c r="AH813" s="124" t="n"/>
      <c r="AI813" s="124" t="n"/>
      <c r="AJ813" s="124" t="n"/>
      <c r="AK813" s="124" t="n"/>
      <c r="AL813" s="124" t="n"/>
      <c r="AM813" s="124" t="n"/>
      <c r="AN813" s="124" t="n"/>
      <c r="AO813" s="124" t="n"/>
      <c r="AP813" s="124" t="n"/>
      <c r="AQ813" s="124" t="n"/>
      <c r="AR813" s="124" t="n"/>
      <c r="AS813" s="124" t="n"/>
      <c r="AT813" s="124" t="n"/>
      <c r="AU813" s="124" t="n"/>
      <c r="AV813" s="124" t="n"/>
      <c r="AW813" s="124" t="n"/>
      <c r="AX813" s="124" t="n"/>
      <c r="AY813" s="124" t="n"/>
      <c r="AZ813" s="124" t="n"/>
      <c r="BA813" s="124" t="n"/>
      <c r="BB813" s="124" t="n"/>
      <c r="BC813" s="124" t="n"/>
      <c r="BD813" s="124" t="n"/>
      <c r="BE813" s="124" t="n"/>
      <c r="BF813" s="124" t="n"/>
      <c r="BG813" s="124" t="n"/>
      <c r="BH813" s="124" t="n"/>
      <c r="BI813" s="124" t="n"/>
      <c r="BJ813" s="124" t="n"/>
      <c r="BK813" s="124" t="n"/>
      <c r="BL813" s="124" t="n"/>
      <c r="BM813" s="124" t="n"/>
      <c r="BN813" s="124" t="n"/>
      <c r="BO813" s="124" t="n"/>
      <c r="BP813" s="124" t="n"/>
      <c r="BQ813" s="124" t="n"/>
      <c r="BR813" s="124" t="n"/>
      <c r="BS813" s="124" t="n"/>
      <c r="BT813" s="124" t="n"/>
      <c r="BU813" s="124" t="n"/>
      <c r="BV813" s="124" t="n"/>
      <c r="BW813" s="124" t="n"/>
      <c r="BX813" s="124" t="n"/>
      <c r="BY813" s="124" t="n"/>
      <c r="BZ813" s="124" t="n"/>
      <c r="CA813" s="124" t="n"/>
      <c r="CB813" s="124" t="n"/>
      <c r="CC813" s="124" t="n"/>
      <c r="CD813" s="124" t="n"/>
      <c r="CE813" s="124" t="n"/>
      <c r="CF813" s="124" t="n"/>
      <c r="CG813" s="124" t="n"/>
      <c r="CH813" s="124" t="n"/>
      <c r="CI813" s="124" t="n"/>
      <c r="CJ813" s="124" t="n"/>
      <c r="CK813" s="124" t="n"/>
      <c r="CL813" s="124" t="n"/>
      <c r="CM813" s="124" t="n"/>
      <c r="CN813" s="124" t="n"/>
      <c r="CO813" s="124" t="n"/>
      <c r="CP813" s="124" t="n"/>
      <c r="CQ813" s="124" t="n"/>
      <c r="CR813" s="124" t="n"/>
      <c r="CS813" s="124" t="n"/>
      <c r="CT813" s="124" t="n"/>
      <c r="CU813" s="124" t="n"/>
      <c r="CV813" s="124" t="n"/>
      <c r="CW813" s="124" t="n"/>
      <c r="CX813" s="124" t="n"/>
      <c r="CY813" s="124" t="n"/>
      <c r="CZ813" s="124" t="n"/>
      <c r="DA813" s="124" t="n"/>
      <c r="DB813" s="124" t="n"/>
      <c r="DC813" s="124" t="n"/>
      <c r="DD813" s="124" t="n"/>
      <c r="DE813" s="124" t="n"/>
      <c r="DF813" s="124" t="n"/>
      <c r="DG813" s="124" t="n"/>
      <c r="DH813" s="124" t="n"/>
      <c r="DI813" s="124" t="n"/>
      <c r="DJ813" s="124" t="n"/>
      <c r="DK813" s="124" t="n"/>
      <c r="DL813" s="124" t="n"/>
      <c r="DM813" s="124" t="n"/>
      <c r="DN813" s="124" t="n"/>
      <c r="DO813" s="124" t="n"/>
      <c r="DP813" s="124" t="n"/>
      <c r="DQ813" s="124" t="n"/>
      <c r="DR813" s="124" t="n"/>
      <c r="DS813" s="124" t="n"/>
      <c r="DT813" s="124" t="n"/>
      <c r="DU813" s="124" t="n"/>
      <c r="DV813" s="124" t="n"/>
      <c r="DW813" s="124" t="n"/>
      <c r="DX813" s="124" t="n"/>
      <c r="DY813" s="124" t="n"/>
      <c r="DZ813" s="124" t="n"/>
      <c r="EA813" s="124" t="n"/>
      <c r="EB813" s="124" t="n"/>
      <c r="EC813" s="124" t="n"/>
      <c r="ED813" s="124" t="n"/>
      <c r="EE813" s="124" t="n"/>
      <c r="EF813" s="124" t="n"/>
      <c r="EG813" s="124" t="n"/>
      <c r="EH813" s="124" t="n"/>
      <c r="EI813" s="124" t="n"/>
      <c r="EJ813" s="124" t="n"/>
      <c r="EK813" s="124" t="n"/>
      <c r="EL813" s="124" t="n"/>
      <c r="EM813" s="124" t="n"/>
      <c r="EN813" s="124" t="n"/>
      <c r="EO813" s="124" t="n"/>
      <c r="EP813" s="124" t="n"/>
      <c r="EQ813" s="124" t="n"/>
      <c r="ER813" s="124" t="n"/>
      <c r="ES813" s="124" t="n"/>
      <c r="ET813" s="124" t="n"/>
      <c r="EU813" s="124" t="n"/>
      <c r="EV813" s="124" t="n"/>
      <c r="EW813" s="124" t="n"/>
      <c r="EX813" s="124" t="n"/>
      <c r="EY813" s="124" t="n"/>
      <c r="EZ813" s="124" t="n"/>
      <c r="FA813" s="124" t="n"/>
      <c r="FB813" s="124" t="n"/>
      <c r="FC813" s="124" t="n"/>
      <c r="FD813" s="124" t="n"/>
      <c r="FE813" s="124" t="n"/>
      <c r="FF813" s="124" t="n"/>
      <c r="FG813" s="124" t="n"/>
      <c r="FH813" s="124" t="n"/>
      <c r="FI813" s="124" t="n"/>
      <c r="FJ813" s="124" t="n"/>
      <c r="FK813" s="124" t="n"/>
      <c r="FL813" s="124" t="n"/>
      <c r="FM813" s="124" t="n"/>
      <c r="FN813" s="124" t="n"/>
      <c r="FO813" s="124" t="n"/>
      <c r="FP813" s="124" t="n"/>
      <c r="FQ813" s="124" t="n"/>
      <c r="FR813" s="124" t="n"/>
      <c r="FS813" s="124" t="n"/>
      <c r="FT813" s="124" t="n"/>
      <c r="FU813" s="124" t="n"/>
      <c r="FV813" s="124" t="n"/>
      <c r="FW813" s="124" t="n"/>
      <c r="FX813" s="124" t="n"/>
      <c r="FY813" s="124" t="n"/>
      <c r="FZ813" s="124" t="n"/>
      <c r="GA813" s="124" t="n"/>
      <c r="GB813" s="124" t="n"/>
      <c r="GC813" s="124" t="n"/>
      <c r="GD813" s="124" t="n"/>
      <c r="GE813" s="124" t="n"/>
      <c r="GF813" s="124" t="n"/>
      <c r="GG813" s="124" t="n"/>
      <c r="GH813" s="124" t="n"/>
      <c r="GI813" s="124" t="n"/>
      <c r="GJ813" s="124" t="n"/>
      <c r="GK813" s="124" t="n"/>
      <c r="GL813" s="124" t="n"/>
      <c r="GM813" s="124" t="n"/>
      <c r="GN813" s="124" t="n"/>
      <c r="GO813" s="124" t="n"/>
      <c r="GP813" s="124" t="n"/>
      <c r="GQ813" s="124" t="n"/>
      <c r="GR813" s="124" t="n"/>
      <c r="GS813" s="124" t="n"/>
      <c r="GT813" s="124" t="n"/>
      <c r="GU813" s="124" t="n"/>
      <c r="GV813" s="124" t="n"/>
      <c r="GW813" s="124" t="n"/>
      <c r="GX813" s="124" t="n"/>
      <c r="GY813" s="124" t="n"/>
      <c r="GZ813" s="124" t="n"/>
      <c r="HA813" s="124" t="n"/>
      <c r="HB813" s="124" t="n"/>
      <c r="HC813" s="124" t="n"/>
      <c r="HD813" s="124" t="n"/>
      <c r="HE813" s="124" t="n"/>
      <c r="HF813" s="124" t="n"/>
      <c r="HG813" s="124" t="n"/>
      <c r="HH813" s="124" t="n"/>
      <c r="HI813" s="124" t="n"/>
      <c r="HJ813" s="124" t="n"/>
      <c r="HK813" s="124" t="n"/>
      <c r="HL813" s="124" t="n"/>
    </row>
    <row r="814" customFormat="1" s="3">
      <c r="A814" s="33" t="n"/>
      <c r="B814" s="34" t="n"/>
      <c r="C814" s="38" t="inlineStr">
        <is>
          <t>Щебеночное основание 220мм</t>
        </is>
      </c>
      <c r="D814" s="36" t="inlineStr">
        <is>
          <t>м2</t>
        </is>
      </c>
      <c r="E814" s="123">
        <f>E812*1.2</f>
        <v/>
      </c>
      <c r="F814" s="124" t="n"/>
      <c r="G814" s="124" t="n"/>
      <c r="H814" s="124" t="n"/>
      <c r="I814" s="124" t="n"/>
      <c r="J814" s="124" t="n"/>
      <c r="K814" s="124" t="n"/>
      <c r="L814" s="124" t="n"/>
      <c r="M814" s="124" t="n"/>
      <c r="N814" s="124" t="n"/>
      <c r="O814" s="124" t="n"/>
      <c r="P814" s="124" t="n"/>
      <c r="Q814" s="124" t="n"/>
      <c r="R814" s="124" t="n"/>
      <c r="S814" s="124" t="n"/>
      <c r="T814" s="124" t="n"/>
      <c r="U814" s="124" t="n"/>
      <c r="V814" s="124" t="n"/>
      <c r="W814" s="124" t="n"/>
      <c r="X814" s="124" t="n"/>
      <c r="Y814" s="124" t="n"/>
      <c r="Z814" s="124" t="n"/>
      <c r="AA814" s="124" t="n"/>
      <c r="AB814" s="124" t="n"/>
      <c r="AC814" s="124" t="n"/>
      <c r="AD814" s="124" t="n"/>
      <c r="AE814" s="124" t="n"/>
      <c r="AF814" s="124" t="n"/>
      <c r="AG814" s="124" t="n"/>
      <c r="AH814" s="124" t="n"/>
      <c r="AI814" s="124" t="n"/>
      <c r="AJ814" s="124" t="n"/>
      <c r="AK814" s="124" t="n"/>
      <c r="AL814" s="124" t="n"/>
      <c r="AM814" s="124" t="n"/>
      <c r="AN814" s="124" t="n"/>
      <c r="AO814" s="124" t="n"/>
      <c r="AP814" s="124" t="n"/>
      <c r="AQ814" s="124" t="n"/>
      <c r="AR814" s="124" t="n"/>
      <c r="AS814" s="124" t="n"/>
      <c r="AT814" s="124" t="n"/>
      <c r="AU814" s="124" t="n"/>
      <c r="AV814" s="124" t="n"/>
      <c r="AW814" s="124" t="n"/>
      <c r="AX814" s="124" t="n"/>
      <c r="AY814" s="124" t="n"/>
      <c r="AZ814" s="124" t="n"/>
      <c r="BA814" s="124" t="n"/>
      <c r="BB814" s="124" t="n"/>
      <c r="BC814" s="124" t="n"/>
      <c r="BD814" s="124" t="n"/>
      <c r="BE814" s="124" t="n"/>
      <c r="BF814" s="124" t="n"/>
      <c r="BG814" s="124" t="n"/>
      <c r="BH814" s="124" t="n"/>
      <c r="BI814" s="124" t="n"/>
      <c r="BJ814" s="124" t="n"/>
      <c r="BK814" s="124" t="n"/>
      <c r="BL814" s="124" t="n"/>
      <c r="BM814" s="124" t="n"/>
      <c r="BN814" s="124" t="n"/>
      <c r="BO814" s="124" t="n"/>
      <c r="BP814" s="124" t="n"/>
      <c r="BQ814" s="124" t="n"/>
      <c r="BR814" s="124" t="n"/>
      <c r="BS814" s="124" t="n"/>
      <c r="BT814" s="124" t="n"/>
      <c r="BU814" s="124" t="n"/>
      <c r="BV814" s="124" t="n"/>
      <c r="BW814" s="124" t="n"/>
      <c r="BX814" s="124" t="n"/>
      <c r="BY814" s="124" t="n"/>
      <c r="BZ814" s="124" t="n"/>
      <c r="CA814" s="124" t="n"/>
      <c r="CB814" s="124" t="n"/>
      <c r="CC814" s="124" t="n"/>
      <c r="CD814" s="124" t="n"/>
      <c r="CE814" s="124" t="n"/>
      <c r="CF814" s="124" t="n"/>
      <c r="CG814" s="124" t="n"/>
      <c r="CH814" s="124" t="n"/>
      <c r="CI814" s="124" t="n"/>
      <c r="CJ814" s="124" t="n"/>
      <c r="CK814" s="124" t="n"/>
      <c r="CL814" s="124" t="n"/>
      <c r="CM814" s="124" t="n"/>
      <c r="CN814" s="124" t="n"/>
      <c r="CO814" s="124" t="n"/>
      <c r="CP814" s="124" t="n"/>
      <c r="CQ814" s="124" t="n"/>
      <c r="CR814" s="124" t="n"/>
      <c r="CS814" s="124" t="n"/>
      <c r="CT814" s="124" t="n"/>
      <c r="CU814" s="124" t="n"/>
      <c r="CV814" s="124" t="n"/>
      <c r="CW814" s="124" t="n"/>
      <c r="CX814" s="124" t="n"/>
      <c r="CY814" s="124" t="n"/>
      <c r="CZ814" s="124" t="n"/>
      <c r="DA814" s="124" t="n"/>
      <c r="DB814" s="124" t="n"/>
      <c r="DC814" s="124" t="n"/>
      <c r="DD814" s="124" t="n"/>
      <c r="DE814" s="124" t="n"/>
      <c r="DF814" s="124" t="n"/>
      <c r="DG814" s="124" t="n"/>
      <c r="DH814" s="124" t="n"/>
      <c r="DI814" s="124" t="n"/>
      <c r="DJ814" s="124" t="n"/>
      <c r="DK814" s="124" t="n"/>
      <c r="DL814" s="124" t="n"/>
      <c r="DM814" s="124" t="n"/>
      <c r="DN814" s="124" t="n"/>
      <c r="DO814" s="124" t="n"/>
      <c r="DP814" s="124" t="n"/>
      <c r="DQ814" s="124" t="n"/>
      <c r="DR814" s="124" t="n"/>
      <c r="DS814" s="124" t="n"/>
      <c r="DT814" s="124" t="n"/>
      <c r="DU814" s="124" t="n"/>
      <c r="DV814" s="124" t="n"/>
      <c r="DW814" s="124" t="n"/>
      <c r="DX814" s="124" t="n"/>
      <c r="DY814" s="124" t="n"/>
      <c r="DZ814" s="124" t="n"/>
      <c r="EA814" s="124" t="n"/>
      <c r="EB814" s="124" t="n"/>
      <c r="EC814" s="124" t="n"/>
      <c r="ED814" s="124" t="n"/>
      <c r="EE814" s="124" t="n"/>
      <c r="EF814" s="124" t="n"/>
      <c r="EG814" s="124" t="n"/>
      <c r="EH814" s="124" t="n"/>
      <c r="EI814" s="124" t="n"/>
      <c r="EJ814" s="124" t="n"/>
      <c r="EK814" s="124" t="n"/>
      <c r="EL814" s="124" t="n"/>
      <c r="EM814" s="124" t="n"/>
      <c r="EN814" s="124" t="n"/>
      <c r="EO814" s="124" t="n"/>
      <c r="EP814" s="124" t="n"/>
      <c r="EQ814" s="124" t="n"/>
      <c r="ER814" s="124" t="n"/>
      <c r="ES814" s="124" t="n"/>
      <c r="ET814" s="124" t="n"/>
      <c r="EU814" s="124" t="n"/>
      <c r="EV814" s="124" t="n"/>
      <c r="EW814" s="124" t="n"/>
      <c r="EX814" s="124" t="n"/>
      <c r="EY814" s="124" t="n"/>
      <c r="EZ814" s="124" t="n"/>
      <c r="FA814" s="124" t="n"/>
      <c r="FB814" s="124" t="n"/>
      <c r="FC814" s="124" t="n"/>
      <c r="FD814" s="124" t="n"/>
      <c r="FE814" s="124" t="n"/>
      <c r="FF814" s="124" t="n"/>
      <c r="FG814" s="124" t="n"/>
      <c r="FH814" s="124" t="n"/>
      <c r="FI814" s="124" t="n"/>
      <c r="FJ814" s="124" t="n"/>
      <c r="FK814" s="124" t="n"/>
      <c r="FL814" s="124" t="n"/>
      <c r="FM814" s="124" t="n"/>
      <c r="FN814" s="124" t="n"/>
      <c r="FO814" s="124" t="n"/>
      <c r="FP814" s="124" t="n"/>
      <c r="FQ814" s="124" t="n"/>
      <c r="FR814" s="124" t="n"/>
      <c r="FS814" s="124" t="n"/>
      <c r="FT814" s="124" t="n"/>
      <c r="FU814" s="124" t="n"/>
      <c r="FV814" s="124" t="n"/>
      <c r="FW814" s="124" t="n"/>
      <c r="FX814" s="124" t="n"/>
      <c r="FY814" s="124" t="n"/>
      <c r="FZ814" s="124" t="n"/>
      <c r="GA814" s="124" t="n"/>
      <c r="GB814" s="124" t="n"/>
      <c r="GC814" s="124" t="n"/>
      <c r="GD814" s="124" t="n"/>
      <c r="GE814" s="124" t="n"/>
      <c r="GF814" s="124" t="n"/>
      <c r="GG814" s="124" t="n"/>
      <c r="GH814" s="124" t="n"/>
      <c r="GI814" s="124" t="n"/>
      <c r="GJ814" s="124" t="n"/>
      <c r="GK814" s="124" t="n"/>
      <c r="GL814" s="124" t="n"/>
      <c r="GM814" s="124" t="n"/>
      <c r="GN814" s="124" t="n"/>
      <c r="GO814" s="124" t="n"/>
      <c r="GP814" s="124" t="n"/>
      <c r="GQ814" s="124" t="n"/>
      <c r="GR814" s="124" t="n"/>
      <c r="GS814" s="124" t="n"/>
      <c r="GT814" s="124" t="n"/>
      <c r="GU814" s="124" t="n"/>
      <c r="GV814" s="124" t="n"/>
      <c r="GW814" s="124" t="n"/>
      <c r="GX814" s="124" t="n"/>
      <c r="GY814" s="124" t="n"/>
      <c r="GZ814" s="124" t="n"/>
      <c r="HA814" s="124" t="n"/>
      <c r="HB814" s="124" t="n"/>
      <c r="HC814" s="124" t="n"/>
      <c r="HD814" s="124" t="n"/>
      <c r="HE814" s="124" t="n"/>
      <c r="HF814" s="124" t="n"/>
      <c r="HG814" s="124" t="n"/>
      <c r="HH814" s="124" t="n"/>
      <c r="HI814" s="124" t="n"/>
      <c r="HJ814" s="124" t="n"/>
      <c r="HK814" s="124" t="n"/>
      <c r="HL814" s="124" t="n"/>
    </row>
    <row r="815" ht="45" customFormat="1" customHeight="1" s="3">
      <c r="A815" s="33" t="n"/>
      <c r="B815" s="34" t="n"/>
      <c r="C815" s="38" t="inlineStr">
        <is>
          <t>Бордюр из бортового камня БР 100.20.8 на бетонном основании</t>
        </is>
      </c>
      <c r="D815" s="36" t="inlineStr">
        <is>
          <t>м/п</t>
        </is>
      </c>
      <c r="E815" s="123" t="n">
        <v>395</v>
      </c>
      <c r="F815" s="124" t="n"/>
      <c r="G815" s="124" t="n"/>
      <c r="H815" s="124" t="n"/>
      <c r="I815" s="124" t="n"/>
      <c r="J815" s="124" t="n"/>
      <c r="K815" s="124" t="n"/>
      <c r="L815" s="124" t="n"/>
      <c r="M815" s="124" t="n"/>
      <c r="N815" s="124" t="n"/>
      <c r="O815" s="124" t="n"/>
      <c r="P815" s="124" t="n"/>
      <c r="Q815" s="124" t="n"/>
      <c r="R815" s="124" t="n"/>
      <c r="S815" s="124" t="n"/>
      <c r="T815" s="124" t="n"/>
      <c r="U815" s="124" t="n"/>
      <c r="V815" s="124" t="n"/>
      <c r="W815" s="124" t="n"/>
      <c r="X815" s="124" t="n"/>
      <c r="Y815" s="124" t="n"/>
      <c r="Z815" s="124" t="n"/>
      <c r="AA815" s="124" t="n"/>
      <c r="AB815" s="124" t="n"/>
      <c r="AC815" s="124" t="n"/>
      <c r="AD815" s="124" t="n"/>
      <c r="AE815" s="124" t="n"/>
      <c r="AF815" s="124" t="n"/>
      <c r="AG815" s="124" t="n"/>
      <c r="AH815" s="124" t="n"/>
      <c r="AI815" s="124" t="n"/>
      <c r="AJ815" s="124" t="n"/>
      <c r="AK815" s="124" t="n"/>
      <c r="AL815" s="124" t="n"/>
      <c r="AM815" s="124" t="n"/>
      <c r="AN815" s="124" t="n"/>
      <c r="AO815" s="124" t="n"/>
      <c r="AP815" s="124" t="n"/>
      <c r="AQ815" s="124" t="n"/>
      <c r="AR815" s="124" t="n"/>
      <c r="AS815" s="124" t="n"/>
      <c r="AT815" s="124" t="n"/>
      <c r="AU815" s="124" t="n"/>
      <c r="AV815" s="124" t="n"/>
      <c r="AW815" s="124" t="n"/>
      <c r="AX815" s="124" t="n"/>
      <c r="AY815" s="124" t="n"/>
      <c r="AZ815" s="124" t="n"/>
      <c r="BA815" s="124" t="n"/>
      <c r="BB815" s="124" t="n"/>
      <c r="BC815" s="124" t="n"/>
      <c r="BD815" s="124" t="n"/>
      <c r="BE815" s="124" t="n"/>
      <c r="BF815" s="124" t="n"/>
      <c r="BG815" s="124" t="n"/>
      <c r="BH815" s="124" t="n"/>
      <c r="BI815" s="124" t="n"/>
      <c r="BJ815" s="124" t="n"/>
      <c r="BK815" s="124" t="n"/>
      <c r="BL815" s="124" t="n"/>
      <c r="BM815" s="124" t="n"/>
      <c r="BN815" s="124" t="n"/>
      <c r="BO815" s="124" t="n"/>
      <c r="BP815" s="124" t="n"/>
      <c r="BQ815" s="124" t="n"/>
      <c r="BR815" s="124" t="n"/>
      <c r="BS815" s="124" t="n"/>
      <c r="BT815" s="124" t="n"/>
      <c r="BU815" s="124" t="n"/>
      <c r="BV815" s="124" t="n"/>
      <c r="BW815" s="124" t="n"/>
      <c r="BX815" s="124" t="n"/>
      <c r="BY815" s="124" t="n"/>
      <c r="BZ815" s="124" t="n"/>
      <c r="CA815" s="124" t="n"/>
      <c r="CB815" s="124" t="n"/>
      <c r="CC815" s="124" t="n"/>
      <c r="CD815" s="124" t="n"/>
      <c r="CE815" s="124" t="n"/>
      <c r="CF815" s="124" t="n"/>
      <c r="CG815" s="124" t="n"/>
      <c r="CH815" s="124" t="n"/>
      <c r="CI815" s="124" t="n"/>
      <c r="CJ815" s="124" t="n"/>
      <c r="CK815" s="124" t="n"/>
      <c r="CL815" s="124" t="n"/>
      <c r="CM815" s="124" t="n"/>
      <c r="CN815" s="124" t="n"/>
      <c r="CO815" s="124" t="n"/>
      <c r="CP815" s="124" t="n"/>
      <c r="CQ815" s="124" t="n"/>
      <c r="CR815" s="124" t="n"/>
      <c r="CS815" s="124" t="n"/>
      <c r="CT815" s="124" t="n"/>
      <c r="CU815" s="124" t="n"/>
      <c r="CV815" s="124" t="n"/>
      <c r="CW815" s="124" t="n"/>
      <c r="CX815" s="124" t="n"/>
      <c r="CY815" s="124" t="n"/>
      <c r="CZ815" s="124" t="n"/>
      <c r="DA815" s="124" t="n"/>
      <c r="DB815" s="124" t="n"/>
      <c r="DC815" s="124" t="n"/>
      <c r="DD815" s="124" t="n"/>
      <c r="DE815" s="124" t="n"/>
      <c r="DF815" s="124" t="n"/>
      <c r="DG815" s="124" t="n"/>
      <c r="DH815" s="124" t="n"/>
      <c r="DI815" s="124" t="n"/>
      <c r="DJ815" s="124" t="n"/>
      <c r="DK815" s="124" t="n"/>
      <c r="DL815" s="124" t="n"/>
      <c r="DM815" s="124" t="n"/>
      <c r="DN815" s="124" t="n"/>
      <c r="DO815" s="124" t="n"/>
      <c r="DP815" s="124" t="n"/>
      <c r="DQ815" s="124" t="n"/>
      <c r="DR815" s="124" t="n"/>
      <c r="DS815" s="124" t="n"/>
      <c r="DT815" s="124" t="n"/>
      <c r="DU815" s="124" t="n"/>
      <c r="DV815" s="124" t="n"/>
      <c r="DW815" s="124" t="n"/>
      <c r="DX815" s="124" t="n"/>
      <c r="DY815" s="124" t="n"/>
      <c r="DZ815" s="124" t="n"/>
      <c r="EA815" s="124" t="n"/>
      <c r="EB815" s="124" t="n"/>
      <c r="EC815" s="124" t="n"/>
      <c r="ED815" s="124" t="n"/>
      <c r="EE815" s="124" t="n"/>
      <c r="EF815" s="124" t="n"/>
      <c r="EG815" s="124" t="n"/>
      <c r="EH815" s="124" t="n"/>
      <c r="EI815" s="124" t="n"/>
      <c r="EJ815" s="124" t="n"/>
      <c r="EK815" s="124" t="n"/>
      <c r="EL815" s="124" t="n"/>
      <c r="EM815" s="124" t="n"/>
      <c r="EN815" s="124" t="n"/>
      <c r="EO815" s="124" t="n"/>
      <c r="EP815" s="124" t="n"/>
      <c r="EQ815" s="124" t="n"/>
      <c r="ER815" s="124" t="n"/>
      <c r="ES815" s="124" t="n"/>
      <c r="ET815" s="124" t="n"/>
      <c r="EU815" s="124" t="n"/>
      <c r="EV815" s="124" t="n"/>
      <c r="EW815" s="124" t="n"/>
      <c r="EX815" s="124" t="n"/>
      <c r="EY815" s="124" t="n"/>
      <c r="EZ815" s="124" t="n"/>
      <c r="FA815" s="124" t="n"/>
      <c r="FB815" s="124" t="n"/>
      <c r="FC815" s="124" t="n"/>
      <c r="FD815" s="124" t="n"/>
      <c r="FE815" s="124" t="n"/>
      <c r="FF815" s="124" t="n"/>
      <c r="FG815" s="124" t="n"/>
      <c r="FH815" s="124" t="n"/>
      <c r="FI815" s="124" t="n"/>
      <c r="FJ815" s="124" t="n"/>
      <c r="FK815" s="124" t="n"/>
      <c r="FL815" s="124" t="n"/>
      <c r="FM815" s="124" t="n"/>
      <c r="FN815" s="124" t="n"/>
      <c r="FO815" s="124" t="n"/>
      <c r="FP815" s="124" t="n"/>
      <c r="FQ815" s="124" t="n"/>
      <c r="FR815" s="124" t="n"/>
      <c r="FS815" s="124" t="n"/>
      <c r="FT815" s="124" t="n"/>
      <c r="FU815" s="124" t="n"/>
      <c r="FV815" s="124" t="n"/>
      <c r="FW815" s="124" t="n"/>
      <c r="FX815" s="124" t="n"/>
      <c r="FY815" s="124" t="n"/>
      <c r="FZ815" s="124" t="n"/>
      <c r="GA815" s="124" t="n"/>
      <c r="GB815" s="124" t="n"/>
      <c r="GC815" s="124" t="n"/>
      <c r="GD815" s="124" t="n"/>
      <c r="GE815" s="124" t="n"/>
      <c r="GF815" s="124" t="n"/>
      <c r="GG815" s="124" t="n"/>
      <c r="GH815" s="124" t="n"/>
      <c r="GI815" s="124" t="n"/>
      <c r="GJ815" s="124" t="n"/>
      <c r="GK815" s="124" t="n"/>
      <c r="GL815" s="124" t="n"/>
      <c r="GM815" s="124" t="n"/>
      <c r="GN815" s="124" t="n"/>
      <c r="GO815" s="124" t="n"/>
      <c r="GP815" s="124" t="n"/>
      <c r="GQ815" s="124" t="n"/>
      <c r="GR815" s="124" t="n"/>
      <c r="GS815" s="124" t="n"/>
      <c r="GT815" s="124" t="n"/>
      <c r="GU815" s="124" t="n"/>
      <c r="GV815" s="124" t="n"/>
      <c r="GW815" s="124" t="n"/>
      <c r="GX815" s="124" t="n"/>
      <c r="GY815" s="124" t="n"/>
      <c r="GZ815" s="124" t="n"/>
      <c r="HA815" s="124" t="n"/>
      <c r="HB815" s="124" t="n"/>
      <c r="HC815" s="124" t="n"/>
      <c r="HD815" s="124" t="n"/>
      <c r="HE815" s="124" t="n"/>
      <c r="HF815" s="124" t="n"/>
      <c r="HG815" s="124" t="n"/>
      <c r="HH815" s="124" t="n"/>
      <c r="HI815" s="124" t="n"/>
      <c r="HJ815" s="124" t="n"/>
      <c r="HK815" s="124" t="n"/>
      <c r="HL815" s="124" t="n"/>
    </row>
    <row r="816" ht="19.8" customFormat="1" customHeight="1" s="3">
      <c r="A816" s="33" t="n"/>
      <c r="B816" s="34" t="n"/>
      <c r="C816" s="38" t="inlineStr">
        <is>
          <t>Песчаное основание укрепленное 10% цемента 40мм</t>
        </is>
      </c>
      <c r="D816" s="36" t="inlineStr">
        <is>
          <t>м2</t>
        </is>
      </c>
      <c r="E816" s="123" t="n">
        <v>375</v>
      </c>
      <c r="F816" s="124" t="n"/>
      <c r="G816" s="124" t="n"/>
      <c r="H816" s="124" t="n"/>
      <c r="I816" s="124" t="n"/>
      <c r="J816" s="124" t="n"/>
      <c r="K816" s="124" t="n"/>
      <c r="L816" s="124" t="n"/>
      <c r="M816" s="124" t="n"/>
      <c r="N816" s="124" t="n"/>
      <c r="O816" s="124" t="n"/>
      <c r="P816" s="124" t="n"/>
      <c r="Q816" s="124" t="n"/>
      <c r="R816" s="124" t="n"/>
      <c r="S816" s="124" t="n"/>
      <c r="T816" s="124" t="n"/>
      <c r="U816" s="124" t="n"/>
      <c r="V816" s="124" t="n"/>
      <c r="W816" s="124" t="n"/>
      <c r="X816" s="124" t="n"/>
      <c r="Y816" s="124" t="n"/>
      <c r="Z816" s="124" t="n"/>
      <c r="AA816" s="124" t="n"/>
      <c r="AB816" s="124" t="n"/>
      <c r="AC816" s="124" t="n"/>
      <c r="AD816" s="124" t="n"/>
      <c r="AE816" s="124" t="n"/>
      <c r="AF816" s="124" t="n"/>
      <c r="AG816" s="124" t="n"/>
      <c r="AH816" s="124" t="n"/>
      <c r="AI816" s="124" t="n"/>
      <c r="AJ816" s="124" t="n"/>
      <c r="AK816" s="124" t="n"/>
      <c r="AL816" s="124" t="n"/>
      <c r="AM816" s="124" t="n"/>
      <c r="AN816" s="124" t="n"/>
      <c r="AO816" s="124" t="n"/>
      <c r="AP816" s="124" t="n"/>
      <c r="AQ816" s="124" t="n"/>
      <c r="AR816" s="124" t="n"/>
      <c r="AS816" s="124" t="n"/>
      <c r="AT816" s="124" t="n"/>
      <c r="AU816" s="124" t="n"/>
      <c r="AV816" s="124" t="n"/>
      <c r="AW816" s="124" t="n"/>
      <c r="AX816" s="124" t="n"/>
      <c r="AY816" s="124" t="n"/>
      <c r="AZ816" s="124" t="n"/>
      <c r="BA816" s="124" t="n"/>
      <c r="BB816" s="124" t="n"/>
      <c r="BC816" s="124" t="n"/>
      <c r="BD816" s="124" t="n"/>
      <c r="BE816" s="124" t="n"/>
      <c r="BF816" s="124" t="n"/>
      <c r="BG816" s="124" t="n"/>
      <c r="BH816" s="124" t="n"/>
      <c r="BI816" s="124" t="n"/>
      <c r="BJ816" s="124" t="n"/>
      <c r="BK816" s="124" t="n"/>
      <c r="BL816" s="124" t="n"/>
      <c r="BM816" s="124" t="n"/>
      <c r="BN816" s="124" t="n"/>
      <c r="BO816" s="124" t="n"/>
      <c r="BP816" s="124" t="n"/>
      <c r="BQ816" s="124" t="n"/>
      <c r="BR816" s="124" t="n"/>
      <c r="BS816" s="124" t="n"/>
      <c r="BT816" s="124" t="n"/>
      <c r="BU816" s="124" t="n"/>
      <c r="BV816" s="124" t="n"/>
      <c r="BW816" s="124" t="n"/>
      <c r="BX816" s="124" t="n"/>
      <c r="BY816" s="124" t="n"/>
      <c r="BZ816" s="124" t="n"/>
      <c r="CA816" s="124" t="n"/>
      <c r="CB816" s="124" t="n"/>
      <c r="CC816" s="124" t="n"/>
      <c r="CD816" s="124" t="n"/>
      <c r="CE816" s="124" t="n"/>
      <c r="CF816" s="124" t="n"/>
      <c r="CG816" s="124" t="n"/>
      <c r="CH816" s="124" t="n"/>
      <c r="CI816" s="124" t="n"/>
      <c r="CJ816" s="124" t="n"/>
      <c r="CK816" s="124" t="n"/>
      <c r="CL816" s="124" t="n"/>
      <c r="CM816" s="124" t="n"/>
      <c r="CN816" s="124" t="n"/>
      <c r="CO816" s="124" t="n"/>
      <c r="CP816" s="124" t="n"/>
      <c r="CQ816" s="124" t="n"/>
      <c r="CR816" s="124" t="n"/>
      <c r="CS816" s="124" t="n"/>
      <c r="CT816" s="124" t="n"/>
      <c r="CU816" s="124" t="n"/>
      <c r="CV816" s="124" t="n"/>
      <c r="CW816" s="124" t="n"/>
      <c r="CX816" s="124" t="n"/>
      <c r="CY816" s="124" t="n"/>
      <c r="CZ816" s="124" t="n"/>
      <c r="DA816" s="124" t="n"/>
      <c r="DB816" s="124" t="n"/>
      <c r="DC816" s="124" t="n"/>
      <c r="DD816" s="124" t="n"/>
      <c r="DE816" s="124" t="n"/>
      <c r="DF816" s="124" t="n"/>
      <c r="DG816" s="124" t="n"/>
      <c r="DH816" s="124" t="n"/>
      <c r="DI816" s="124" t="n"/>
      <c r="DJ816" s="124" t="n"/>
      <c r="DK816" s="124" t="n"/>
      <c r="DL816" s="124" t="n"/>
      <c r="DM816" s="124" t="n"/>
      <c r="DN816" s="124" t="n"/>
      <c r="DO816" s="124" t="n"/>
      <c r="DP816" s="124" t="n"/>
      <c r="DQ816" s="124" t="n"/>
      <c r="DR816" s="124" t="n"/>
      <c r="DS816" s="124" t="n"/>
      <c r="DT816" s="124" t="n"/>
      <c r="DU816" s="124" t="n"/>
      <c r="DV816" s="124" t="n"/>
      <c r="DW816" s="124" t="n"/>
      <c r="DX816" s="124" t="n"/>
      <c r="DY816" s="124" t="n"/>
      <c r="DZ816" s="124" t="n"/>
      <c r="EA816" s="124" t="n"/>
      <c r="EB816" s="124" t="n"/>
      <c r="EC816" s="124" t="n"/>
      <c r="ED816" s="124" t="n"/>
      <c r="EE816" s="124" t="n"/>
      <c r="EF816" s="124" t="n"/>
      <c r="EG816" s="124" t="n"/>
      <c r="EH816" s="124" t="n"/>
      <c r="EI816" s="124" t="n"/>
      <c r="EJ816" s="124" t="n"/>
      <c r="EK816" s="124" t="n"/>
      <c r="EL816" s="124" t="n"/>
      <c r="EM816" s="124" t="n"/>
      <c r="EN816" s="124" t="n"/>
      <c r="EO816" s="124" t="n"/>
      <c r="EP816" s="124" t="n"/>
      <c r="EQ816" s="124" t="n"/>
      <c r="ER816" s="124" t="n"/>
      <c r="ES816" s="124" t="n"/>
      <c r="ET816" s="124" t="n"/>
      <c r="EU816" s="124" t="n"/>
      <c r="EV816" s="124" t="n"/>
      <c r="EW816" s="124" t="n"/>
      <c r="EX816" s="124" t="n"/>
      <c r="EY816" s="124" t="n"/>
      <c r="EZ816" s="124" t="n"/>
      <c r="FA816" s="124" t="n"/>
      <c r="FB816" s="124" t="n"/>
      <c r="FC816" s="124" t="n"/>
      <c r="FD816" s="124" t="n"/>
      <c r="FE816" s="124" t="n"/>
      <c r="FF816" s="124" t="n"/>
      <c r="FG816" s="124" t="n"/>
      <c r="FH816" s="124" t="n"/>
      <c r="FI816" s="124" t="n"/>
      <c r="FJ816" s="124" t="n"/>
      <c r="FK816" s="124" t="n"/>
      <c r="FL816" s="124" t="n"/>
      <c r="FM816" s="124" t="n"/>
      <c r="FN816" s="124" t="n"/>
      <c r="FO816" s="124" t="n"/>
      <c r="FP816" s="124" t="n"/>
      <c r="FQ816" s="124" t="n"/>
      <c r="FR816" s="124" t="n"/>
      <c r="FS816" s="124" t="n"/>
      <c r="FT816" s="124" t="n"/>
      <c r="FU816" s="124" t="n"/>
      <c r="FV816" s="124" t="n"/>
      <c r="FW816" s="124" t="n"/>
      <c r="FX816" s="124" t="n"/>
      <c r="FY816" s="124" t="n"/>
      <c r="FZ816" s="124" t="n"/>
      <c r="GA816" s="124" t="n"/>
      <c r="GB816" s="124" t="n"/>
      <c r="GC816" s="124" t="n"/>
      <c r="GD816" s="124" t="n"/>
      <c r="GE816" s="124" t="n"/>
      <c r="GF816" s="124" t="n"/>
      <c r="GG816" s="124" t="n"/>
      <c r="GH816" s="124" t="n"/>
      <c r="GI816" s="124" t="n"/>
      <c r="GJ816" s="124" t="n"/>
      <c r="GK816" s="124" t="n"/>
      <c r="GL816" s="124" t="n"/>
      <c r="GM816" s="124" t="n"/>
      <c r="GN816" s="124" t="n"/>
      <c r="GO816" s="124" t="n"/>
      <c r="GP816" s="124" t="n"/>
      <c r="GQ816" s="124" t="n"/>
      <c r="GR816" s="124" t="n"/>
      <c r="GS816" s="124" t="n"/>
      <c r="GT816" s="124" t="n"/>
      <c r="GU816" s="124" t="n"/>
      <c r="GV816" s="124" t="n"/>
      <c r="GW816" s="124" t="n"/>
      <c r="GX816" s="124" t="n"/>
      <c r="GY816" s="124" t="n"/>
      <c r="GZ816" s="124" t="n"/>
      <c r="HA816" s="124" t="n"/>
      <c r="HB816" s="124" t="n"/>
      <c r="HC816" s="124" t="n"/>
      <c r="HD816" s="124" t="n"/>
      <c r="HE816" s="124" t="n"/>
      <c r="HF816" s="124" t="n"/>
      <c r="HG816" s="124" t="n"/>
      <c r="HH816" s="124" t="n"/>
      <c r="HI816" s="124" t="n"/>
      <c r="HJ816" s="124" t="n"/>
      <c r="HK816" s="124" t="n"/>
      <c r="HL816" s="124" t="n"/>
    </row>
    <row r="817" customFormat="1" s="3">
      <c r="A817" s="33" t="n"/>
      <c r="B817" s="34" t="n"/>
      <c r="C817" s="38" t="inlineStr">
        <is>
          <t>Бетонная плитка Б.7.К6 по ГОСТ 17608-2017 - 0,06м.</t>
        </is>
      </c>
      <c r="D817" s="36" t="inlineStr">
        <is>
          <t>м2</t>
        </is>
      </c>
      <c r="E817" s="123" t="n">
        <v>375</v>
      </c>
      <c r="F817" s="124" t="n"/>
      <c r="G817" s="124" t="n"/>
      <c r="H817" s="124" t="n"/>
      <c r="I817" s="124" t="n"/>
      <c r="J817" s="124" t="n"/>
      <c r="K817" s="124" t="n"/>
      <c r="L817" s="124" t="n"/>
      <c r="M817" s="124" t="n"/>
      <c r="N817" s="124" t="n"/>
      <c r="O817" s="124" t="n"/>
      <c r="P817" s="124" t="n"/>
      <c r="Q817" s="124" t="n"/>
      <c r="R817" s="124" t="n"/>
      <c r="S817" s="124" t="n"/>
      <c r="T817" s="124" t="n"/>
      <c r="U817" s="124" t="n"/>
      <c r="V817" s="124" t="n"/>
      <c r="W817" s="124" t="n"/>
      <c r="X817" s="124" t="n"/>
      <c r="Y817" s="124" t="n"/>
      <c r="Z817" s="124" t="n"/>
      <c r="AA817" s="124" t="n"/>
      <c r="AB817" s="124" t="n"/>
      <c r="AC817" s="124" t="n"/>
      <c r="AD817" s="124" t="n"/>
      <c r="AE817" s="124" t="n"/>
      <c r="AF817" s="124" t="n"/>
      <c r="AG817" s="124" t="n"/>
      <c r="AH817" s="124" t="n"/>
      <c r="AI817" s="124" t="n"/>
      <c r="AJ817" s="124" t="n"/>
      <c r="AK817" s="124" t="n"/>
      <c r="AL817" s="124" t="n"/>
      <c r="AM817" s="124" t="n"/>
      <c r="AN817" s="124" t="n"/>
      <c r="AO817" s="124" t="n"/>
      <c r="AP817" s="124" t="n"/>
      <c r="AQ817" s="124" t="n"/>
      <c r="AR817" s="124" t="n"/>
      <c r="AS817" s="124" t="n"/>
      <c r="AT817" s="124" t="n"/>
      <c r="AU817" s="124" t="n"/>
      <c r="AV817" s="124" t="n"/>
      <c r="AW817" s="124" t="n"/>
      <c r="AX817" s="124" t="n"/>
      <c r="AY817" s="124" t="n"/>
      <c r="AZ817" s="124" t="n"/>
      <c r="BA817" s="124" t="n"/>
      <c r="BB817" s="124" t="n"/>
      <c r="BC817" s="124" t="n"/>
      <c r="BD817" s="124" t="n"/>
      <c r="BE817" s="124" t="n"/>
      <c r="BF817" s="124" t="n"/>
      <c r="BG817" s="124" t="n"/>
      <c r="BH817" s="124" t="n"/>
      <c r="BI817" s="124" t="n"/>
      <c r="BJ817" s="124" t="n"/>
      <c r="BK817" s="124" t="n"/>
      <c r="BL817" s="124" t="n"/>
      <c r="BM817" s="124" t="n"/>
      <c r="BN817" s="124" t="n"/>
      <c r="BO817" s="124" t="n"/>
      <c r="BP817" s="124" t="n"/>
      <c r="BQ817" s="124" t="n"/>
      <c r="BR817" s="124" t="n"/>
      <c r="BS817" s="124" t="n"/>
      <c r="BT817" s="124" t="n"/>
      <c r="BU817" s="124" t="n"/>
      <c r="BV817" s="124" t="n"/>
      <c r="BW817" s="124" t="n"/>
      <c r="BX817" s="124" t="n"/>
      <c r="BY817" s="124" t="n"/>
      <c r="BZ817" s="124" t="n"/>
      <c r="CA817" s="124" t="n"/>
      <c r="CB817" s="124" t="n"/>
      <c r="CC817" s="124" t="n"/>
      <c r="CD817" s="124" t="n"/>
      <c r="CE817" s="124" t="n"/>
      <c r="CF817" s="124" t="n"/>
      <c r="CG817" s="124" t="n"/>
      <c r="CH817" s="124" t="n"/>
      <c r="CI817" s="124" t="n"/>
      <c r="CJ817" s="124" t="n"/>
      <c r="CK817" s="124" t="n"/>
      <c r="CL817" s="124" t="n"/>
      <c r="CM817" s="124" t="n"/>
      <c r="CN817" s="124" t="n"/>
      <c r="CO817" s="124" t="n"/>
      <c r="CP817" s="124" t="n"/>
      <c r="CQ817" s="124" t="n"/>
      <c r="CR817" s="124" t="n"/>
      <c r="CS817" s="124" t="n"/>
      <c r="CT817" s="124" t="n"/>
      <c r="CU817" s="124" t="n"/>
      <c r="CV817" s="124" t="n"/>
      <c r="CW817" s="124" t="n"/>
      <c r="CX817" s="124" t="n"/>
      <c r="CY817" s="124" t="n"/>
      <c r="CZ817" s="124" t="n"/>
      <c r="DA817" s="124" t="n"/>
      <c r="DB817" s="124" t="n"/>
      <c r="DC817" s="124" t="n"/>
      <c r="DD817" s="124" t="n"/>
      <c r="DE817" s="124" t="n"/>
      <c r="DF817" s="124" t="n"/>
      <c r="DG817" s="124" t="n"/>
      <c r="DH817" s="124" t="n"/>
      <c r="DI817" s="124" t="n"/>
      <c r="DJ817" s="124" t="n"/>
      <c r="DK817" s="124" t="n"/>
      <c r="DL817" s="124" t="n"/>
      <c r="DM817" s="124" t="n"/>
      <c r="DN817" s="124" t="n"/>
      <c r="DO817" s="124" t="n"/>
      <c r="DP817" s="124" t="n"/>
      <c r="DQ817" s="124" t="n"/>
      <c r="DR817" s="124" t="n"/>
      <c r="DS817" s="124" t="n"/>
      <c r="DT817" s="124" t="n"/>
      <c r="DU817" s="124" t="n"/>
      <c r="DV817" s="124" t="n"/>
      <c r="DW817" s="124" t="n"/>
      <c r="DX817" s="124" t="n"/>
      <c r="DY817" s="124" t="n"/>
      <c r="DZ817" s="124" t="n"/>
      <c r="EA817" s="124" t="n"/>
      <c r="EB817" s="124" t="n"/>
      <c r="EC817" s="124" t="n"/>
      <c r="ED817" s="124" t="n"/>
      <c r="EE817" s="124" t="n"/>
      <c r="EF817" s="124" t="n"/>
      <c r="EG817" s="124" t="n"/>
      <c r="EH817" s="124" t="n"/>
      <c r="EI817" s="124" t="n"/>
      <c r="EJ817" s="124" t="n"/>
      <c r="EK817" s="124" t="n"/>
      <c r="EL817" s="124" t="n"/>
      <c r="EM817" s="124" t="n"/>
      <c r="EN817" s="124" t="n"/>
      <c r="EO817" s="124" t="n"/>
      <c r="EP817" s="124" t="n"/>
      <c r="EQ817" s="124" t="n"/>
      <c r="ER817" s="124" t="n"/>
      <c r="ES817" s="124" t="n"/>
      <c r="ET817" s="124" t="n"/>
      <c r="EU817" s="124" t="n"/>
      <c r="EV817" s="124" t="n"/>
      <c r="EW817" s="124" t="n"/>
      <c r="EX817" s="124" t="n"/>
      <c r="EY817" s="124" t="n"/>
      <c r="EZ817" s="124" t="n"/>
      <c r="FA817" s="124" t="n"/>
      <c r="FB817" s="124" t="n"/>
      <c r="FC817" s="124" t="n"/>
      <c r="FD817" s="124" t="n"/>
      <c r="FE817" s="124" t="n"/>
      <c r="FF817" s="124" t="n"/>
      <c r="FG817" s="124" t="n"/>
      <c r="FH817" s="124" t="n"/>
      <c r="FI817" s="124" t="n"/>
      <c r="FJ817" s="124" t="n"/>
      <c r="FK817" s="124" t="n"/>
      <c r="FL817" s="124" t="n"/>
      <c r="FM817" s="124" t="n"/>
      <c r="FN817" s="124" t="n"/>
      <c r="FO817" s="124" t="n"/>
      <c r="FP817" s="124" t="n"/>
      <c r="FQ817" s="124" t="n"/>
      <c r="FR817" s="124" t="n"/>
      <c r="FS817" s="124" t="n"/>
      <c r="FT817" s="124" t="n"/>
      <c r="FU817" s="124" t="n"/>
      <c r="FV817" s="124" t="n"/>
      <c r="FW817" s="124" t="n"/>
      <c r="FX817" s="124" t="n"/>
      <c r="FY817" s="124" t="n"/>
      <c r="FZ817" s="124" t="n"/>
      <c r="GA817" s="124" t="n"/>
      <c r="GB817" s="124" t="n"/>
      <c r="GC817" s="124" t="n"/>
      <c r="GD817" s="124" t="n"/>
      <c r="GE817" s="124" t="n"/>
      <c r="GF817" s="124" t="n"/>
      <c r="GG817" s="124" t="n"/>
      <c r="GH817" s="124" t="n"/>
      <c r="GI817" s="124" t="n"/>
      <c r="GJ817" s="124" t="n"/>
      <c r="GK817" s="124" t="n"/>
      <c r="GL817" s="124" t="n"/>
      <c r="GM817" s="124" t="n"/>
      <c r="GN817" s="124" t="n"/>
      <c r="GO817" s="124" t="n"/>
      <c r="GP817" s="124" t="n"/>
      <c r="GQ817" s="124" t="n"/>
      <c r="GR817" s="124" t="n"/>
      <c r="GS817" s="124" t="n"/>
      <c r="GT817" s="124" t="n"/>
      <c r="GU817" s="124" t="n"/>
      <c r="GV817" s="124" t="n"/>
      <c r="GW817" s="124" t="n"/>
      <c r="GX817" s="124" t="n"/>
      <c r="GY817" s="124" t="n"/>
      <c r="GZ817" s="124" t="n"/>
      <c r="HA817" s="124" t="n"/>
      <c r="HB817" s="124" t="n"/>
      <c r="HC817" s="124" t="n"/>
      <c r="HD817" s="124" t="n"/>
      <c r="HE817" s="124" t="n"/>
      <c r="HF817" s="124" t="n"/>
      <c r="HG817" s="124" t="n"/>
      <c r="HH817" s="124" t="n"/>
      <c r="HI817" s="124" t="n"/>
      <c r="HJ817" s="124" t="n"/>
      <c r="HK817" s="124" t="n"/>
      <c r="HL817" s="124" t="n"/>
    </row>
    <row r="818" ht="14.4" customFormat="1" customHeight="1" s="3">
      <c r="A818" s="26" t="inlineStr">
        <is>
          <t>7 этап</t>
        </is>
      </c>
      <c r="B818" s="27" t="n"/>
      <c r="C818" s="60" t="inlineStr">
        <is>
          <t>Отмостка Тип 1V</t>
        </is>
      </c>
      <c r="D818" s="54" t="inlineStr">
        <is>
          <t>м2</t>
        </is>
      </c>
      <c r="E818" s="126" t="n">
        <v>245</v>
      </c>
      <c r="F818" s="124" t="n"/>
      <c r="G818" s="124" t="n"/>
      <c r="H818" s="124" t="n"/>
      <c r="I818" s="124" t="n"/>
      <c r="J818" s="124" t="n"/>
      <c r="K818" s="124" t="n"/>
      <c r="L818" s="124" t="n"/>
      <c r="M818" s="124" t="n"/>
      <c r="N818" s="124" t="n"/>
      <c r="O818" s="124" t="n"/>
      <c r="P818" s="124" t="n"/>
      <c r="Q818" s="124" t="n"/>
      <c r="R818" s="124" t="n"/>
      <c r="S818" s="124" t="n"/>
      <c r="T818" s="124" t="n"/>
      <c r="U818" s="124" t="n"/>
      <c r="V818" s="124" t="n"/>
      <c r="W818" s="124" t="n"/>
      <c r="X818" s="124" t="n"/>
      <c r="Y818" s="124" t="n"/>
      <c r="Z818" s="124" t="n"/>
      <c r="AA818" s="124" t="n"/>
      <c r="AB818" s="124" t="n"/>
      <c r="AC818" s="124" t="n"/>
      <c r="AD818" s="124" t="n"/>
      <c r="AE818" s="124" t="n"/>
      <c r="AF818" s="124" t="n"/>
      <c r="AG818" s="124" t="n"/>
      <c r="AH818" s="124" t="n"/>
      <c r="AI818" s="124" t="n"/>
      <c r="AJ818" s="124" t="n"/>
      <c r="AK818" s="124" t="n"/>
      <c r="AL818" s="124" t="n"/>
      <c r="AM818" s="124" t="n"/>
      <c r="AN818" s="124" t="n"/>
      <c r="AO818" s="124" t="n"/>
      <c r="AP818" s="124" t="n"/>
      <c r="AQ818" s="124" t="n"/>
      <c r="AR818" s="124" t="n"/>
      <c r="AS818" s="124" t="n"/>
      <c r="AT818" s="124" t="n"/>
      <c r="AU818" s="124" t="n"/>
      <c r="AV818" s="124" t="n"/>
      <c r="AW818" s="124" t="n"/>
      <c r="AX818" s="124" t="n"/>
      <c r="AY818" s="124" t="n"/>
      <c r="AZ818" s="124" t="n"/>
      <c r="BA818" s="124" t="n"/>
      <c r="BB818" s="124" t="n"/>
      <c r="BC818" s="124" t="n"/>
      <c r="BD818" s="124" t="n"/>
      <c r="BE818" s="124" t="n"/>
      <c r="BF818" s="124" t="n"/>
      <c r="BG818" s="124" t="n"/>
      <c r="BH818" s="124" t="n"/>
      <c r="BI818" s="124" t="n"/>
      <c r="BJ818" s="124" t="n"/>
      <c r="BK818" s="124" t="n"/>
      <c r="BL818" s="124" t="n"/>
      <c r="BM818" s="124" t="n"/>
      <c r="BN818" s="124" t="n"/>
      <c r="BO818" s="124" t="n"/>
      <c r="BP818" s="124" t="n"/>
      <c r="BQ818" s="124" t="n"/>
      <c r="BR818" s="124" t="n"/>
      <c r="BS818" s="124" t="n"/>
      <c r="BT818" s="124" t="n"/>
      <c r="BU818" s="124" t="n"/>
      <c r="BV818" s="124" t="n"/>
      <c r="BW818" s="124" t="n"/>
      <c r="BX818" s="124" t="n"/>
      <c r="BY818" s="124" t="n"/>
      <c r="BZ818" s="124" t="n"/>
      <c r="CA818" s="124" t="n"/>
      <c r="CB818" s="124" t="n"/>
      <c r="CC818" s="124" t="n"/>
      <c r="CD818" s="124" t="n"/>
      <c r="CE818" s="124" t="n"/>
      <c r="CF818" s="124" t="n"/>
      <c r="CG818" s="124" t="n"/>
      <c r="CH818" s="124" t="n"/>
      <c r="CI818" s="124" t="n"/>
      <c r="CJ818" s="124" t="n"/>
      <c r="CK818" s="124" t="n"/>
      <c r="CL818" s="124" t="n"/>
      <c r="CM818" s="124" t="n"/>
      <c r="CN818" s="124" t="n"/>
      <c r="CO818" s="124" t="n"/>
      <c r="CP818" s="124" t="n"/>
      <c r="CQ818" s="124" t="n"/>
      <c r="CR818" s="124" t="n"/>
      <c r="CS818" s="124" t="n"/>
      <c r="CT818" s="124" t="n"/>
      <c r="CU818" s="124" t="n"/>
      <c r="CV818" s="124" t="n"/>
      <c r="CW818" s="124" t="n"/>
      <c r="CX818" s="124" t="n"/>
      <c r="CY818" s="124" t="n"/>
      <c r="CZ818" s="124" t="n"/>
      <c r="DA818" s="124" t="n"/>
      <c r="DB818" s="124" t="n"/>
      <c r="DC818" s="124" t="n"/>
      <c r="DD818" s="124" t="n"/>
      <c r="DE818" s="124" t="n"/>
      <c r="DF818" s="124" t="n"/>
      <c r="DG818" s="124" t="n"/>
      <c r="DH818" s="124" t="n"/>
      <c r="DI818" s="124" t="n"/>
      <c r="DJ818" s="124" t="n"/>
      <c r="DK818" s="124" t="n"/>
      <c r="DL818" s="124" t="n"/>
      <c r="DM818" s="124" t="n"/>
      <c r="DN818" s="124" t="n"/>
      <c r="DO818" s="124" t="n"/>
      <c r="DP818" s="124" t="n"/>
      <c r="DQ818" s="124" t="n"/>
      <c r="DR818" s="124" t="n"/>
      <c r="DS818" s="124" t="n"/>
      <c r="DT818" s="124" t="n"/>
      <c r="DU818" s="124" t="n"/>
      <c r="DV818" s="124" t="n"/>
      <c r="DW818" s="124" t="n"/>
      <c r="DX818" s="124" t="n"/>
      <c r="DY818" s="124" t="n"/>
      <c r="DZ818" s="124" t="n"/>
      <c r="EA818" s="124" t="n"/>
      <c r="EB818" s="124" t="n"/>
      <c r="EC818" s="124" t="n"/>
      <c r="ED818" s="124" t="n"/>
      <c r="EE818" s="124" t="n"/>
      <c r="EF818" s="124" t="n"/>
      <c r="EG818" s="124" t="n"/>
      <c r="EH818" s="124" t="n"/>
      <c r="EI818" s="124" t="n"/>
      <c r="EJ818" s="124" t="n"/>
      <c r="EK818" s="124" t="n"/>
      <c r="EL818" s="124" t="n"/>
      <c r="EM818" s="124" t="n"/>
      <c r="EN818" s="124" t="n"/>
      <c r="EO818" s="124" t="n"/>
      <c r="EP818" s="124" t="n"/>
      <c r="EQ818" s="124" t="n"/>
      <c r="ER818" s="124" t="n"/>
      <c r="ES818" s="124" t="n"/>
      <c r="ET818" s="124" t="n"/>
      <c r="EU818" s="124" t="n"/>
      <c r="EV818" s="124" t="n"/>
      <c r="EW818" s="124" t="n"/>
      <c r="EX818" s="124" t="n"/>
      <c r="EY818" s="124" t="n"/>
      <c r="EZ818" s="124" t="n"/>
      <c r="FA818" s="124" t="n"/>
      <c r="FB818" s="124" t="n"/>
      <c r="FC818" s="124" t="n"/>
      <c r="FD818" s="124" t="n"/>
      <c r="FE818" s="124" t="n"/>
      <c r="FF818" s="124" t="n"/>
      <c r="FG818" s="124" t="n"/>
      <c r="FH818" s="124" t="n"/>
      <c r="FI818" s="124" t="n"/>
      <c r="FJ818" s="124" t="n"/>
      <c r="FK818" s="124" t="n"/>
      <c r="FL818" s="124" t="n"/>
      <c r="FM818" s="124" t="n"/>
      <c r="FN818" s="124" t="n"/>
      <c r="FO818" s="124" t="n"/>
      <c r="FP818" s="124" t="n"/>
      <c r="FQ818" s="124" t="n"/>
      <c r="FR818" s="124" t="n"/>
      <c r="FS818" s="124" t="n"/>
      <c r="FT818" s="124" t="n"/>
      <c r="FU818" s="124" t="n"/>
      <c r="FV818" s="124" t="n"/>
      <c r="FW818" s="124" t="n"/>
      <c r="FX818" s="124" t="n"/>
      <c r="FY818" s="124" t="n"/>
      <c r="FZ818" s="124" t="n"/>
      <c r="GA818" s="124" t="n"/>
      <c r="GB818" s="124" t="n"/>
      <c r="GC818" s="124" t="n"/>
      <c r="GD818" s="124" t="n"/>
      <c r="GE818" s="124" t="n"/>
      <c r="GF818" s="124" t="n"/>
      <c r="GG818" s="124" t="n"/>
      <c r="GH818" s="124" t="n"/>
      <c r="GI818" s="124" t="n"/>
      <c r="GJ818" s="124" t="n"/>
      <c r="GK818" s="124" t="n"/>
      <c r="GL818" s="124" t="n"/>
      <c r="GM818" s="124" t="n"/>
      <c r="GN818" s="124" t="n"/>
      <c r="GO818" s="124" t="n"/>
      <c r="GP818" s="124" t="n"/>
      <c r="GQ818" s="124" t="n"/>
      <c r="GR818" s="124" t="n"/>
      <c r="GS818" s="124" t="n"/>
      <c r="GT818" s="124" t="n"/>
      <c r="GU818" s="124" t="n"/>
      <c r="GV818" s="124" t="n"/>
      <c r="GW818" s="124" t="n"/>
      <c r="GX818" s="124" t="n"/>
      <c r="GY818" s="124" t="n"/>
      <c r="GZ818" s="124" t="n"/>
      <c r="HA818" s="124" t="n"/>
      <c r="HB818" s="124" t="n"/>
      <c r="HC818" s="124" t="n"/>
      <c r="HD818" s="124" t="n"/>
      <c r="HE818" s="124" t="n"/>
      <c r="HF818" s="124" t="n"/>
      <c r="HG818" s="124" t="n"/>
      <c r="HH818" s="124" t="n"/>
      <c r="HI818" s="124" t="n"/>
      <c r="HJ818" s="124" t="n"/>
      <c r="HK818" s="124" t="n"/>
      <c r="HL818" s="124" t="n"/>
    </row>
    <row r="819" customFormat="1" s="3">
      <c r="A819" s="33" t="n"/>
      <c r="B819" s="34" t="n"/>
      <c r="C819" s="38" t="inlineStr">
        <is>
          <t xml:space="preserve">Уплотненное основание </t>
        </is>
      </c>
      <c r="D819" s="36" t="inlineStr">
        <is>
          <t>м2</t>
        </is>
      </c>
      <c r="E819" s="123" t="n">
        <v>686</v>
      </c>
      <c r="F819" s="124" t="n"/>
      <c r="G819" s="124" t="n"/>
      <c r="H819" s="124" t="n"/>
      <c r="I819" s="124" t="n"/>
      <c r="J819" s="124" t="n"/>
      <c r="K819" s="124" t="n"/>
      <c r="L819" s="124" t="n"/>
      <c r="M819" s="124" t="n"/>
      <c r="N819" s="124" t="n"/>
      <c r="O819" s="124" t="n"/>
      <c r="P819" s="124" t="n"/>
      <c r="Q819" s="124" t="n"/>
      <c r="R819" s="124" t="n"/>
      <c r="S819" s="124" t="n"/>
      <c r="T819" s="124" t="n"/>
      <c r="U819" s="124" t="n"/>
      <c r="V819" s="124" t="n"/>
      <c r="W819" s="124" t="n"/>
      <c r="X819" s="124" t="n"/>
      <c r="Y819" s="124" t="n"/>
      <c r="Z819" s="124" t="n"/>
      <c r="AA819" s="124" t="n"/>
      <c r="AB819" s="124" t="n"/>
      <c r="AC819" s="124" t="n"/>
      <c r="AD819" s="124" t="n"/>
      <c r="AE819" s="124" t="n"/>
      <c r="AF819" s="124" t="n"/>
      <c r="AG819" s="124" t="n"/>
      <c r="AH819" s="124" t="n"/>
      <c r="AI819" s="124" t="n"/>
      <c r="AJ819" s="124" t="n"/>
      <c r="AK819" s="124" t="n"/>
      <c r="AL819" s="124" t="n"/>
      <c r="AM819" s="124" t="n"/>
      <c r="AN819" s="124" t="n"/>
      <c r="AO819" s="124" t="n"/>
      <c r="AP819" s="124" t="n"/>
      <c r="AQ819" s="124" t="n"/>
      <c r="AR819" s="124" t="n"/>
      <c r="AS819" s="124" t="n"/>
      <c r="AT819" s="124" t="n"/>
      <c r="AU819" s="124" t="n"/>
      <c r="AV819" s="124" t="n"/>
      <c r="AW819" s="124" t="n"/>
      <c r="AX819" s="124" t="n"/>
      <c r="AY819" s="124" t="n"/>
      <c r="AZ819" s="124" t="n"/>
      <c r="BA819" s="124" t="n"/>
      <c r="BB819" s="124" t="n"/>
      <c r="BC819" s="124" t="n"/>
      <c r="BD819" s="124" t="n"/>
      <c r="BE819" s="124" t="n"/>
      <c r="BF819" s="124" t="n"/>
      <c r="BG819" s="124" t="n"/>
      <c r="BH819" s="124" t="n"/>
      <c r="BI819" s="124" t="n"/>
      <c r="BJ819" s="124" t="n"/>
      <c r="BK819" s="124" t="n"/>
      <c r="BL819" s="124" t="n"/>
      <c r="BM819" s="124" t="n"/>
      <c r="BN819" s="124" t="n"/>
      <c r="BO819" s="124" t="n"/>
      <c r="BP819" s="124" t="n"/>
      <c r="BQ819" s="124" t="n"/>
      <c r="BR819" s="124" t="n"/>
      <c r="BS819" s="124" t="n"/>
      <c r="BT819" s="124" t="n"/>
      <c r="BU819" s="124" t="n"/>
      <c r="BV819" s="124" t="n"/>
      <c r="BW819" s="124" t="n"/>
      <c r="BX819" s="124" t="n"/>
      <c r="BY819" s="124" t="n"/>
      <c r="BZ819" s="124" t="n"/>
      <c r="CA819" s="124" t="n"/>
      <c r="CB819" s="124" t="n"/>
      <c r="CC819" s="124" t="n"/>
      <c r="CD819" s="124" t="n"/>
      <c r="CE819" s="124" t="n"/>
      <c r="CF819" s="124" t="n"/>
      <c r="CG819" s="124" t="n"/>
      <c r="CH819" s="124" t="n"/>
      <c r="CI819" s="124" t="n"/>
      <c r="CJ819" s="124" t="n"/>
      <c r="CK819" s="124" t="n"/>
      <c r="CL819" s="124" t="n"/>
      <c r="CM819" s="124" t="n"/>
      <c r="CN819" s="124" t="n"/>
      <c r="CO819" s="124" t="n"/>
      <c r="CP819" s="124" t="n"/>
      <c r="CQ819" s="124" t="n"/>
      <c r="CR819" s="124" t="n"/>
      <c r="CS819" s="124" t="n"/>
      <c r="CT819" s="124" t="n"/>
      <c r="CU819" s="124" t="n"/>
      <c r="CV819" s="124" t="n"/>
      <c r="CW819" s="124" t="n"/>
      <c r="CX819" s="124" t="n"/>
      <c r="CY819" s="124" t="n"/>
      <c r="CZ819" s="124" t="n"/>
      <c r="DA819" s="124" t="n"/>
      <c r="DB819" s="124" t="n"/>
      <c r="DC819" s="124" t="n"/>
      <c r="DD819" s="124" t="n"/>
      <c r="DE819" s="124" t="n"/>
      <c r="DF819" s="124" t="n"/>
      <c r="DG819" s="124" t="n"/>
      <c r="DH819" s="124" t="n"/>
      <c r="DI819" s="124" t="n"/>
      <c r="DJ819" s="124" t="n"/>
      <c r="DK819" s="124" t="n"/>
      <c r="DL819" s="124" t="n"/>
      <c r="DM819" s="124" t="n"/>
      <c r="DN819" s="124" t="n"/>
      <c r="DO819" s="124" t="n"/>
      <c r="DP819" s="124" t="n"/>
      <c r="DQ819" s="124" t="n"/>
      <c r="DR819" s="124" t="n"/>
      <c r="DS819" s="124" t="n"/>
      <c r="DT819" s="124" t="n"/>
      <c r="DU819" s="124" t="n"/>
      <c r="DV819" s="124" t="n"/>
      <c r="DW819" s="124" t="n"/>
      <c r="DX819" s="124" t="n"/>
      <c r="DY819" s="124" t="n"/>
      <c r="DZ819" s="124" t="n"/>
      <c r="EA819" s="124" t="n"/>
      <c r="EB819" s="124" t="n"/>
      <c r="EC819" s="124" t="n"/>
      <c r="ED819" s="124" t="n"/>
      <c r="EE819" s="124" t="n"/>
      <c r="EF819" s="124" t="n"/>
      <c r="EG819" s="124" t="n"/>
      <c r="EH819" s="124" t="n"/>
      <c r="EI819" s="124" t="n"/>
      <c r="EJ819" s="124" t="n"/>
      <c r="EK819" s="124" t="n"/>
      <c r="EL819" s="124" t="n"/>
      <c r="EM819" s="124" t="n"/>
      <c r="EN819" s="124" t="n"/>
      <c r="EO819" s="124" t="n"/>
      <c r="EP819" s="124" t="n"/>
      <c r="EQ819" s="124" t="n"/>
      <c r="ER819" s="124" t="n"/>
      <c r="ES819" s="124" t="n"/>
      <c r="ET819" s="124" t="n"/>
      <c r="EU819" s="124" t="n"/>
      <c r="EV819" s="124" t="n"/>
      <c r="EW819" s="124" t="n"/>
      <c r="EX819" s="124" t="n"/>
      <c r="EY819" s="124" t="n"/>
      <c r="EZ819" s="124" t="n"/>
      <c r="FA819" s="124" t="n"/>
      <c r="FB819" s="124" t="n"/>
      <c r="FC819" s="124" t="n"/>
      <c r="FD819" s="124" t="n"/>
      <c r="FE819" s="124" t="n"/>
      <c r="FF819" s="124" t="n"/>
      <c r="FG819" s="124" t="n"/>
      <c r="FH819" s="124" t="n"/>
      <c r="FI819" s="124" t="n"/>
      <c r="FJ819" s="124" t="n"/>
      <c r="FK819" s="124" t="n"/>
      <c r="FL819" s="124" t="n"/>
      <c r="FM819" s="124" t="n"/>
      <c r="FN819" s="124" t="n"/>
      <c r="FO819" s="124" t="n"/>
      <c r="FP819" s="124" t="n"/>
      <c r="FQ819" s="124" t="n"/>
      <c r="FR819" s="124" t="n"/>
      <c r="FS819" s="124" t="n"/>
      <c r="FT819" s="124" t="n"/>
      <c r="FU819" s="124" t="n"/>
      <c r="FV819" s="124" t="n"/>
      <c r="FW819" s="124" t="n"/>
      <c r="FX819" s="124" t="n"/>
      <c r="FY819" s="124" t="n"/>
      <c r="FZ819" s="124" t="n"/>
      <c r="GA819" s="124" t="n"/>
      <c r="GB819" s="124" t="n"/>
      <c r="GC819" s="124" t="n"/>
      <c r="GD819" s="124" t="n"/>
      <c r="GE819" s="124" t="n"/>
      <c r="GF819" s="124" t="n"/>
      <c r="GG819" s="124" t="n"/>
      <c r="GH819" s="124" t="n"/>
      <c r="GI819" s="124" t="n"/>
      <c r="GJ819" s="124" t="n"/>
      <c r="GK819" s="124" t="n"/>
      <c r="GL819" s="124" t="n"/>
      <c r="GM819" s="124" t="n"/>
      <c r="GN819" s="124" t="n"/>
      <c r="GO819" s="124" t="n"/>
      <c r="GP819" s="124" t="n"/>
      <c r="GQ819" s="124" t="n"/>
      <c r="GR819" s="124" t="n"/>
      <c r="GS819" s="124" t="n"/>
      <c r="GT819" s="124" t="n"/>
      <c r="GU819" s="124" t="n"/>
      <c r="GV819" s="124" t="n"/>
      <c r="GW819" s="124" t="n"/>
      <c r="GX819" s="124" t="n"/>
      <c r="GY819" s="124" t="n"/>
      <c r="GZ819" s="124" t="n"/>
      <c r="HA819" s="124" t="n"/>
      <c r="HB819" s="124" t="n"/>
      <c r="HC819" s="124" t="n"/>
      <c r="HD819" s="124" t="n"/>
      <c r="HE819" s="124" t="n"/>
      <c r="HF819" s="124" t="n"/>
      <c r="HG819" s="124" t="n"/>
      <c r="HH819" s="124" t="n"/>
      <c r="HI819" s="124" t="n"/>
      <c r="HJ819" s="124" t="n"/>
      <c r="HK819" s="124" t="n"/>
      <c r="HL819" s="124" t="n"/>
    </row>
    <row r="820" customFormat="1" s="3">
      <c r="A820" s="33" t="n"/>
      <c r="B820" s="34" t="n"/>
      <c r="C820" s="38" t="inlineStr">
        <is>
          <t>Песчано-щебеночная смесь 150мм 40/60</t>
        </is>
      </c>
      <c r="D820" s="36" t="inlineStr">
        <is>
          <t>м2</t>
        </is>
      </c>
      <c r="E820" s="123" t="n">
        <v>686</v>
      </c>
      <c r="F820" s="124" t="n"/>
      <c r="G820" s="124" t="n"/>
      <c r="H820" s="124" t="n"/>
      <c r="I820" s="124" t="n"/>
      <c r="J820" s="124" t="n"/>
      <c r="K820" s="124" t="n"/>
      <c r="L820" s="124" t="n"/>
      <c r="M820" s="124" t="n"/>
      <c r="N820" s="124" t="n"/>
      <c r="O820" s="124" t="n"/>
      <c r="P820" s="124" t="n"/>
      <c r="Q820" s="124" t="n"/>
      <c r="R820" s="124" t="n"/>
      <c r="S820" s="124" t="n"/>
      <c r="T820" s="124" t="n"/>
      <c r="U820" s="124" t="n"/>
      <c r="V820" s="124" t="n"/>
      <c r="W820" s="124" t="n"/>
      <c r="X820" s="124" t="n"/>
      <c r="Y820" s="124" t="n"/>
      <c r="Z820" s="124" t="n"/>
      <c r="AA820" s="124" t="n"/>
      <c r="AB820" s="124" t="n"/>
      <c r="AC820" s="124" t="n"/>
      <c r="AD820" s="124" t="n"/>
      <c r="AE820" s="124" t="n"/>
      <c r="AF820" s="124" t="n"/>
      <c r="AG820" s="124" t="n"/>
      <c r="AH820" s="124" t="n"/>
      <c r="AI820" s="124" t="n"/>
      <c r="AJ820" s="124" t="n"/>
      <c r="AK820" s="124" t="n"/>
      <c r="AL820" s="124" t="n"/>
      <c r="AM820" s="124" t="n"/>
      <c r="AN820" s="124" t="n"/>
      <c r="AO820" s="124" t="n"/>
      <c r="AP820" s="124" t="n"/>
      <c r="AQ820" s="124" t="n"/>
      <c r="AR820" s="124" t="n"/>
      <c r="AS820" s="124" t="n"/>
      <c r="AT820" s="124" t="n"/>
      <c r="AU820" s="124" t="n"/>
      <c r="AV820" s="124" t="n"/>
      <c r="AW820" s="124" t="n"/>
      <c r="AX820" s="124" t="n"/>
      <c r="AY820" s="124" t="n"/>
      <c r="AZ820" s="124" t="n"/>
      <c r="BA820" s="124" t="n"/>
      <c r="BB820" s="124" t="n"/>
      <c r="BC820" s="124" t="n"/>
      <c r="BD820" s="124" t="n"/>
      <c r="BE820" s="124" t="n"/>
      <c r="BF820" s="124" t="n"/>
      <c r="BG820" s="124" t="n"/>
      <c r="BH820" s="124" t="n"/>
      <c r="BI820" s="124" t="n"/>
      <c r="BJ820" s="124" t="n"/>
      <c r="BK820" s="124" t="n"/>
      <c r="BL820" s="124" t="n"/>
      <c r="BM820" s="124" t="n"/>
      <c r="BN820" s="124" t="n"/>
      <c r="BO820" s="124" t="n"/>
      <c r="BP820" s="124" t="n"/>
      <c r="BQ820" s="124" t="n"/>
      <c r="BR820" s="124" t="n"/>
      <c r="BS820" s="124" t="n"/>
      <c r="BT820" s="124" t="n"/>
      <c r="BU820" s="124" t="n"/>
      <c r="BV820" s="124" t="n"/>
      <c r="BW820" s="124" t="n"/>
      <c r="BX820" s="124" t="n"/>
      <c r="BY820" s="124" t="n"/>
      <c r="BZ820" s="124" t="n"/>
      <c r="CA820" s="124" t="n"/>
      <c r="CB820" s="124" t="n"/>
      <c r="CC820" s="124" t="n"/>
      <c r="CD820" s="124" t="n"/>
      <c r="CE820" s="124" t="n"/>
      <c r="CF820" s="124" t="n"/>
      <c r="CG820" s="124" t="n"/>
      <c r="CH820" s="124" t="n"/>
      <c r="CI820" s="124" t="n"/>
      <c r="CJ820" s="124" t="n"/>
      <c r="CK820" s="124" t="n"/>
      <c r="CL820" s="124" t="n"/>
      <c r="CM820" s="124" t="n"/>
      <c r="CN820" s="124" t="n"/>
      <c r="CO820" s="124" t="n"/>
      <c r="CP820" s="124" t="n"/>
      <c r="CQ820" s="124" t="n"/>
      <c r="CR820" s="124" t="n"/>
      <c r="CS820" s="124" t="n"/>
      <c r="CT820" s="124" t="n"/>
      <c r="CU820" s="124" t="n"/>
      <c r="CV820" s="124" t="n"/>
      <c r="CW820" s="124" t="n"/>
      <c r="CX820" s="124" t="n"/>
      <c r="CY820" s="124" t="n"/>
      <c r="CZ820" s="124" t="n"/>
      <c r="DA820" s="124" t="n"/>
      <c r="DB820" s="124" t="n"/>
      <c r="DC820" s="124" t="n"/>
      <c r="DD820" s="124" t="n"/>
      <c r="DE820" s="124" t="n"/>
      <c r="DF820" s="124" t="n"/>
      <c r="DG820" s="124" t="n"/>
      <c r="DH820" s="124" t="n"/>
      <c r="DI820" s="124" t="n"/>
      <c r="DJ820" s="124" t="n"/>
      <c r="DK820" s="124" t="n"/>
      <c r="DL820" s="124" t="n"/>
      <c r="DM820" s="124" t="n"/>
      <c r="DN820" s="124" t="n"/>
      <c r="DO820" s="124" t="n"/>
      <c r="DP820" s="124" t="n"/>
      <c r="DQ820" s="124" t="n"/>
      <c r="DR820" s="124" t="n"/>
      <c r="DS820" s="124" t="n"/>
      <c r="DT820" s="124" t="n"/>
      <c r="DU820" s="124" t="n"/>
      <c r="DV820" s="124" t="n"/>
      <c r="DW820" s="124" t="n"/>
      <c r="DX820" s="124" t="n"/>
      <c r="DY820" s="124" t="n"/>
      <c r="DZ820" s="124" t="n"/>
      <c r="EA820" s="124" t="n"/>
      <c r="EB820" s="124" t="n"/>
      <c r="EC820" s="124" t="n"/>
      <c r="ED820" s="124" t="n"/>
      <c r="EE820" s="124" t="n"/>
      <c r="EF820" s="124" t="n"/>
      <c r="EG820" s="124" t="n"/>
      <c r="EH820" s="124" t="n"/>
      <c r="EI820" s="124" t="n"/>
      <c r="EJ820" s="124" t="n"/>
      <c r="EK820" s="124" t="n"/>
      <c r="EL820" s="124" t="n"/>
      <c r="EM820" s="124" t="n"/>
      <c r="EN820" s="124" t="n"/>
      <c r="EO820" s="124" t="n"/>
      <c r="EP820" s="124" t="n"/>
      <c r="EQ820" s="124" t="n"/>
      <c r="ER820" s="124" t="n"/>
      <c r="ES820" s="124" t="n"/>
      <c r="ET820" s="124" t="n"/>
      <c r="EU820" s="124" t="n"/>
      <c r="EV820" s="124" t="n"/>
      <c r="EW820" s="124" t="n"/>
      <c r="EX820" s="124" t="n"/>
      <c r="EY820" s="124" t="n"/>
      <c r="EZ820" s="124" t="n"/>
      <c r="FA820" s="124" t="n"/>
      <c r="FB820" s="124" t="n"/>
      <c r="FC820" s="124" t="n"/>
      <c r="FD820" s="124" t="n"/>
      <c r="FE820" s="124" t="n"/>
      <c r="FF820" s="124" t="n"/>
      <c r="FG820" s="124" t="n"/>
      <c r="FH820" s="124" t="n"/>
      <c r="FI820" s="124" t="n"/>
      <c r="FJ820" s="124" t="n"/>
      <c r="FK820" s="124" t="n"/>
      <c r="FL820" s="124" t="n"/>
      <c r="FM820" s="124" t="n"/>
      <c r="FN820" s="124" t="n"/>
      <c r="FO820" s="124" t="n"/>
      <c r="FP820" s="124" t="n"/>
      <c r="FQ820" s="124" t="n"/>
      <c r="FR820" s="124" t="n"/>
      <c r="FS820" s="124" t="n"/>
      <c r="FT820" s="124" t="n"/>
      <c r="FU820" s="124" t="n"/>
      <c r="FV820" s="124" t="n"/>
      <c r="FW820" s="124" t="n"/>
      <c r="FX820" s="124" t="n"/>
      <c r="FY820" s="124" t="n"/>
      <c r="FZ820" s="124" t="n"/>
      <c r="GA820" s="124" t="n"/>
      <c r="GB820" s="124" t="n"/>
      <c r="GC820" s="124" t="n"/>
      <c r="GD820" s="124" t="n"/>
      <c r="GE820" s="124" t="n"/>
      <c r="GF820" s="124" t="n"/>
      <c r="GG820" s="124" t="n"/>
      <c r="GH820" s="124" t="n"/>
      <c r="GI820" s="124" t="n"/>
      <c r="GJ820" s="124" t="n"/>
      <c r="GK820" s="124" t="n"/>
      <c r="GL820" s="124" t="n"/>
      <c r="GM820" s="124" t="n"/>
      <c r="GN820" s="124" t="n"/>
      <c r="GO820" s="124" t="n"/>
      <c r="GP820" s="124" t="n"/>
      <c r="GQ820" s="124" t="n"/>
      <c r="GR820" s="124" t="n"/>
      <c r="GS820" s="124" t="n"/>
      <c r="GT820" s="124" t="n"/>
      <c r="GU820" s="124" t="n"/>
      <c r="GV820" s="124" t="n"/>
      <c r="GW820" s="124" t="n"/>
      <c r="GX820" s="124" t="n"/>
      <c r="GY820" s="124" t="n"/>
      <c r="GZ820" s="124" t="n"/>
      <c r="HA820" s="124" t="n"/>
      <c r="HB820" s="124" t="n"/>
      <c r="HC820" s="124" t="n"/>
      <c r="HD820" s="124" t="n"/>
      <c r="HE820" s="124" t="n"/>
      <c r="HF820" s="124" t="n"/>
      <c r="HG820" s="124" t="n"/>
      <c r="HH820" s="124" t="n"/>
      <c r="HI820" s="124" t="n"/>
      <c r="HJ820" s="124" t="n"/>
      <c r="HK820" s="124" t="n"/>
      <c r="HL820" s="124" t="n"/>
    </row>
    <row r="821" customFormat="1" s="3">
      <c r="A821" s="33" t="n"/>
      <c r="B821" s="34" t="n"/>
      <c r="C821" s="38" t="inlineStr">
        <is>
          <t>Гидроиоляционный материал (ПВХ пленка)</t>
        </is>
      </c>
      <c r="D821" s="36" t="inlineStr">
        <is>
          <t>м2</t>
        </is>
      </c>
      <c r="E821" s="123" t="n">
        <v>345</v>
      </c>
      <c r="F821" s="124" t="n"/>
      <c r="G821" s="124" t="n"/>
      <c r="H821" s="124" t="n"/>
      <c r="I821" s="124" t="n"/>
      <c r="J821" s="124" t="n"/>
      <c r="K821" s="124" t="n"/>
      <c r="L821" s="124" t="n"/>
      <c r="M821" s="124" t="n"/>
      <c r="N821" s="124" t="n"/>
      <c r="O821" s="124" t="n"/>
      <c r="P821" s="124" t="n"/>
      <c r="Q821" s="124" t="n"/>
      <c r="R821" s="124" t="n"/>
      <c r="S821" s="124" t="n"/>
      <c r="T821" s="124" t="n"/>
      <c r="U821" s="124" t="n"/>
      <c r="V821" s="124" t="n"/>
      <c r="W821" s="124" t="n"/>
      <c r="X821" s="124" t="n"/>
      <c r="Y821" s="124" t="n"/>
      <c r="Z821" s="124" t="n"/>
      <c r="AA821" s="124" t="n"/>
      <c r="AB821" s="124" t="n"/>
      <c r="AC821" s="124" t="n"/>
      <c r="AD821" s="124" t="n"/>
      <c r="AE821" s="124" t="n"/>
      <c r="AF821" s="124" t="n"/>
      <c r="AG821" s="124" t="n"/>
      <c r="AH821" s="124" t="n"/>
      <c r="AI821" s="124" t="n"/>
      <c r="AJ821" s="124" t="n"/>
      <c r="AK821" s="124" t="n"/>
      <c r="AL821" s="124" t="n"/>
      <c r="AM821" s="124" t="n"/>
      <c r="AN821" s="124" t="n"/>
      <c r="AO821" s="124" t="n"/>
      <c r="AP821" s="124" t="n"/>
      <c r="AQ821" s="124" t="n"/>
      <c r="AR821" s="124" t="n"/>
      <c r="AS821" s="124" t="n"/>
      <c r="AT821" s="124" t="n"/>
      <c r="AU821" s="124" t="n"/>
      <c r="AV821" s="124" t="n"/>
      <c r="AW821" s="124" t="n"/>
      <c r="AX821" s="124" t="n"/>
      <c r="AY821" s="124" t="n"/>
      <c r="AZ821" s="124" t="n"/>
      <c r="BA821" s="124" t="n"/>
      <c r="BB821" s="124" t="n"/>
      <c r="BC821" s="124" t="n"/>
      <c r="BD821" s="124" t="n"/>
      <c r="BE821" s="124" t="n"/>
      <c r="BF821" s="124" t="n"/>
      <c r="BG821" s="124" t="n"/>
      <c r="BH821" s="124" t="n"/>
      <c r="BI821" s="124" t="n"/>
      <c r="BJ821" s="124" t="n"/>
      <c r="BK821" s="124" t="n"/>
      <c r="BL821" s="124" t="n"/>
      <c r="BM821" s="124" t="n"/>
      <c r="BN821" s="124" t="n"/>
      <c r="BO821" s="124" t="n"/>
      <c r="BP821" s="124" t="n"/>
      <c r="BQ821" s="124" t="n"/>
      <c r="BR821" s="124" t="n"/>
      <c r="BS821" s="124" t="n"/>
      <c r="BT821" s="124" t="n"/>
      <c r="BU821" s="124" t="n"/>
      <c r="BV821" s="124" t="n"/>
      <c r="BW821" s="124" t="n"/>
      <c r="BX821" s="124" t="n"/>
      <c r="BY821" s="124" t="n"/>
      <c r="BZ821" s="124" t="n"/>
      <c r="CA821" s="124" t="n"/>
      <c r="CB821" s="124" t="n"/>
      <c r="CC821" s="124" t="n"/>
      <c r="CD821" s="124" t="n"/>
      <c r="CE821" s="124" t="n"/>
      <c r="CF821" s="124" t="n"/>
      <c r="CG821" s="124" t="n"/>
      <c r="CH821" s="124" t="n"/>
      <c r="CI821" s="124" t="n"/>
      <c r="CJ821" s="124" t="n"/>
      <c r="CK821" s="124" t="n"/>
      <c r="CL821" s="124" t="n"/>
      <c r="CM821" s="124" t="n"/>
      <c r="CN821" s="124" t="n"/>
      <c r="CO821" s="124" t="n"/>
      <c r="CP821" s="124" t="n"/>
      <c r="CQ821" s="124" t="n"/>
      <c r="CR821" s="124" t="n"/>
      <c r="CS821" s="124" t="n"/>
      <c r="CT821" s="124" t="n"/>
      <c r="CU821" s="124" t="n"/>
      <c r="CV821" s="124" t="n"/>
      <c r="CW821" s="124" t="n"/>
      <c r="CX821" s="124" t="n"/>
      <c r="CY821" s="124" t="n"/>
      <c r="CZ821" s="124" t="n"/>
      <c r="DA821" s="124" t="n"/>
      <c r="DB821" s="124" t="n"/>
      <c r="DC821" s="124" t="n"/>
      <c r="DD821" s="124" t="n"/>
      <c r="DE821" s="124" t="n"/>
      <c r="DF821" s="124" t="n"/>
      <c r="DG821" s="124" t="n"/>
      <c r="DH821" s="124" t="n"/>
      <c r="DI821" s="124" t="n"/>
      <c r="DJ821" s="124" t="n"/>
      <c r="DK821" s="124" t="n"/>
      <c r="DL821" s="124" t="n"/>
      <c r="DM821" s="124" t="n"/>
      <c r="DN821" s="124" t="n"/>
      <c r="DO821" s="124" t="n"/>
      <c r="DP821" s="124" t="n"/>
      <c r="DQ821" s="124" t="n"/>
      <c r="DR821" s="124" t="n"/>
      <c r="DS821" s="124" t="n"/>
      <c r="DT821" s="124" t="n"/>
      <c r="DU821" s="124" t="n"/>
      <c r="DV821" s="124" t="n"/>
      <c r="DW821" s="124" t="n"/>
      <c r="DX821" s="124" t="n"/>
      <c r="DY821" s="124" t="n"/>
      <c r="DZ821" s="124" t="n"/>
      <c r="EA821" s="124" t="n"/>
      <c r="EB821" s="124" t="n"/>
      <c r="EC821" s="124" t="n"/>
      <c r="ED821" s="124" t="n"/>
      <c r="EE821" s="124" t="n"/>
      <c r="EF821" s="124" t="n"/>
      <c r="EG821" s="124" t="n"/>
      <c r="EH821" s="124" t="n"/>
      <c r="EI821" s="124" t="n"/>
      <c r="EJ821" s="124" t="n"/>
      <c r="EK821" s="124" t="n"/>
      <c r="EL821" s="124" t="n"/>
      <c r="EM821" s="124" t="n"/>
      <c r="EN821" s="124" t="n"/>
      <c r="EO821" s="124" t="n"/>
      <c r="EP821" s="124" t="n"/>
      <c r="EQ821" s="124" t="n"/>
      <c r="ER821" s="124" t="n"/>
      <c r="ES821" s="124" t="n"/>
      <c r="ET821" s="124" t="n"/>
      <c r="EU821" s="124" t="n"/>
      <c r="EV821" s="124" t="n"/>
      <c r="EW821" s="124" t="n"/>
      <c r="EX821" s="124" t="n"/>
      <c r="EY821" s="124" t="n"/>
      <c r="EZ821" s="124" t="n"/>
      <c r="FA821" s="124" t="n"/>
      <c r="FB821" s="124" t="n"/>
      <c r="FC821" s="124" t="n"/>
      <c r="FD821" s="124" t="n"/>
      <c r="FE821" s="124" t="n"/>
      <c r="FF821" s="124" t="n"/>
      <c r="FG821" s="124" t="n"/>
      <c r="FH821" s="124" t="n"/>
      <c r="FI821" s="124" t="n"/>
      <c r="FJ821" s="124" t="n"/>
      <c r="FK821" s="124" t="n"/>
      <c r="FL821" s="124" t="n"/>
      <c r="FM821" s="124" t="n"/>
      <c r="FN821" s="124" t="n"/>
      <c r="FO821" s="124" t="n"/>
      <c r="FP821" s="124" t="n"/>
      <c r="FQ821" s="124" t="n"/>
      <c r="FR821" s="124" t="n"/>
      <c r="FS821" s="124" t="n"/>
      <c r="FT821" s="124" t="n"/>
      <c r="FU821" s="124" t="n"/>
      <c r="FV821" s="124" t="n"/>
      <c r="FW821" s="124" t="n"/>
      <c r="FX821" s="124" t="n"/>
      <c r="FY821" s="124" t="n"/>
      <c r="FZ821" s="124" t="n"/>
      <c r="GA821" s="124" t="n"/>
      <c r="GB821" s="124" t="n"/>
      <c r="GC821" s="124" t="n"/>
      <c r="GD821" s="124" t="n"/>
      <c r="GE821" s="124" t="n"/>
      <c r="GF821" s="124" t="n"/>
      <c r="GG821" s="124" t="n"/>
      <c r="GH821" s="124" t="n"/>
      <c r="GI821" s="124" t="n"/>
      <c r="GJ821" s="124" t="n"/>
      <c r="GK821" s="124" t="n"/>
      <c r="GL821" s="124" t="n"/>
      <c r="GM821" s="124" t="n"/>
      <c r="GN821" s="124" t="n"/>
      <c r="GO821" s="124" t="n"/>
      <c r="GP821" s="124" t="n"/>
      <c r="GQ821" s="124" t="n"/>
      <c r="GR821" s="124" t="n"/>
      <c r="GS821" s="124" t="n"/>
      <c r="GT821" s="124" t="n"/>
      <c r="GU821" s="124" t="n"/>
      <c r="GV821" s="124" t="n"/>
      <c r="GW821" s="124" t="n"/>
      <c r="GX821" s="124" t="n"/>
      <c r="GY821" s="124" t="n"/>
      <c r="GZ821" s="124" t="n"/>
      <c r="HA821" s="124" t="n"/>
      <c r="HB821" s="124" t="n"/>
      <c r="HC821" s="124" t="n"/>
      <c r="HD821" s="124" t="n"/>
      <c r="HE821" s="124" t="n"/>
      <c r="HF821" s="124" t="n"/>
      <c r="HG821" s="124" t="n"/>
      <c r="HH821" s="124" t="n"/>
      <c r="HI821" s="124" t="n"/>
      <c r="HJ821" s="124" t="n"/>
      <c r="HK821" s="124" t="n"/>
      <c r="HL821" s="124" t="n"/>
    </row>
    <row r="822" customFormat="1" s="3">
      <c r="A822" s="33" t="n"/>
      <c r="B822" s="34" t="n"/>
      <c r="C822" s="38" t="inlineStr">
        <is>
          <t>Монтаж геотекстиль иглопробивной 200г/м2</t>
        </is>
      </c>
      <c r="D822" s="36" t="inlineStr">
        <is>
          <t>м2</t>
        </is>
      </c>
      <c r="E822" s="123">
        <f>343*1.5</f>
        <v/>
      </c>
      <c r="F822" s="124" t="n"/>
      <c r="G822" s="124" t="n"/>
      <c r="H822" s="124" t="n"/>
      <c r="I822" s="124" t="n"/>
      <c r="J822" s="124" t="n"/>
      <c r="K822" s="124" t="n"/>
      <c r="L822" s="124" t="n"/>
      <c r="M822" s="124" t="n"/>
      <c r="N822" s="124" t="n"/>
      <c r="O822" s="124" t="n"/>
      <c r="P822" s="124" t="n"/>
      <c r="Q822" s="124" t="n"/>
      <c r="R822" s="124" t="n"/>
      <c r="S822" s="124" t="n"/>
      <c r="T822" s="124" t="n"/>
      <c r="U822" s="124" t="n"/>
      <c r="V822" s="124" t="n"/>
      <c r="W822" s="124" t="n"/>
      <c r="X822" s="124" t="n"/>
      <c r="Y822" s="124" t="n"/>
      <c r="Z822" s="124" t="n"/>
      <c r="AA822" s="124" t="n"/>
      <c r="AB822" s="124" t="n"/>
      <c r="AC822" s="124" t="n"/>
      <c r="AD822" s="124" t="n"/>
      <c r="AE822" s="124" t="n"/>
      <c r="AF822" s="124" t="n"/>
      <c r="AG822" s="124" t="n"/>
      <c r="AH822" s="124" t="n"/>
      <c r="AI822" s="124" t="n"/>
      <c r="AJ822" s="124" t="n"/>
      <c r="AK822" s="124" t="n"/>
      <c r="AL822" s="124" t="n"/>
      <c r="AM822" s="124" t="n"/>
      <c r="AN822" s="124" t="n"/>
      <c r="AO822" s="124" t="n"/>
      <c r="AP822" s="124" t="n"/>
      <c r="AQ822" s="124" t="n"/>
      <c r="AR822" s="124" t="n"/>
      <c r="AS822" s="124" t="n"/>
      <c r="AT822" s="124" t="n"/>
      <c r="AU822" s="124" t="n"/>
      <c r="AV822" s="124" t="n"/>
      <c r="AW822" s="124" t="n"/>
      <c r="AX822" s="124" t="n"/>
      <c r="AY822" s="124" t="n"/>
      <c r="AZ822" s="124" t="n"/>
      <c r="BA822" s="124" t="n"/>
      <c r="BB822" s="124" t="n"/>
      <c r="BC822" s="124" t="n"/>
      <c r="BD822" s="124" t="n"/>
      <c r="BE822" s="124" t="n"/>
      <c r="BF822" s="124" t="n"/>
      <c r="BG822" s="124" t="n"/>
      <c r="BH822" s="124" t="n"/>
      <c r="BI822" s="124" t="n"/>
      <c r="BJ822" s="124" t="n"/>
      <c r="BK822" s="124" t="n"/>
      <c r="BL822" s="124" t="n"/>
      <c r="BM822" s="124" t="n"/>
      <c r="BN822" s="124" t="n"/>
      <c r="BO822" s="124" t="n"/>
      <c r="BP822" s="124" t="n"/>
      <c r="BQ822" s="124" t="n"/>
      <c r="BR822" s="124" t="n"/>
      <c r="BS822" s="124" t="n"/>
      <c r="BT822" s="124" t="n"/>
      <c r="BU822" s="124" t="n"/>
      <c r="BV822" s="124" t="n"/>
      <c r="BW822" s="124" t="n"/>
      <c r="BX822" s="124" t="n"/>
      <c r="BY822" s="124" t="n"/>
      <c r="BZ822" s="124" t="n"/>
      <c r="CA822" s="124" t="n"/>
      <c r="CB822" s="124" t="n"/>
      <c r="CC822" s="124" t="n"/>
      <c r="CD822" s="124" t="n"/>
      <c r="CE822" s="124" t="n"/>
      <c r="CF822" s="124" t="n"/>
      <c r="CG822" s="124" t="n"/>
      <c r="CH822" s="124" t="n"/>
      <c r="CI822" s="124" t="n"/>
      <c r="CJ822" s="124" t="n"/>
      <c r="CK822" s="124" t="n"/>
      <c r="CL822" s="124" t="n"/>
      <c r="CM822" s="124" t="n"/>
      <c r="CN822" s="124" t="n"/>
      <c r="CO822" s="124" t="n"/>
      <c r="CP822" s="124" t="n"/>
      <c r="CQ822" s="124" t="n"/>
      <c r="CR822" s="124" t="n"/>
      <c r="CS822" s="124" t="n"/>
      <c r="CT822" s="124" t="n"/>
      <c r="CU822" s="124" t="n"/>
      <c r="CV822" s="124" t="n"/>
      <c r="CW822" s="124" t="n"/>
      <c r="CX822" s="124" t="n"/>
      <c r="CY822" s="124" t="n"/>
      <c r="CZ822" s="124" t="n"/>
      <c r="DA822" s="124" t="n"/>
      <c r="DB822" s="124" t="n"/>
      <c r="DC822" s="124" t="n"/>
      <c r="DD822" s="124" t="n"/>
      <c r="DE822" s="124" t="n"/>
      <c r="DF822" s="124" t="n"/>
      <c r="DG822" s="124" t="n"/>
      <c r="DH822" s="124" t="n"/>
      <c r="DI822" s="124" t="n"/>
      <c r="DJ822" s="124" t="n"/>
      <c r="DK822" s="124" t="n"/>
      <c r="DL822" s="124" t="n"/>
      <c r="DM822" s="124" t="n"/>
      <c r="DN822" s="124" t="n"/>
      <c r="DO822" s="124" t="n"/>
      <c r="DP822" s="124" t="n"/>
      <c r="DQ822" s="124" t="n"/>
      <c r="DR822" s="124" t="n"/>
      <c r="DS822" s="124" t="n"/>
      <c r="DT822" s="124" t="n"/>
      <c r="DU822" s="124" t="n"/>
      <c r="DV822" s="124" t="n"/>
      <c r="DW822" s="124" t="n"/>
      <c r="DX822" s="124" t="n"/>
      <c r="DY822" s="124" t="n"/>
      <c r="DZ822" s="124" t="n"/>
      <c r="EA822" s="124" t="n"/>
      <c r="EB822" s="124" t="n"/>
      <c r="EC822" s="124" t="n"/>
      <c r="ED822" s="124" t="n"/>
      <c r="EE822" s="124" t="n"/>
      <c r="EF822" s="124" t="n"/>
      <c r="EG822" s="124" t="n"/>
      <c r="EH822" s="124" t="n"/>
      <c r="EI822" s="124" t="n"/>
      <c r="EJ822" s="124" t="n"/>
      <c r="EK822" s="124" t="n"/>
      <c r="EL822" s="124" t="n"/>
      <c r="EM822" s="124" t="n"/>
      <c r="EN822" s="124" t="n"/>
      <c r="EO822" s="124" t="n"/>
      <c r="EP822" s="124" t="n"/>
      <c r="EQ822" s="124" t="n"/>
      <c r="ER822" s="124" t="n"/>
      <c r="ES822" s="124" t="n"/>
      <c r="ET822" s="124" t="n"/>
      <c r="EU822" s="124" t="n"/>
      <c r="EV822" s="124" t="n"/>
      <c r="EW822" s="124" t="n"/>
      <c r="EX822" s="124" t="n"/>
      <c r="EY822" s="124" t="n"/>
      <c r="EZ822" s="124" t="n"/>
      <c r="FA822" s="124" t="n"/>
      <c r="FB822" s="124" t="n"/>
      <c r="FC822" s="124" t="n"/>
      <c r="FD822" s="124" t="n"/>
      <c r="FE822" s="124" t="n"/>
      <c r="FF822" s="124" t="n"/>
      <c r="FG822" s="124" t="n"/>
      <c r="FH822" s="124" t="n"/>
      <c r="FI822" s="124" t="n"/>
      <c r="FJ822" s="124" t="n"/>
      <c r="FK822" s="124" t="n"/>
      <c r="FL822" s="124" t="n"/>
      <c r="FM822" s="124" t="n"/>
      <c r="FN822" s="124" t="n"/>
      <c r="FO822" s="124" t="n"/>
      <c r="FP822" s="124" t="n"/>
      <c r="FQ822" s="124" t="n"/>
      <c r="FR822" s="124" t="n"/>
      <c r="FS822" s="124" t="n"/>
      <c r="FT822" s="124" t="n"/>
      <c r="FU822" s="124" t="n"/>
      <c r="FV822" s="124" t="n"/>
      <c r="FW822" s="124" t="n"/>
      <c r="FX822" s="124" t="n"/>
      <c r="FY822" s="124" t="n"/>
      <c r="FZ822" s="124" t="n"/>
      <c r="GA822" s="124" t="n"/>
      <c r="GB822" s="124" t="n"/>
      <c r="GC822" s="124" t="n"/>
      <c r="GD822" s="124" t="n"/>
      <c r="GE822" s="124" t="n"/>
      <c r="GF822" s="124" t="n"/>
      <c r="GG822" s="124" t="n"/>
      <c r="GH822" s="124" t="n"/>
      <c r="GI822" s="124" t="n"/>
      <c r="GJ822" s="124" t="n"/>
      <c r="GK822" s="124" t="n"/>
      <c r="GL822" s="124" t="n"/>
      <c r="GM822" s="124" t="n"/>
      <c r="GN822" s="124" t="n"/>
      <c r="GO822" s="124" t="n"/>
      <c r="GP822" s="124" t="n"/>
      <c r="GQ822" s="124" t="n"/>
      <c r="GR822" s="124" t="n"/>
      <c r="GS822" s="124" t="n"/>
      <c r="GT822" s="124" t="n"/>
      <c r="GU822" s="124" t="n"/>
      <c r="GV822" s="124" t="n"/>
      <c r="GW822" s="124" t="n"/>
      <c r="GX822" s="124" t="n"/>
      <c r="GY822" s="124" t="n"/>
      <c r="GZ822" s="124" t="n"/>
      <c r="HA822" s="124" t="n"/>
      <c r="HB822" s="124" t="n"/>
      <c r="HC822" s="124" t="n"/>
      <c r="HD822" s="124" t="n"/>
      <c r="HE822" s="124" t="n"/>
      <c r="HF822" s="124" t="n"/>
      <c r="HG822" s="124" t="n"/>
      <c r="HH822" s="124" t="n"/>
      <c r="HI822" s="124" t="n"/>
      <c r="HJ822" s="124" t="n"/>
      <c r="HK822" s="124" t="n"/>
      <c r="HL822" s="124" t="n"/>
    </row>
    <row r="823" ht="15" customFormat="1" customHeight="1" s="3">
      <c r="A823" s="33" t="n"/>
      <c r="B823" s="34" t="n"/>
      <c r="C823" s="38" t="inlineStr">
        <is>
          <t>Основание из гравийной смеси 100мм</t>
        </is>
      </c>
      <c r="D823" s="36" t="inlineStr">
        <is>
          <t>м2</t>
        </is>
      </c>
      <c r="E823" s="123">
        <f>343*1.2</f>
        <v/>
      </c>
      <c r="F823" s="124" t="n"/>
      <c r="G823" s="124" t="n"/>
      <c r="H823" s="124" t="n"/>
      <c r="I823" s="124" t="n"/>
      <c r="J823" s="124" t="n"/>
      <c r="K823" s="124" t="n"/>
      <c r="L823" s="124" t="n"/>
      <c r="M823" s="124" t="n"/>
      <c r="N823" s="124" t="n"/>
      <c r="O823" s="124" t="n"/>
      <c r="P823" s="124" t="n"/>
      <c r="Q823" s="124" t="n"/>
      <c r="R823" s="124" t="n"/>
      <c r="S823" s="124" t="n"/>
      <c r="T823" s="124" t="n"/>
      <c r="U823" s="124" t="n"/>
      <c r="V823" s="124" t="n"/>
      <c r="W823" s="124" t="n"/>
      <c r="X823" s="124" t="n"/>
      <c r="Y823" s="124" t="n"/>
      <c r="Z823" s="124" t="n"/>
      <c r="AA823" s="124" t="n"/>
      <c r="AB823" s="124" t="n"/>
      <c r="AC823" s="124" t="n"/>
      <c r="AD823" s="124" t="n"/>
      <c r="AE823" s="124" t="n"/>
      <c r="AF823" s="124" t="n"/>
      <c r="AG823" s="124" t="n"/>
      <c r="AH823" s="124" t="n"/>
      <c r="AI823" s="124" t="n"/>
      <c r="AJ823" s="124" t="n"/>
      <c r="AK823" s="124" t="n"/>
      <c r="AL823" s="124" t="n"/>
      <c r="AM823" s="124" t="n"/>
      <c r="AN823" s="124" t="n"/>
      <c r="AO823" s="124" t="n"/>
      <c r="AP823" s="124" t="n"/>
      <c r="AQ823" s="124" t="n"/>
      <c r="AR823" s="124" t="n"/>
      <c r="AS823" s="124" t="n"/>
      <c r="AT823" s="124" t="n"/>
      <c r="AU823" s="124" t="n"/>
      <c r="AV823" s="124" t="n"/>
      <c r="AW823" s="124" t="n"/>
      <c r="AX823" s="124" t="n"/>
      <c r="AY823" s="124" t="n"/>
      <c r="AZ823" s="124" t="n"/>
      <c r="BA823" s="124" t="n"/>
      <c r="BB823" s="124" t="n"/>
      <c r="BC823" s="124" t="n"/>
      <c r="BD823" s="124" t="n"/>
      <c r="BE823" s="124" t="n"/>
      <c r="BF823" s="124" t="n"/>
      <c r="BG823" s="124" t="n"/>
      <c r="BH823" s="124" t="n"/>
      <c r="BI823" s="124" t="n"/>
      <c r="BJ823" s="124" t="n"/>
      <c r="BK823" s="124" t="n"/>
      <c r="BL823" s="124" t="n"/>
      <c r="BM823" s="124" t="n"/>
      <c r="BN823" s="124" t="n"/>
      <c r="BO823" s="124" t="n"/>
      <c r="BP823" s="124" t="n"/>
      <c r="BQ823" s="124" t="n"/>
      <c r="BR823" s="124" t="n"/>
      <c r="BS823" s="124" t="n"/>
      <c r="BT823" s="124" t="n"/>
      <c r="BU823" s="124" t="n"/>
      <c r="BV823" s="124" t="n"/>
      <c r="BW823" s="124" t="n"/>
      <c r="BX823" s="124" t="n"/>
      <c r="BY823" s="124" t="n"/>
      <c r="BZ823" s="124" t="n"/>
      <c r="CA823" s="124" t="n"/>
      <c r="CB823" s="124" t="n"/>
      <c r="CC823" s="124" t="n"/>
      <c r="CD823" s="124" t="n"/>
      <c r="CE823" s="124" t="n"/>
      <c r="CF823" s="124" t="n"/>
      <c r="CG823" s="124" t="n"/>
      <c r="CH823" s="124" t="n"/>
      <c r="CI823" s="124" t="n"/>
      <c r="CJ823" s="124" t="n"/>
      <c r="CK823" s="124" t="n"/>
      <c r="CL823" s="124" t="n"/>
      <c r="CM823" s="124" t="n"/>
      <c r="CN823" s="124" t="n"/>
      <c r="CO823" s="124" t="n"/>
      <c r="CP823" s="124" t="n"/>
      <c r="CQ823" s="124" t="n"/>
      <c r="CR823" s="124" t="n"/>
      <c r="CS823" s="124" t="n"/>
      <c r="CT823" s="124" t="n"/>
      <c r="CU823" s="124" t="n"/>
      <c r="CV823" s="124" t="n"/>
      <c r="CW823" s="124" t="n"/>
      <c r="CX823" s="124" t="n"/>
      <c r="CY823" s="124" t="n"/>
      <c r="CZ823" s="124" t="n"/>
      <c r="DA823" s="124" t="n"/>
      <c r="DB823" s="124" t="n"/>
      <c r="DC823" s="124" t="n"/>
      <c r="DD823" s="124" t="n"/>
      <c r="DE823" s="124" t="n"/>
      <c r="DF823" s="124" t="n"/>
      <c r="DG823" s="124" t="n"/>
      <c r="DH823" s="124" t="n"/>
      <c r="DI823" s="124" t="n"/>
      <c r="DJ823" s="124" t="n"/>
      <c r="DK823" s="124" t="n"/>
      <c r="DL823" s="124" t="n"/>
      <c r="DM823" s="124" t="n"/>
      <c r="DN823" s="124" t="n"/>
      <c r="DO823" s="124" t="n"/>
      <c r="DP823" s="124" t="n"/>
      <c r="DQ823" s="124" t="n"/>
      <c r="DR823" s="124" t="n"/>
      <c r="DS823" s="124" t="n"/>
      <c r="DT823" s="124" t="n"/>
      <c r="DU823" s="124" t="n"/>
      <c r="DV823" s="124" t="n"/>
      <c r="DW823" s="124" t="n"/>
      <c r="DX823" s="124" t="n"/>
      <c r="DY823" s="124" t="n"/>
      <c r="DZ823" s="124" t="n"/>
      <c r="EA823" s="124" t="n"/>
      <c r="EB823" s="124" t="n"/>
      <c r="EC823" s="124" t="n"/>
      <c r="ED823" s="124" t="n"/>
      <c r="EE823" s="124" t="n"/>
      <c r="EF823" s="124" t="n"/>
      <c r="EG823" s="124" t="n"/>
      <c r="EH823" s="124" t="n"/>
      <c r="EI823" s="124" t="n"/>
      <c r="EJ823" s="124" t="n"/>
      <c r="EK823" s="124" t="n"/>
      <c r="EL823" s="124" t="n"/>
      <c r="EM823" s="124" t="n"/>
      <c r="EN823" s="124" t="n"/>
      <c r="EO823" s="124" t="n"/>
      <c r="EP823" s="124" t="n"/>
      <c r="EQ823" s="124" t="n"/>
      <c r="ER823" s="124" t="n"/>
      <c r="ES823" s="124" t="n"/>
      <c r="ET823" s="124" t="n"/>
      <c r="EU823" s="124" t="n"/>
      <c r="EV823" s="124" t="n"/>
      <c r="EW823" s="124" t="n"/>
      <c r="EX823" s="124" t="n"/>
      <c r="EY823" s="124" t="n"/>
      <c r="EZ823" s="124" t="n"/>
      <c r="FA823" s="124" t="n"/>
      <c r="FB823" s="124" t="n"/>
      <c r="FC823" s="124" t="n"/>
      <c r="FD823" s="124" t="n"/>
      <c r="FE823" s="124" t="n"/>
      <c r="FF823" s="124" t="n"/>
      <c r="FG823" s="124" t="n"/>
      <c r="FH823" s="124" t="n"/>
      <c r="FI823" s="124" t="n"/>
      <c r="FJ823" s="124" t="n"/>
      <c r="FK823" s="124" t="n"/>
      <c r="FL823" s="124" t="n"/>
      <c r="FM823" s="124" t="n"/>
      <c r="FN823" s="124" t="n"/>
      <c r="FO823" s="124" t="n"/>
      <c r="FP823" s="124" t="n"/>
      <c r="FQ823" s="124" t="n"/>
      <c r="FR823" s="124" t="n"/>
      <c r="FS823" s="124" t="n"/>
      <c r="FT823" s="124" t="n"/>
      <c r="FU823" s="124" t="n"/>
      <c r="FV823" s="124" t="n"/>
      <c r="FW823" s="124" t="n"/>
      <c r="FX823" s="124" t="n"/>
      <c r="FY823" s="124" t="n"/>
      <c r="FZ823" s="124" t="n"/>
      <c r="GA823" s="124" t="n"/>
      <c r="GB823" s="124" t="n"/>
      <c r="GC823" s="124" t="n"/>
      <c r="GD823" s="124" t="n"/>
      <c r="GE823" s="124" t="n"/>
      <c r="GF823" s="124" t="n"/>
      <c r="GG823" s="124" t="n"/>
      <c r="GH823" s="124" t="n"/>
      <c r="GI823" s="124" t="n"/>
      <c r="GJ823" s="124" t="n"/>
      <c r="GK823" s="124" t="n"/>
      <c r="GL823" s="124" t="n"/>
      <c r="GM823" s="124" t="n"/>
      <c r="GN823" s="124" t="n"/>
      <c r="GO823" s="124" t="n"/>
      <c r="GP823" s="124" t="n"/>
      <c r="GQ823" s="124" t="n"/>
      <c r="GR823" s="124" t="n"/>
      <c r="GS823" s="124" t="n"/>
      <c r="GT823" s="124" t="n"/>
      <c r="GU823" s="124" t="n"/>
      <c r="GV823" s="124" t="n"/>
      <c r="GW823" s="124" t="n"/>
      <c r="GX823" s="124" t="n"/>
      <c r="GY823" s="124" t="n"/>
      <c r="GZ823" s="124" t="n"/>
      <c r="HA823" s="124" t="n"/>
      <c r="HB823" s="124" t="n"/>
      <c r="HC823" s="124" t="n"/>
      <c r="HD823" s="124" t="n"/>
      <c r="HE823" s="124" t="n"/>
      <c r="HF823" s="124" t="n"/>
      <c r="HG823" s="124" t="n"/>
      <c r="HH823" s="124" t="n"/>
      <c r="HI823" s="124" t="n"/>
      <c r="HJ823" s="124" t="n"/>
      <c r="HK823" s="124" t="n"/>
      <c r="HL823" s="124" t="n"/>
    </row>
    <row r="824" ht="27.6" customFormat="1" customHeight="1" s="3">
      <c r="A824" s="33" t="n"/>
      <c r="B824" s="34" t="n"/>
      <c r="C824" s="38" t="inlineStr">
        <is>
          <t>Отмостка Бетон кл И15 армированный сеткой ф10 А111 200*200 80мм</t>
        </is>
      </c>
      <c r="D824" s="36" t="inlineStr">
        <is>
          <t>м2</t>
        </is>
      </c>
      <c r="E824" s="123">
        <f>343*1.2</f>
        <v/>
      </c>
      <c r="F824" s="124" t="n"/>
      <c r="G824" s="124" t="n"/>
      <c r="H824" s="124" t="n"/>
      <c r="I824" s="124" t="n"/>
      <c r="J824" s="124" t="n"/>
      <c r="K824" s="124" t="n"/>
      <c r="L824" s="124" t="n"/>
      <c r="M824" s="124" t="n"/>
      <c r="N824" s="124" t="n"/>
      <c r="O824" s="124" t="n"/>
      <c r="P824" s="124" t="n"/>
      <c r="Q824" s="124" t="n"/>
      <c r="R824" s="124" t="n"/>
      <c r="S824" s="124" t="n"/>
      <c r="T824" s="124" t="n"/>
      <c r="U824" s="124" t="n"/>
      <c r="V824" s="124" t="n"/>
      <c r="W824" s="124" t="n"/>
      <c r="X824" s="124" t="n"/>
      <c r="Y824" s="124" t="n"/>
      <c r="Z824" s="124" t="n"/>
      <c r="AA824" s="124" t="n"/>
      <c r="AB824" s="124" t="n"/>
      <c r="AC824" s="124" t="n"/>
      <c r="AD824" s="124" t="n"/>
      <c r="AE824" s="124" t="n"/>
      <c r="AF824" s="124" t="n"/>
      <c r="AG824" s="124" t="n"/>
      <c r="AH824" s="124" t="n"/>
      <c r="AI824" s="124" t="n"/>
      <c r="AJ824" s="124" t="n"/>
      <c r="AK824" s="124" t="n"/>
      <c r="AL824" s="124" t="n"/>
      <c r="AM824" s="124" t="n"/>
      <c r="AN824" s="124" t="n"/>
      <c r="AO824" s="124" t="n"/>
      <c r="AP824" s="124" t="n"/>
      <c r="AQ824" s="124" t="n"/>
      <c r="AR824" s="124" t="n"/>
      <c r="AS824" s="124" t="n"/>
      <c r="AT824" s="124" t="n"/>
      <c r="AU824" s="124" t="n"/>
      <c r="AV824" s="124" t="n"/>
      <c r="AW824" s="124" t="n"/>
      <c r="AX824" s="124" t="n"/>
      <c r="AY824" s="124" t="n"/>
      <c r="AZ824" s="124" t="n"/>
      <c r="BA824" s="124" t="n"/>
      <c r="BB824" s="124" t="n"/>
      <c r="BC824" s="124" t="n"/>
      <c r="BD824" s="124" t="n"/>
      <c r="BE824" s="124" t="n"/>
      <c r="BF824" s="124" t="n"/>
      <c r="BG824" s="124" t="n"/>
      <c r="BH824" s="124" t="n"/>
      <c r="BI824" s="124" t="n"/>
      <c r="BJ824" s="124" t="n"/>
      <c r="BK824" s="124" t="n"/>
      <c r="BL824" s="124" t="n"/>
      <c r="BM824" s="124" t="n"/>
      <c r="BN824" s="124" t="n"/>
      <c r="BO824" s="124" t="n"/>
      <c r="BP824" s="124" t="n"/>
      <c r="BQ824" s="124" t="n"/>
      <c r="BR824" s="124" t="n"/>
      <c r="BS824" s="124" t="n"/>
      <c r="BT824" s="124" t="n"/>
      <c r="BU824" s="124" t="n"/>
      <c r="BV824" s="124" t="n"/>
      <c r="BW824" s="124" t="n"/>
      <c r="BX824" s="124" t="n"/>
      <c r="BY824" s="124" t="n"/>
      <c r="BZ824" s="124" t="n"/>
      <c r="CA824" s="124" t="n"/>
      <c r="CB824" s="124" t="n"/>
      <c r="CC824" s="124" t="n"/>
      <c r="CD824" s="124" t="n"/>
      <c r="CE824" s="124" t="n"/>
      <c r="CF824" s="124" t="n"/>
      <c r="CG824" s="124" t="n"/>
      <c r="CH824" s="124" t="n"/>
      <c r="CI824" s="124" t="n"/>
      <c r="CJ824" s="124" t="n"/>
      <c r="CK824" s="124" t="n"/>
      <c r="CL824" s="124" t="n"/>
      <c r="CM824" s="124" t="n"/>
      <c r="CN824" s="124" t="n"/>
      <c r="CO824" s="124" t="n"/>
      <c r="CP824" s="124" t="n"/>
      <c r="CQ824" s="124" t="n"/>
      <c r="CR824" s="124" t="n"/>
      <c r="CS824" s="124" t="n"/>
      <c r="CT824" s="124" t="n"/>
      <c r="CU824" s="124" t="n"/>
      <c r="CV824" s="124" t="n"/>
      <c r="CW824" s="124" t="n"/>
      <c r="CX824" s="124" t="n"/>
      <c r="CY824" s="124" t="n"/>
      <c r="CZ824" s="124" t="n"/>
      <c r="DA824" s="124" t="n"/>
      <c r="DB824" s="124" t="n"/>
      <c r="DC824" s="124" t="n"/>
      <c r="DD824" s="124" t="n"/>
      <c r="DE824" s="124" t="n"/>
      <c r="DF824" s="124" t="n"/>
      <c r="DG824" s="124" t="n"/>
      <c r="DH824" s="124" t="n"/>
      <c r="DI824" s="124" t="n"/>
      <c r="DJ824" s="124" t="n"/>
      <c r="DK824" s="124" t="n"/>
      <c r="DL824" s="124" t="n"/>
      <c r="DM824" s="124" t="n"/>
      <c r="DN824" s="124" t="n"/>
      <c r="DO824" s="124" t="n"/>
      <c r="DP824" s="124" t="n"/>
      <c r="DQ824" s="124" t="n"/>
      <c r="DR824" s="124" t="n"/>
      <c r="DS824" s="124" t="n"/>
      <c r="DT824" s="124" t="n"/>
      <c r="DU824" s="124" t="n"/>
      <c r="DV824" s="124" t="n"/>
      <c r="DW824" s="124" t="n"/>
      <c r="DX824" s="124" t="n"/>
      <c r="DY824" s="124" t="n"/>
      <c r="DZ824" s="124" t="n"/>
      <c r="EA824" s="124" t="n"/>
      <c r="EB824" s="124" t="n"/>
      <c r="EC824" s="124" t="n"/>
      <c r="ED824" s="124" t="n"/>
      <c r="EE824" s="124" t="n"/>
      <c r="EF824" s="124" t="n"/>
      <c r="EG824" s="124" t="n"/>
      <c r="EH824" s="124" t="n"/>
      <c r="EI824" s="124" t="n"/>
      <c r="EJ824" s="124" t="n"/>
      <c r="EK824" s="124" t="n"/>
      <c r="EL824" s="124" t="n"/>
      <c r="EM824" s="124" t="n"/>
      <c r="EN824" s="124" t="n"/>
      <c r="EO824" s="124" t="n"/>
      <c r="EP824" s="124" t="n"/>
      <c r="EQ824" s="124" t="n"/>
      <c r="ER824" s="124" t="n"/>
      <c r="ES824" s="124" t="n"/>
      <c r="ET824" s="124" t="n"/>
      <c r="EU824" s="124" t="n"/>
      <c r="EV824" s="124" t="n"/>
      <c r="EW824" s="124" t="n"/>
      <c r="EX824" s="124" t="n"/>
      <c r="EY824" s="124" t="n"/>
      <c r="EZ824" s="124" t="n"/>
      <c r="FA824" s="124" t="n"/>
      <c r="FB824" s="124" t="n"/>
      <c r="FC824" s="124" t="n"/>
      <c r="FD824" s="124" t="n"/>
      <c r="FE824" s="124" t="n"/>
      <c r="FF824" s="124" t="n"/>
      <c r="FG824" s="124" t="n"/>
      <c r="FH824" s="124" t="n"/>
      <c r="FI824" s="124" t="n"/>
      <c r="FJ824" s="124" t="n"/>
      <c r="FK824" s="124" t="n"/>
      <c r="FL824" s="124" t="n"/>
      <c r="FM824" s="124" t="n"/>
      <c r="FN824" s="124" t="n"/>
      <c r="FO824" s="124" t="n"/>
      <c r="FP824" s="124" t="n"/>
      <c r="FQ824" s="124" t="n"/>
      <c r="FR824" s="124" t="n"/>
      <c r="FS824" s="124" t="n"/>
      <c r="FT824" s="124" t="n"/>
      <c r="FU824" s="124" t="n"/>
      <c r="FV824" s="124" t="n"/>
      <c r="FW824" s="124" t="n"/>
      <c r="FX824" s="124" t="n"/>
      <c r="FY824" s="124" t="n"/>
      <c r="FZ824" s="124" t="n"/>
      <c r="GA824" s="124" t="n"/>
      <c r="GB824" s="124" t="n"/>
      <c r="GC824" s="124" t="n"/>
      <c r="GD824" s="124" t="n"/>
      <c r="GE824" s="124" t="n"/>
      <c r="GF824" s="124" t="n"/>
      <c r="GG824" s="124" t="n"/>
      <c r="GH824" s="124" t="n"/>
      <c r="GI824" s="124" t="n"/>
      <c r="GJ824" s="124" t="n"/>
      <c r="GK824" s="124" t="n"/>
      <c r="GL824" s="124" t="n"/>
      <c r="GM824" s="124" t="n"/>
      <c r="GN824" s="124" t="n"/>
      <c r="GO824" s="124" t="n"/>
      <c r="GP824" s="124" t="n"/>
      <c r="GQ824" s="124" t="n"/>
      <c r="GR824" s="124" t="n"/>
      <c r="GS824" s="124" t="n"/>
      <c r="GT824" s="124" t="n"/>
      <c r="GU824" s="124" t="n"/>
      <c r="GV824" s="124" t="n"/>
      <c r="GW824" s="124" t="n"/>
      <c r="GX824" s="124" t="n"/>
      <c r="GY824" s="124" t="n"/>
      <c r="GZ824" s="124" t="n"/>
      <c r="HA824" s="124" t="n"/>
      <c r="HB824" s="124" t="n"/>
      <c r="HC824" s="124" t="n"/>
      <c r="HD824" s="124" t="n"/>
      <c r="HE824" s="124" t="n"/>
      <c r="HF824" s="124" t="n"/>
      <c r="HG824" s="124" t="n"/>
      <c r="HH824" s="124" t="n"/>
      <c r="HI824" s="124" t="n"/>
      <c r="HJ824" s="124" t="n"/>
      <c r="HK824" s="124" t="n"/>
      <c r="HL824" s="124" t="n"/>
    </row>
    <row r="825" ht="18.6" customFormat="1" customHeight="1" s="3">
      <c r="A825" s="33" t="n"/>
      <c r="B825" s="34" t="n"/>
      <c r="C825" s="38" t="inlineStr">
        <is>
          <t>Бордюр из бортового камня БР 100.20.8 на бетонном основании</t>
        </is>
      </c>
      <c r="D825" s="36" t="inlineStr">
        <is>
          <t>м/п</t>
        </is>
      </c>
      <c r="E825" s="123" t="n">
        <v>250</v>
      </c>
      <c r="F825" s="124" t="n"/>
      <c r="G825" s="124" t="n"/>
      <c r="H825" s="124" t="n"/>
      <c r="I825" s="124" t="n"/>
      <c r="J825" s="124" t="n"/>
      <c r="K825" s="124" t="n"/>
      <c r="L825" s="124" t="n"/>
      <c r="M825" s="124" t="n"/>
      <c r="N825" s="124" t="n"/>
      <c r="O825" s="124" t="n"/>
      <c r="P825" s="124" t="n"/>
      <c r="Q825" s="124" t="n"/>
      <c r="R825" s="124" t="n"/>
      <c r="S825" s="124" t="n"/>
      <c r="T825" s="124" t="n"/>
      <c r="U825" s="124" t="n"/>
      <c r="V825" s="124" t="n"/>
      <c r="W825" s="124" t="n"/>
      <c r="X825" s="124" t="n"/>
      <c r="Y825" s="124" t="n"/>
      <c r="Z825" s="124" t="n"/>
      <c r="AA825" s="124" t="n"/>
      <c r="AB825" s="124" t="n"/>
      <c r="AC825" s="124" t="n"/>
      <c r="AD825" s="124" t="n"/>
      <c r="AE825" s="124" t="n"/>
      <c r="AF825" s="124" t="n"/>
      <c r="AG825" s="124" t="n"/>
      <c r="AH825" s="124" t="n"/>
      <c r="AI825" s="124" t="n"/>
      <c r="AJ825" s="124" t="n"/>
      <c r="AK825" s="124" t="n"/>
      <c r="AL825" s="124" t="n"/>
      <c r="AM825" s="124" t="n"/>
      <c r="AN825" s="124" t="n"/>
      <c r="AO825" s="124" t="n"/>
      <c r="AP825" s="124" t="n"/>
      <c r="AQ825" s="124" t="n"/>
      <c r="AR825" s="124" t="n"/>
      <c r="AS825" s="124" t="n"/>
      <c r="AT825" s="124" t="n"/>
      <c r="AU825" s="124" t="n"/>
      <c r="AV825" s="124" t="n"/>
      <c r="AW825" s="124" t="n"/>
      <c r="AX825" s="124" t="n"/>
      <c r="AY825" s="124" t="n"/>
      <c r="AZ825" s="124" t="n"/>
      <c r="BA825" s="124" t="n"/>
      <c r="BB825" s="124" t="n"/>
      <c r="BC825" s="124" t="n"/>
      <c r="BD825" s="124" t="n"/>
      <c r="BE825" s="124" t="n"/>
      <c r="BF825" s="124" t="n"/>
      <c r="BG825" s="124" t="n"/>
      <c r="BH825" s="124" t="n"/>
      <c r="BI825" s="124" t="n"/>
      <c r="BJ825" s="124" t="n"/>
      <c r="BK825" s="124" t="n"/>
      <c r="BL825" s="124" t="n"/>
      <c r="BM825" s="124" t="n"/>
      <c r="BN825" s="124" t="n"/>
      <c r="BO825" s="124" t="n"/>
      <c r="BP825" s="124" t="n"/>
      <c r="BQ825" s="124" t="n"/>
      <c r="BR825" s="124" t="n"/>
      <c r="BS825" s="124" t="n"/>
      <c r="BT825" s="124" t="n"/>
      <c r="BU825" s="124" t="n"/>
      <c r="BV825" s="124" t="n"/>
      <c r="BW825" s="124" t="n"/>
      <c r="BX825" s="124" t="n"/>
      <c r="BY825" s="124" t="n"/>
      <c r="BZ825" s="124" t="n"/>
      <c r="CA825" s="124" t="n"/>
      <c r="CB825" s="124" t="n"/>
      <c r="CC825" s="124" t="n"/>
      <c r="CD825" s="124" t="n"/>
      <c r="CE825" s="124" t="n"/>
      <c r="CF825" s="124" t="n"/>
      <c r="CG825" s="124" t="n"/>
      <c r="CH825" s="124" t="n"/>
      <c r="CI825" s="124" t="n"/>
      <c r="CJ825" s="124" t="n"/>
      <c r="CK825" s="124" t="n"/>
      <c r="CL825" s="124" t="n"/>
      <c r="CM825" s="124" t="n"/>
      <c r="CN825" s="124" t="n"/>
      <c r="CO825" s="124" t="n"/>
      <c r="CP825" s="124" t="n"/>
      <c r="CQ825" s="124" t="n"/>
      <c r="CR825" s="124" t="n"/>
      <c r="CS825" s="124" t="n"/>
      <c r="CT825" s="124" t="n"/>
      <c r="CU825" s="124" t="n"/>
      <c r="CV825" s="124" t="n"/>
      <c r="CW825" s="124" t="n"/>
      <c r="CX825" s="124" t="n"/>
      <c r="CY825" s="124" t="n"/>
      <c r="CZ825" s="124" t="n"/>
      <c r="DA825" s="124" t="n"/>
      <c r="DB825" s="124" t="n"/>
      <c r="DC825" s="124" t="n"/>
      <c r="DD825" s="124" t="n"/>
      <c r="DE825" s="124" t="n"/>
      <c r="DF825" s="124" t="n"/>
      <c r="DG825" s="124" t="n"/>
      <c r="DH825" s="124" t="n"/>
      <c r="DI825" s="124" t="n"/>
      <c r="DJ825" s="124" t="n"/>
      <c r="DK825" s="124" t="n"/>
      <c r="DL825" s="124" t="n"/>
      <c r="DM825" s="124" t="n"/>
      <c r="DN825" s="124" t="n"/>
      <c r="DO825" s="124" t="n"/>
      <c r="DP825" s="124" t="n"/>
      <c r="DQ825" s="124" t="n"/>
      <c r="DR825" s="124" t="n"/>
      <c r="DS825" s="124" t="n"/>
      <c r="DT825" s="124" t="n"/>
      <c r="DU825" s="124" t="n"/>
      <c r="DV825" s="124" t="n"/>
      <c r="DW825" s="124" t="n"/>
      <c r="DX825" s="124" t="n"/>
      <c r="DY825" s="124" t="n"/>
      <c r="DZ825" s="124" t="n"/>
      <c r="EA825" s="124" t="n"/>
      <c r="EB825" s="124" t="n"/>
      <c r="EC825" s="124" t="n"/>
      <c r="ED825" s="124" t="n"/>
      <c r="EE825" s="124" t="n"/>
      <c r="EF825" s="124" t="n"/>
      <c r="EG825" s="124" t="n"/>
      <c r="EH825" s="124" t="n"/>
      <c r="EI825" s="124" t="n"/>
      <c r="EJ825" s="124" t="n"/>
      <c r="EK825" s="124" t="n"/>
      <c r="EL825" s="124" t="n"/>
      <c r="EM825" s="124" t="n"/>
      <c r="EN825" s="124" t="n"/>
      <c r="EO825" s="124" t="n"/>
      <c r="EP825" s="124" t="n"/>
      <c r="EQ825" s="124" t="n"/>
      <c r="ER825" s="124" t="n"/>
      <c r="ES825" s="124" t="n"/>
      <c r="ET825" s="124" t="n"/>
      <c r="EU825" s="124" t="n"/>
      <c r="EV825" s="124" t="n"/>
      <c r="EW825" s="124" t="n"/>
      <c r="EX825" s="124" t="n"/>
      <c r="EY825" s="124" t="n"/>
      <c r="EZ825" s="124" t="n"/>
      <c r="FA825" s="124" t="n"/>
      <c r="FB825" s="124" t="n"/>
      <c r="FC825" s="124" t="n"/>
      <c r="FD825" s="124" t="n"/>
      <c r="FE825" s="124" t="n"/>
      <c r="FF825" s="124" t="n"/>
      <c r="FG825" s="124" t="n"/>
      <c r="FH825" s="124" t="n"/>
      <c r="FI825" s="124" t="n"/>
      <c r="FJ825" s="124" t="n"/>
      <c r="FK825" s="124" t="n"/>
      <c r="FL825" s="124" t="n"/>
      <c r="FM825" s="124" t="n"/>
      <c r="FN825" s="124" t="n"/>
      <c r="FO825" s="124" t="n"/>
      <c r="FP825" s="124" t="n"/>
      <c r="FQ825" s="124" t="n"/>
      <c r="FR825" s="124" t="n"/>
      <c r="FS825" s="124" t="n"/>
      <c r="FT825" s="124" t="n"/>
      <c r="FU825" s="124" t="n"/>
      <c r="FV825" s="124" t="n"/>
      <c r="FW825" s="124" t="n"/>
      <c r="FX825" s="124" t="n"/>
      <c r="FY825" s="124" t="n"/>
      <c r="FZ825" s="124" t="n"/>
      <c r="GA825" s="124" t="n"/>
      <c r="GB825" s="124" t="n"/>
      <c r="GC825" s="124" t="n"/>
      <c r="GD825" s="124" t="n"/>
      <c r="GE825" s="124" t="n"/>
      <c r="GF825" s="124" t="n"/>
      <c r="GG825" s="124" t="n"/>
      <c r="GH825" s="124" t="n"/>
      <c r="GI825" s="124" t="n"/>
      <c r="GJ825" s="124" t="n"/>
      <c r="GK825" s="124" t="n"/>
      <c r="GL825" s="124" t="n"/>
      <c r="GM825" s="124" t="n"/>
      <c r="GN825" s="124" t="n"/>
      <c r="GO825" s="124" t="n"/>
      <c r="GP825" s="124" t="n"/>
      <c r="GQ825" s="124" t="n"/>
      <c r="GR825" s="124" t="n"/>
      <c r="GS825" s="124" t="n"/>
      <c r="GT825" s="124" t="n"/>
      <c r="GU825" s="124" t="n"/>
      <c r="GV825" s="124" t="n"/>
      <c r="GW825" s="124" t="n"/>
      <c r="GX825" s="124" t="n"/>
      <c r="GY825" s="124" t="n"/>
      <c r="GZ825" s="124" t="n"/>
      <c r="HA825" s="124" t="n"/>
      <c r="HB825" s="124" t="n"/>
      <c r="HC825" s="124" t="n"/>
      <c r="HD825" s="124" t="n"/>
      <c r="HE825" s="124" t="n"/>
      <c r="HF825" s="124" t="n"/>
      <c r="HG825" s="124" t="n"/>
      <c r="HH825" s="124" t="n"/>
      <c r="HI825" s="124" t="n"/>
      <c r="HJ825" s="124" t="n"/>
      <c r="HK825" s="124" t="n"/>
      <c r="HL825" s="124" t="n"/>
    </row>
    <row r="826" ht="18" customFormat="1" customHeight="1" s="3">
      <c r="A826" s="26" t="inlineStr">
        <is>
          <t>7 этап</t>
        </is>
      </c>
      <c r="B826" s="27" t="n"/>
      <c r="C826" s="60" t="inlineStr">
        <is>
          <t>Укрепление откосов каменной наброской с выкладкой поверхности камнем</t>
        </is>
      </c>
      <c r="D826" s="54" t="inlineStr">
        <is>
          <t>м2</t>
        </is>
      </c>
      <c r="E826" s="126" t="n">
        <v>1380</v>
      </c>
      <c r="F826" s="124" t="n"/>
      <c r="G826" s="124" t="n"/>
      <c r="H826" s="124" t="n"/>
      <c r="I826" s="124" t="n"/>
      <c r="J826" s="124" t="n"/>
      <c r="K826" s="124" t="n"/>
      <c r="L826" s="124" t="n"/>
      <c r="M826" s="124" t="n"/>
      <c r="N826" s="124" t="n"/>
      <c r="O826" s="124" t="n"/>
      <c r="P826" s="124" t="n"/>
      <c r="Q826" s="124" t="n"/>
      <c r="R826" s="124" t="n"/>
      <c r="S826" s="124" t="n"/>
      <c r="T826" s="124" t="n"/>
      <c r="U826" s="124" t="n"/>
      <c r="V826" s="124" t="n"/>
      <c r="W826" s="124" t="n"/>
      <c r="X826" s="124" t="n"/>
      <c r="Y826" s="124" t="n"/>
      <c r="Z826" s="124" t="n"/>
      <c r="AA826" s="124" t="n"/>
      <c r="AB826" s="124" t="n"/>
      <c r="AC826" s="124" t="n"/>
      <c r="AD826" s="124" t="n"/>
      <c r="AE826" s="124" t="n"/>
      <c r="AF826" s="124" t="n"/>
      <c r="AG826" s="124" t="n"/>
      <c r="AH826" s="124" t="n"/>
      <c r="AI826" s="124" t="n"/>
      <c r="AJ826" s="124" t="n"/>
      <c r="AK826" s="124" t="n"/>
      <c r="AL826" s="124" t="n"/>
      <c r="AM826" s="124" t="n"/>
      <c r="AN826" s="124" t="n"/>
      <c r="AO826" s="124" t="n"/>
      <c r="AP826" s="124" t="n"/>
      <c r="AQ826" s="124" t="n"/>
      <c r="AR826" s="124" t="n"/>
      <c r="AS826" s="124" t="n"/>
      <c r="AT826" s="124" t="n"/>
      <c r="AU826" s="124" t="n"/>
      <c r="AV826" s="124" t="n"/>
      <c r="AW826" s="124" t="n"/>
      <c r="AX826" s="124" t="n"/>
      <c r="AY826" s="124" t="n"/>
      <c r="AZ826" s="124" t="n"/>
      <c r="BA826" s="124" t="n"/>
      <c r="BB826" s="124" t="n"/>
      <c r="BC826" s="124" t="n"/>
      <c r="BD826" s="124" t="n"/>
      <c r="BE826" s="124" t="n"/>
      <c r="BF826" s="124" t="n"/>
      <c r="BG826" s="124" t="n"/>
      <c r="BH826" s="124" t="n"/>
      <c r="BI826" s="124" t="n"/>
      <c r="BJ826" s="124" t="n"/>
      <c r="BK826" s="124" t="n"/>
      <c r="BL826" s="124" t="n"/>
      <c r="BM826" s="124" t="n"/>
      <c r="BN826" s="124" t="n"/>
      <c r="BO826" s="124" t="n"/>
      <c r="BP826" s="124" t="n"/>
      <c r="BQ826" s="124" t="n"/>
      <c r="BR826" s="124" t="n"/>
      <c r="BS826" s="124" t="n"/>
      <c r="BT826" s="124" t="n"/>
      <c r="BU826" s="124" t="n"/>
      <c r="BV826" s="124" t="n"/>
      <c r="BW826" s="124" t="n"/>
      <c r="BX826" s="124" t="n"/>
      <c r="BY826" s="124" t="n"/>
      <c r="BZ826" s="124" t="n"/>
      <c r="CA826" s="124" t="n"/>
      <c r="CB826" s="124" t="n"/>
      <c r="CC826" s="124" t="n"/>
      <c r="CD826" s="124" t="n"/>
      <c r="CE826" s="124" t="n"/>
      <c r="CF826" s="124" t="n"/>
      <c r="CG826" s="124" t="n"/>
      <c r="CH826" s="124" t="n"/>
      <c r="CI826" s="124" t="n"/>
      <c r="CJ826" s="124" t="n"/>
      <c r="CK826" s="124" t="n"/>
      <c r="CL826" s="124" t="n"/>
      <c r="CM826" s="124" t="n"/>
      <c r="CN826" s="124" t="n"/>
      <c r="CO826" s="124" t="n"/>
      <c r="CP826" s="124" t="n"/>
      <c r="CQ826" s="124" t="n"/>
      <c r="CR826" s="124" t="n"/>
      <c r="CS826" s="124" t="n"/>
      <c r="CT826" s="124" t="n"/>
      <c r="CU826" s="124" t="n"/>
      <c r="CV826" s="124" t="n"/>
      <c r="CW826" s="124" t="n"/>
      <c r="CX826" s="124" t="n"/>
      <c r="CY826" s="124" t="n"/>
      <c r="CZ826" s="124" t="n"/>
      <c r="DA826" s="124" t="n"/>
      <c r="DB826" s="124" t="n"/>
      <c r="DC826" s="124" t="n"/>
      <c r="DD826" s="124" t="n"/>
      <c r="DE826" s="124" t="n"/>
      <c r="DF826" s="124" t="n"/>
      <c r="DG826" s="124" t="n"/>
      <c r="DH826" s="124" t="n"/>
      <c r="DI826" s="124" t="n"/>
      <c r="DJ826" s="124" t="n"/>
      <c r="DK826" s="124" t="n"/>
      <c r="DL826" s="124" t="n"/>
      <c r="DM826" s="124" t="n"/>
      <c r="DN826" s="124" t="n"/>
      <c r="DO826" s="124" t="n"/>
      <c r="DP826" s="124" t="n"/>
      <c r="DQ826" s="124" t="n"/>
      <c r="DR826" s="124" t="n"/>
      <c r="DS826" s="124" t="n"/>
      <c r="DT826" s="124" t="n"/>
      <c r="DU826" s="124" t="n"/>
      <c r="DV826" s="124" t="n"/>
      <c r="DW826" s="124" t="n"/>
      <c r="DX826" s="124" t="n"/>
      <c r="DY826" s="124" t="n"/>
      <c r="DZ826" s="124" t="n"/>
      <c r="EA826" s="124" t="n"/>
      <c r="EB826" s="124" t="n"/>
      <c r="EC826" s="124" t="n"/>
      <c r="ED826" s="124" t="n"/>
      <c r="EE826" s="124" t="n"/>
      <c r="EF826" s="124" t="n"/>
      <c r="EG826" s="124" t="n"/>
      <c r="EH826" s="124" t="n"/>
      <c r="EI826" s="124" t="n"/>
      <c r="EJ826" s="124" t="n"/>
      <c r="EK826" s="124" t="n"/>
      <c r="EL826" s="124" t="n"/>
      <c r="EM826" s="124" t="n"/>
      <c r="EN826" s="124" t="n"/>
      <c r="EO826" s="124" t="n"/>
      <c r="EP826" s="124" t="n"/>
      <c r="EQ826" s="124" t="n"/>
      <c r="ER826" s="124" t="n"/>
      <c r="ES826" s="124" t="n"/>
      <c r="ET826" s="124" t="n"/>
      <c r="EU826" s="124" t="n"/>
      <c r="EV826" s="124" t="n"/>
      <c r="EW826" s="124" t="n"/>
      <c r="EX826" s="124" t="n"/>
      <c r="EY826" s="124" t="n"/>
      <c r="EZ826" s="124" t="n"/>
      <c r="FA826" s="124" t="n"/>
      <c r="FB826" s="124" t="n"/>
      <c r="FC826" s="124" t="n"/>
      <c r="FD826" s="124" t="n"/>
      <c r="FE826" s="124" t="n"/>
      <c r="FF826" s="124" t="n"/>
      <c r="FG826" s="124" t="n"/>
      <c r="FH826" s="124" t="n"/>
      <c r="FI826" s="124" t="n"/>
      <c r="FJ826" s="124" t="n"/>
      <c r="FK826" s="124" t="n"/>
      <c r="FL826" s="124" t="n"/>
      <c r="FM826" s="124" t="n"/>
      <c r="FN826" s="124" t="n"/>
      <c r="FO826" s="124" t="n"/>
      <c r="FP826" s="124" t="n"/>
      <c r="FQ826" s="124" t="n"/>
      <c r="FR826" s="124" t="n"/>
      <c r="FS826" s="124" t="n"/>
      <c r="FT826" s="124" t="n"/>
      <c r="FU826" s="124" t="n"/>
      <c r="FV826" s="124" t="n"/>
      <c r="FW826" s="124" t="n"/>
      <c r="FX826" s="124" t="n"/>
      <c r="FY826" s="124" t="n"/>
      <c r="FZ826" s="124" t="n"/>
      <c r="GA826" s="124" t="n"/>
      <c r="GB826" s="124" t="n"/>
      <c r="GC826" s="124" t="n"/>
      <c r="GD826" s="124" t="n"/>
      <c r="GE826" s="124" t="n"/>
      <c r="GF826" s="124" t="n"/>
      <c r="GG826" s="124" t="n"/>
      <c r="GH826" s="124" t="n"/>
      <c r="GI826" s="124" t="n"/>
      <c r="GJ826" s="124" t="n"/>
      <c r="GK826" s="124" t="n"/>
      <c r="GL826" s="124" t="n"/>
      <c r="GM826" s="124" t="n"/>
      <c r="GN826" s="124" t="n"/>
      <c r="GO826" s="124" t="n"/>
      <c r="GP826" s="124" t="n"/>
      <c r="GQ826" s="124" t="n"/>
      <c r="GR826" s="124" t="n"/>
      <c r="GS826" s="124" t="n"/>
      <c r="GT826" s="124" t="n"/>
      <c r="GU826" s="124" t="n"/>
      <c r="GV826" s="124" t="n"/>
      <c r="GW826" s="124" t="n"/>
      <c r="GX826" s="124" t="n"/>
      <c r="GY826" s="124" t="n"/>
      <c r="GZ826" s="124" t="n"/>
      <c r="HA826" s="124" t="n"/>
      <c r="HB826" s="124" t="n"/>
      <c r="HC826" s="124" t="n"/>
      <c r="HD826" s="124" t="n"/>
      <c r="HE826" s="124" t="n"/>
      <c r="HF826" s="124" t="n"/>
      <c r="HG826" s="124" t="n"/>
      <c r="HH826" s="124" t="n"/>
      <c r="HI826" s="124" t="n"/>
      <c r="HJ826" s="124" t="n"/>
      <c r="HK826" s="124" t="n"/>
      <c r="HL826" s="124" t="n"/>
    </row>
    <row r="827" customFormat="1" s="3">
      <c r="A827" s="33" t="n"/>
      <c r="B827" s="34" t="n"/>
      <c r="C827" s="38" t="inlineStr">
        <is>
          <t>Камень булыжный, ГОСТ 22132-76</t>
        </is>
      </c>
      <c r="D827" s="36" t="inlineStr">
        <is>
          <t>м3</t>
        </is>
      </c>
      <c r="E827" s="123" t="n">
        <v>40.4</v>
      </c>
      <c r="F827" s="124" t="n"/>
      <c r="G827" s="124" t="n"/>
      <c r="H827" s="124" t="n"/>
      <c r="I827" s="124" t="n"/>
      <c r="J827" s="124" t="n"/>
      <c r="K827" s="124" t="n"/>
      <c r="L827" s="124" t="n"/>
      <c r="M827" s="124" t="n"/>
      <c r="N827" s="124" t="n"/>
      <c r="O827" s="124" t="n"/>
      <c r="P827" s="124" t="n"/>
      <c r="Q827" s="124" t="n"/>
      <c r="R827" s="124" t="n"/>
      <c r="S827" s="124" t="n"/>
      <c r="T827" s="124" t="n"/>
      <c r="U827" s="124" t="n"/>
      <c r="V827" s="124" t="n"/>
      <c r="W827" s="124" t="n"/>
      <c r="X827" s="124" t="n"/>
      <c r="Y827" s="124" t="n"/>
      <c r="Z827" s="124" t="n"/>
      <c r="AA827" s="124" t="n"/>
      <c r="AB827" s="124" t="n"/>
      <c r="AC827" s="124" t="n"/>
      <c r="AD827" s="124" t="n"/>
      <c r="AE827" s="124" t="n"/>
      <c r="AF827" s="124" t="n"/>
      <c r="AG827" s="124" t="n"/>
      <c r="AH827" s="124" t="n"/>
      <c r="AI827" s="124" t="n"/>
      <c r="AJ827" s="124" t="n"/>
      <c r="AK827" s="124" t="n"/>
      <c r="AL827" s="124" t="n"/>
      <c r="AM827" s="124" t="n"/>
      <c r="AN827" s="124" t="n"/>
      <c r="AO827" s="124" t="n"/>
      <c r="AP827" s="124" t="n"/>
      <c r="AQ827" s="124" t="n"/>
      <c r="AR827" s="124" t="n"/>
      <c r="AS827" s="124" t="n"/>
      <c r="AT827" s="124" t="n"/>
      <c r="AU827" s="124" t="n"/>
      <c r="AV827" s="124" t="n"/>
      <c r="AW827" s="124" t="n"/>
      <c r="AX827" s="124" t="n"/>
      <c r="AY827" s="124" t="n"/>
      <c r="AZ827" s="124" t="n"/>
      <c r="BA827" s="124" t="n"/>
      <c r="BB827" s="124" t="n"/>
      <c r="BC827" s="124" t="n"/>
      <c r="BD827" s="124" t="n"/>
      <c r="BE827" s="124" t="n"/>
      <c r="BF827" s="124" t="n"/>
      <c r="BG827" s="124" t="n"/>
      <c r="BH827" s="124" t="n"/>
      <c r="BI827" s="124" t="n"/>
      <c r="BJ827" s="124" t="n"/>
      <c r="BK827" s="124" t="n"/>
      <c r="BL827" s="124" t="n"/>
      <c r="BM827" s="124" t="n"/>
      <c r="BN827" s="124" t="n"/>
      <c r="BO827" s="124" t="n"/>
      <c r="BP827" s="124" t="n"/>
      <c r="BQ827" s="124" t="n"/>
      <c r="BR827" s="124" t="n"/>
      <c r="BS827" s="124" t="n"/>
      <c r="BT827" s="124" t="n"/>
      <c r="BU827" s="124" t="n"/>
      <c r="BV827" s="124" t="n"/>
      <c r="BW827" s="124" t="n"/>
      <c r="BX827" s="124" t="n"/>
      <c r="BY827" s="124" t="n"/>
      <c r="BZ827" s="124" t="n"/>
      <c r="CA827" s="124" t="n"/>
      <c r="CB827" s="124" t="n"/>
      <c r="CC827" s="124" t="n"/>
      <c r="CD827" s="124" t="n"/>
      <c r="CE827" s="124" t="n"/>
      <c r="CF827" s="124" t="n"/>
      <c r="CG827" s="124" t="n"/>
      <c r="CH827" s="124" t="n"/>
      <c r="CI827" s="124" t="n"/>
      <c r="CJ827" s="124" t="n"/>
      <c r="CK827" s="124" t="n"/>
      <c r="CL827" s="124" t="n"/>
      <c r="CM827" s="124" t="n"/>
      <c r="CN827" s="124" t="n"/>
      <c r="CO827" s="124" t="n"/>
      <c r="CP827" s="124" t="n"/>
      <c r="CQ827" s="124" t="n"/>
      <c r="CR827" s="124" t="n"/>
      <c r="CS827" s="124" t="n"/>
      <c r="CT827" s="124" t="n"/>
      <c r="CU827" s="124" t="n"/>
      <c r="CV827" s="124" t="n"/>
      <c r="CW827" s="124" t="n"/>
      <c r="CX827" s="124" t="n"/>
      <c r="CY827" s="124" t="n"/>
      <c r="CZ827" s="124" t="n"/>
      <c r="DA827" s="124" t="n"/>
      <c r="DB827" s="124" t="n"/>
      <c r="DC827" s="124" t="n"/>
      <c r="DD827" s="124" t="n"/>
      <c r="DE827" s="124" t="n"/>
      <c r="DF827" s="124" t="n"/>
      <c r="DG827" s="124" t="n"/>
      <c r="DH827" s="124" t="n"/>
      <c r="DI827" s="124" t="n"/>
      <c r="DJ827" s="124" t="n"/>
      <c r="DK827" s="124" t="n"/>
      <c r="DL827" s="124" t="n"/>
      <c r="DM827" s="124" t="n"/>
      <c r="DN827" s="124" t="n"/>
      <c r="DO827" s="124" t="n"/>
      <c r="DP827" s="124" t="n"/>
      <c r="DQ827" s="124" t="n"/>
      <c r="DR827" s="124" t="n"/>
      <c r="DS827" s="124" t="n"/>
      <c r="DT827" s="124" t="n"/>
      <c r="DU827" s="124" t="n"/>
      <c r="DV827" s="124" t="n"/>
      <c r="DW827" s="124" t="n"/>
      <c r="DX827" s="124" t="n"/>
      <c r="DY827" s="124" t="n"/>
      <c r="DZ827" s="124" t="n"/>
      <c r="EA827" s="124" t="n"/>
      <c r="EB827" s="124" t="n"/>
      <c r="EC827" s="124" t="n"/>
      <c r="ED827" s="124" t="n"/>
      <c r="EE827" s="124" t="n"/>
      <c r="EF827" s="124" t="n"/>
      <c r="EG827" s="124" t="n"/>
      <c r="EH827" s="124" t="n"/>
      <c r="EI827" s="124" t="n"/>
      <c r="EJ827" s="124" t="n"/>
      <c r="EK827" s="124" t="n"/>
      <c r="EL827" s="124" t="n"/>
      <c r="EM827" s="124" t="n"/>
      <c r="EN827" s="124" t="n"/>
      <c r="EO827" s="124" t="n"/>
      <c r="EP827" s="124" t="n"/>
      <c r="EQ827" s="124" t="n"/>
      <c r="ER827" s="124" t="n"/>
      <c r="ES827" s="124" t="n"/>
      <c r="ET827" s="124" t="n"/>
      <c r="EU827" s="124" t="n"/>
      <c r="EV827" s="124" t="n"/>
      <c r="EW827" s="124" t="n"/>
      <c r="EX827" s="124" t="n"/>
      <c r="EY827" s="124" t="n"/>
      <c r="EZ827" s="124" t="n"/>
      <c r="FA827" s="124" t="n"/>
      <c r="FB827" s="124" t="n"/>
      <c r="FC827" s="124" t="n"/>
      <c r="FD827" s="124" t="n"/>
      <c r="FE827" s="124" t="n"/>
      <c r="FF827" s="124" t="n"/>
      <c r="FG827" s="124" t="n"/>
      <c r="FH827" s="124" t="n"/>
      <c r="FI827" s="124" t="n"/>
      <c r="FJ827" s="124" t="n"/>
      <c r="FK827" s="124" t="n"/>
      <c r="FL827" s="124" t="n"/>
      <c r="FM827" s="124" t="n"/>
      <c r="FN827" s="124" t="n"/>
      <c r="FO827" s="124" t="n"/>
      <c r="FP827" s="124" t="n"/>
      <c r="FQ827" s="124" t="n"/>
      <c r="FR827" s="124" t="n"/>
      <c r="FS827" s="124" t="n"/>
      <c r="FT827" s="124" t="n"/>
      <c r="FU827" s="124" t="n"/>
      <c r="FV827" s="124" t="n"/>
      <c r="FW827" s="124" t="n"/>
      <c r="FX827" s="124" t="n"/>
      <c r="FY827" s="124" t="n"/>
      <c r="FZ827" s="124" t="n"/>
      <c r="GA827" s="124" t="n"/>
      <c r="GB827" s="124" t="n"/>
      <c r="GC827" s="124" t="n"/>
      <c r="GD827" s="124" t="n"/>
      <c r="GE827" s="124" t="n"/>
      <c r="GF827" s="124" t="n"/>
      <c r="GG827" s="124" t="n"/>
      <c r="GH827" s="124" t="n"/>
      <c r="GI827" s="124" t="n"/>
      <c r="GJ827" s="124" t="n"/>
      <c r="GK827" s="124" t="n"/>
      <c r="GL827" s="124" t="n"/>
      <c r="GM827" s="124" t="n"/>
      <c r="GN827" s="124" t="n"/>
      <c r="GO827" s="124" t="n"/>
      <c r="GP827" s="124" t="n"/>
      <c r="GQ827" s="124" t="n"/>
      <c r="GR827" s="124" t="n"/>
      <c r="GS827" s="124" t="n"/>
      <c r="GT827" s="124" t="n"/>
      <c r="GU827" s="124" t="n"/>
      <c r="GV827" s="124" t="n"/>
      <c r="GW827" s="124" t="n"/>
      <c r="GX827" s="124" t="n"/>
      <c r="GY827" s="124" t="n"/>
      <c r="GZ827" s="124" t="n"/>
      <c r="HA827" s="124" t="n"/>
      <c r="HB827" s="124" t="n"/>
      <c r="HC827" s="124" t="n"/>
      <c r="HD827" s="124" t="n"/>
      <c r="HE827" s="124" t="n"/>
      <c r="HF827" s="124" t="n"/>
      <c r="HG827" s="124" t="n"/>
      <c r="HH827" s="124" t="n"/>
      <c r="HI827" s="124" t="n"/>
      <c r="HJ827" s="124" t="n"/>
      <c r="HK827" s="124" t="n"/>
      <c r="HL827" s="124" t="n"/>
    </row>
    <row r="828" ht="14.4" customFormat="1" customHeight="1" s="3">
      <c r="A828" s="26" t="inlineStr">
        <is>
          <t>7 этап</t>
        </is>
      </c>
      <c r="B828" s="27" t="inlineStr">
        <is>
          <t>5.2</t>
        </is>
      </c>
      <c r="C828" s="28" t="inlineStr">
        <is>
          <t>Водоотводные сооружения, озеленение, забор</t>
        </is>
      </c>
      <c r="D828" s="54" t="inlineStr">
        <is>
          <t>компл.</t>
        </is>
      </c>
      <c r="E828" s="126" t="n">
        <v>0.5</v>
      </c>
      <c r="F828" s="166" t="n">
        <v>3800</v>
      </c>
      <c r="G828" s="166" t="n">
        <v>1900</v>
      </c>
      <c r="H828" s="124" t="inlineStr">
        <is>
          <t>ФЕР-2020 × 0.75</t>
        </is>
      </c>
      <c r="I828" s="124" t="n"/>
      <c r="J828" s="124" t="n"/>
      <c r="K828" s="124" t="n"/>
      <c r="L828" s="124" t="n"/>
      <c r="M828" s="124" t="n"/>
      <c r="N828" s="124" t="n"/>
      <c r="O828" s="124" t="n"/>
      <c r="P828" s="124" t="n"/>
      <c r="Q828" s="124" t="n"/>
      <c r="R828" s="124" t="n"/>
      <c r="S828" s="124" t="n"/>
      <c r="T828" s="124" t="n"/>
      <c r="U828" s="124" t="n"/>
      <c r="V828" s="124" t="n"/>
      <c r="W828" s="124" t="n"/>
      <c r="X828" s="124" t="n"/>
      <c r="Y828" s="124" t="n"/>
      <c r="Z828" s="124" t="n"/>
      <c r="AA828" s="124" t="n"/>
      <c r="AB828" s="124" t="n"/>
      <c r="AC828" s="124" t="n"/>
      <c r="AD828" s="124" t="n"/>
      <c r="AE828" s="124" t="n"/>
      <c r="AF828" s="124" t="n"/>
      <c r="AG828" s="124" t="n"/>
      <c r="AH828" s="124" t="n"/>
      <c r="AI828" s="124" t="n"/>
      <c r="AJ828" s="124" t="n"/>
      <c r="AK828" s="124" t="n"/>
      <c r="AL828" s="124" t="n"/>
      <c r="AM828" s="124" t="n"/>
      <c r="AN828" s="124" t="n"/>
      <c r="AO828" s="124" t="n"/>
      <c r="AP828" s="124" t="n"/>
      <c r="AQ828" s="124" t="n"/>
      <c r="AR828" s="124" t="n"/>
      <c r="AS828" s="124" t="n"/>
      <c r="AT828" s="124" t="n"/>
      <c r="AU828" s="124" t="n"/>
      <c r="AV828" s="124" t="n"/>
      <c r="AW828" s="124" t="n"/>
      <c r="AX828" s="124" t="n"/>
      <c r="AY828" s="124" t="n"/>
      <c r="AZ828" s="124" t="n"/>
      <c r="BA828" s="124" t="n"/>
      <c r="BB828" s="124" t="n"/>
      <c r="BC828" s="124" t="n"/>
      <c r="BD828" s="124" t="n"/>
      <c r="BE828" s="124" t="n"/>
      <c r="BF828" s="124" t="n"/>
      <c r="BG828" s="124" t="n"/>
      <c r="BH828" s="124" t="n"/>
      <c r="BI828" s="124" t="n"/>
      <c r="BJ828" s="124" t="n"/>
      <c r="BK828" s="124" t="n"/>
      <c r="BL828" s="124" t="n"/>
      <c r="BM828" s="124" t="n"/>
      <c r="BN828" s="124" t="n"/>
      <c r="BO828" s="124" t="n"/>
      <c r="BP828" s="124" t="n"/>
      <c r="BQ828" s="124" t="n"/>
      <c r="BR828" s="124" t="n"/>
      <c r="BS828" s="124" t="n"/>
      <c r="BT828" s="124" t="n"/>
      <c r="BU828" s="124" t="n"/>
      <c r="BV828" s="124" t="n"/>
      <c r="BW828" s="124" t="n"/>
      <c r="BX828" s="124" t="n"/>
      <c r="BY828" s="124" t="n"/>
      <c r="BZ828" s="124" t="n"/>
      <c r="CA828" s="124" t="n"/>
      <c r="CB828" s="124" t="n"/>
      <c r="CC828" s="124" t="n"/>
      <c r="CD828" s="124" t="n"/>
      <c r="CE828" s="124" t="n"/>
      <c r="CF828" s="124" t="n"/>
      <c r="CG828" s="124" t="n"/>
      <c r="CH828" s="124" t="n"/>
      <c r="CI828" s="124" t="n"/>
      <c r="CJ828" s="124" t="n"/>
      <c r="CK828" s="124" t="n"/>
      <c r="CL828" s="124" t="n"/>
      <c r="CM828" s="124" t="n"/>
      <c r="CN828" s="124" t="n"/>
      <c r="CO828" s="124" t="n"/>
      <c r="CP828" s="124" t="n"/>
      <c r="CQ828" s="124" t="n"/>
      <c r="CR828" s="124" t="n"/>
      <c r="CS828" s="124" t="n"/>
      <c r="CT828" s="124" t="n"/>
      <c r="CU828" s="124" t="n"/>
      <c r="CV828" s="124" t="n"/>
      <c r="CW828" s="124" t="n"/>
      <c r="CX828" s="124" t="n"/>
      <c r="CY828" s="124" t="n"/>
      <c r="CZ828" s="124" t="n"/>
      <c r="DA828" s="124" t="n"/>
      <c r="DB828" s="124" t="n"/>
      <c r="DC828" s="124" t="n"/>
      <c r="DD828" s="124" t="n"/>
      <c r="DE828" s="124" t="n"/>
      <c r="DF828" s="124" t="n"/>
      <c r="DG828" s="124" t="n"/>
      <c r="DH828" s="124" t="n"/>
      <c r="DI828" s="124" t="n"/>
      <c r="DJ828" s="124" t="n"/>
      <c r="DK828" s="124" t="n"/>
      <c r="DL828" s="124" t="n"/>
      <c r="DM828" s="124" t="n"/>
      <c r="DN828" s="124" t="n"/>
      <c r="DO828" s="124" t="n"/>
      <c r="DP828" s="124" t="n"/>
      <c r="DQ828" s="124" t="n"/>
      <c r="DR828" s="124" t="n"/>
      <c r="DS828" s="124" t="n"/>
      <c r="DT828" s="124" t="n"/>
      <c r="DU828" s="124" t="n"/>
      <c r="DV828" s="124" t="n"/>
      <c r="DW828" s="124" t="n"/>
      <c r="DX828" s="124" t="n"/>
      <c r="DY828" s="124" t="n"/>
      <c r="DZ828" s="124" t="n"/>
      <c r="EA828" s="124" t="n"/>
      <c r="EB828" s="124" t="n"/>
      <c r="EC828" s="124" t="n"/>
      <c r="ED828" s="124" t="n"/>
      <c r="EE828" s="124" t="n"/>
      <c r="EF828" s="124" t="n"/>
      <c r="EG828" s="124" t="n"/>
      <c r="EH828" s="124" t="n"/>
      <c r="EI828" s="124" t="n"/>
      <c r="EJ828" s="124" t="n"/>
      <c r="EK828" s="124" t="n"/>
      <c r="EL828" s="124" t="n"/>
      <c r="EM828" s="124" t="n"/>
      <c r="EN828" s="124" t="n"/>
      <c r="EO828" s="124" t="n"/>
      <c r="EP828" s="124" t="n"/>
      <c r="EQ828" s="124" t="n"/>
      <c r="ER828" s="124" t="n"/>
      <c r="ES828" s="124" t="n"/>
      <c r="ET828" s="124" t="n"/>
      <c r="EU828" s="124" t="n"/>
      <c r="EV828" s="124" t="n"/>
      <c r="EW828" s="124" t="n"/>
      <c r="EX828" s="124" t="n"/>
      <c r="EY828" s="124" t="n"/>
      <c r="EZ828" s="124" t="n"/>
      <c r="FA828" s="124" t="n"/>
      <c r="FB828" s="124" t="n"/>
      <c r="FC828" s="124" t="n"/>
      <c r="FD828" s="124" t="n"/>
      <c r="FE828" s="124" t="n"/>
      <c r="FF828" s="124" t="n"/>
      <c r="FG828" s="124" t="n"/>
      <c r="FH828" s="124" t="n"/>
      <c r="FI828" s="124" t="n"/>
      <c r="FJ828" s="124" t="n"/>
      <c r="FK828" s="124" t="n"/>
      <c r="FL828" s="124" t="n"/>
      <c r="FM828" s="124" t="n"/>
      <c r="FN828" s="124" t="n"/>
      <c r="FO828" s="124" t="n"/>
      <c r="FP828" s="124" t="n"/>
      <c r="FQ828" s="124" t="n"/>
      <c r="FR828" s="124" t="n"/>
      <c r="FS828" s="124" t="n"/>
      <c r="FT828" s="124" t="n"/>
      <c r="FU828" s="124" t="n"/>
      <c r="FV828" s="124" t="n"/>
      <c r="FW828" s="124" t="n"/>
      <c r="FX828" s="124" t="n"/>
      <c r="FY828" s="124" t="n"/>
      <c r="FZ828" s="124" t="n"/>
      <c r="GA828" s="124" t="n"/>
      <c r="GB828" s="124" t="n"/>
      <c r="GC828" s="124" t="n"/>
      <c r="GD828" s="124" t="n"/>
      <c r="GE828" s="124" t="n"/>
      <c r="GF828" s="124" t="n"/>
      <c r="GG828" s="124" t="n"/>
      <c r="GH828" s="124" t="n"/>
      <c r="GI828" s="124" t="n"/>
      <c r="GJ828" s="124" t="n"/>
      <c r="GK828" s="124" t="n"/>
      <c r="GL828" s="124" t="n"/>
      <c r="GM828" s="124" t="n"/>
      <c r="GN828" s="124" t="n"/>
      <c r="GO828" s="124" t="n"/>
      <c r="GP828" s="124" t="n"/>
      <c r="GQ828" s="124" t="n"/>
      <c r="GR828" s="124" t="n"/>
      <c r="GS828" s="124" t="n"/>
      <c r="GT828" s="124" t="n"/>
      <c r="GU828" s="124" t="n"/>
      <c r="GV828" s="124" t="n"/>
      <c r="GW828" s="124" t="n"/>
      <c r="GX828" s="124" t="n"/>
      <c r="GY828" s="124" t="n"/>
      <c r="GZ828" s="124" t="n"/>
      <c r="HA828" s="124" t="n"/>
      <c r="HB828" s="124" t="n"/>
      <c r="HC828" s="124" t="n"/>
      <c r="HD828" s="124" t="n"/>
      <c r="HE828" s="124" t="n"/>
      <c r="HF828" s="124" t="n"/>
      <c r="HG828" s="124" t="n"/>
      <c r="HH828" s="124" t="n"/>
      <c r="HI828" s="124" t="n"/>
      <c r="HJ828" s="124" t="n"/>
      <c r="HK828" s="124" t="n"/>
      <c r="HL828" s="124" t="n"/>
    </row>
    <row r="829" customFormat="1" s="3">
      <c r="A829" s="33" t="n"/>
      <c r="B829" s="34" t="n"/>
      <c r="C829" s="132" t="inlineStr">
        <is>
          <t>Лоток водоотводный бетонный 30.43.31 с решеткой</t>
        </is>
      </c>
      <c r="D829" s="71" t="inlineStr">
        <is>
          <t>м/п</t>
        </is>
      </c>
      <c r="E829" s="133" t="n">
        <v>343</v>
      </c>
      <c r="F829" s="124" t="n"/>
      <c r="G829" s="124" t="n"/>
      <c r="H829" s="124" t="n"/>
      <c r="I829" s="124" t="n"/>
      <c r="J829" s="124" t="n"/>
      <c r="K829" s="124" t="n"/>
      <c r="L829" s="124" t="n"/>
      <c r="M829" s="124" t="n"/>
      <c r="N829" s="124" t="n"/>
      <c r="O829" s="124" t="n"/>
      <c r="P829" s="124" t="n"/>
      <c r="Q829" s="124" t="n"/>
      <c r="R829" s="124" t="n"/>
      <c r="S829" s="124" t="n"/>
      <c r="T829" s="124" t="n"/>
      <c r="U829" s="124" t="n"/>
      <c r="V829" s="124" t="n"/>
      <c r="W829" s="124" t="n"/>
      <c r="X829" s="124" t="n"/>
      <c r="Y829" s="124" t="n"/>
      <c r="Z829" s="124" t="n"/>
      <c r="AA829" s="124" t="n"/>
      <c r="AB829" s="124" t="n"/>
      <c r="AC829" s="124" t="n"/>
      <c r="AD829" s="124" t="n"/>
      <c r="AE829" s="124" t="n"/>
      <c r="AF829" s="124" t="n"/>
      <c r="AG829" s="124" t="n"/>
      <c r="AH829" s="124" t="n"/>
      <c r="AI829" s="124" t="n"/>
      <c r="AJ829" s="124" t="n"/>
      <c r="AK829" s="124" t="n"/>
      <c r="AL829" s="124" t="n"/>
      <c r="AM829" s="124" t="n"/>
      <c r="AN829" s="124" t="n"/>
      <c r="AO829" s="124" t="n"/>
      <c r="AP829" s="124" t="n"/>
      <c r="AQ829" s="124" t="n"/>
      <c r="AR829" s="124" t="n"/>
      <c r="AS829" s="124" t="n"/>
      <c r="AT829" s="124" t="n"/>
      <c r="AU829" s="124" t="n"/>
      <c r="AV829" s="124" t="n"/>
      <c r="AW829" s="124" t="n"/>
      <c r="AX829" s="124" t="n"/>
      <c r="AY829" s="124" t="n"/>
      <c r="AZ829" s="124" t="n"/>
      <c r="BA829" s="124" t="n"/>
      <c r="BB829" s="124" t="n"/>
      <c r="BC829" s="124" t="n"/>
      <c r="BD829" s="124" t="n"/>
      <c r="BE829" s="124" t="n"/>
      <c r="BF829" s="124" t="n"/>
      <c r="BG829" s="124" t="n"/>
      <c r="BH829" s="124" t="n"/>
      <c r="BI829" s="124" t="n"/>
      <c r="BJ829" s="124" t="n"/>
      <c r="BK829" s="124" t="n"/>
      <c r="BL829" s="124" t="n"/>
      <c r="BM829" s="124" t="n"/>
      <c r="BN829" s="124" t="n"/>
      <c r="BO829" s="124" t="n"/>
      <c r="BP829" s="124" t="n"/>
      <c r="BQ829" s="124" t="n"/>
      <c r="BR829" s="124" t="n"/>
      <c r="BS829" s="124" t="n"/>
      <c r="BT829" s="124" t="n"/>
      <c r="BU829" s="124" t="n"/>
      <c r="BV829" s="124" t="n"/>
      <c r="BW829" s="124" t="n"/>
      <c r="BX829" s="124" t="n"/>
      <c r="BY829" s="124" t="n"/>
      <c r="BZ829" s="124" t="n"/>
      <c r="CA829" s="124" t="n"/>
      <c r="CB829" s="124" t="n"/>
      <c r="CC829" s="124" t="n"/>
      <c r="CD829" s="124" t="n"/>
      <c r="CE829" s="124" t="n"/>
      <c r="CF829" s="124" t="n"/>
      <c r="CG829" s="124" t="n"/>
      <c r="CH829" s="124" t="n"/>
      <c r="CI829" s="124" t="n"/>
      <c r="CJ829" s="124" t="n"/>
      <c r="CK829" s="124" t="n"/>
      <c r="CL829" s="124" t="n"/>
      <c r="CM829" s="124" t="n"/>
      <c r="CN829" s="124" t="n"/>
      <c r="CO829" s="124" t="n"/>
      <c r="CP829" s="124" t="n"/>
      <c r="CQ829" s="124" t="n"/>
      <c r="CR829" s="124" t="n"/>
      <c r="CS829" s="124" t="n"/>
      <c r="CT829" s="124" t="n"/>
      <c r="CU829" s="124" t="n"/>
      <c r="CV829" s="124" t="n"/>
      <c r="CW829" s="124" t="n"/>
      <c r="CX829" s="124" t="n"/>
      <c r="CY829" s="124" t="n"/>
      <c r="CZ829" s="124" t="n"/>
      <c r="DA829" s="124" t="n"/>
      <c r="DB829" s="124" t="n"/>
      <c r="DC829" s="124" t="n"/>
      <c r="DD829" s="124" t="n"/>
      <c r="DE829" s="124" t="n"/>
      <c r="DF829" s="124" t="n"/>
      <c r="DG829" s="124" t="n"/>
      <c r="DH829" s="124" t="n"/>
      <c r="DI829" s="124" t="n"/>
      <c r="DJ829" s="124" t="n"/>
      <c r="DK829" s="124" t="n"/>
      <c r="DL829" s="124" t="n"/>
      <c r="DM829" s="124" t="n"/>
      <c r="DN829" s="124" t="n"/>
      <c r="DO829" s="124" t="n"/>
      <c r="DP829" s="124" t="n"/>
      <c r="DQ829" s="124" t="n"/>
      <c r="DR829" s="124" t="n"/>
      <c r="DS829" s="124" t="n"/>
      <c r="DT829" s="124" t="n"/>
      <c r="DU829" s="124" t="n"/>
      <c r="DV829" s="124" t="n"/>
      <c r="DW829" s="124" t="n"/>
      <c r="DX829" s="124" t="n"/>
      <c r="DY829" s="124" t="n"/>
      <c r="DZ829" s="124" t="n"/>
      <c r="EA829" s="124" t="n"/>
      <c r="EB829" s="124" t="n"/>
      <c r="EC829" s="124" t="n"/>
      <c r="ED829" s="124" t="n"/>
      <c r="EE829" s="124" t="n"/>
      <c r="EF829" s="124" t="n"/>
      <c r="EG829" s="124" t="n"/>
      <c r="EH829" s="124" t="n"/>
      <c r="EI829" s="124" t="n"/>
      <c r="EJ829" s="124" t="n"/>
      <c r="EK829" s="124" t="n"/>
      <c r="EL829" s="124" t="n"/>
      <c r="EM829" s="124" t="n"/>
      <c r="EN829" s="124" t="n"/>
      <c r="EO829" s="124" t="n"/>
      <c r="EP829" s="124" t="n"/>
      <c r="EQ829" s="124" t="n"/>
      <c r="ER829" s="124" t="n"/>
      <c r="ES829" s="124" t="n"/>
      <c r="ET829" s="124" t="n"/>
      <c r="EU829" s="124" t="n"/>
      <c r="EV829" s="124" t="n"/>
      <c r="EW829" s="124" t="n"/>
      <c r="EX829" s="124" t="n"/>
      <c r="EY829" s="124" t="n"/>
      <c r="EZ829" s="124" t="n"/>
      <c r="FA829" s="124" t="n"/>
      <c r="FB829" s="124" t="n"/>
      <c r="FC829" s="124" t="n"/>
      <c r="FD829" s="124" t="n"/>
      <c r="FE829" s="124" t="n"/>
      <c r="FF829" s="124" t="n"/>
      <c r="FG829" s="124" t="n"/>
      <c r="FH829" s="124" t="n"/>
      <c r="FI829" s="124" t="n"/>
      <c r="FJ829" s="124" t="n"/>
      <c r="FK829" s="124" t="n"/>
      <c r="FL829" s="124" t="n"/>
      <c r="FM829" s="124" t="n"/>
      <c r="FN829" s="124" t="n"/>
      <c r="FO829" s="124" t="n"/>
      <c r="FP829" s="124" t="n"/>
      <c r="FQ829" s="124" t="n"/>
      <c r="FR829" s="124" t="n"/>
      <c r="FS829" s="124" t="n"/>
      <c r="FT829" s="124" t="n"/>
      <c r="FU829" s="124" t="n"/>
      <c r="FV829" s="124" t="n"/>
      <c r="FW829" s="124" t="n"/>
      <c r="FX829" s="124" t="n"/>
      <c r="FY829" s="124" t="n"/>
      <c r="FZ829" s="124" t="n"/>
      <c r="GA829" s="124" t="n"/>
      <c r="GB829" s="124" t="n"/>
      <c r="GC829" s="124" t="n"/>
      <c r="GD829" s="124" t="n"/>
      <c r="GE829" s="124" t="n"/>
      <c r="GF829" s="124" t="n"/>
      <c r="GG829" s="124" t="n"/>
      <c r="GH829" s="124" t="n"/>
      <c r="GI829" s="124" t="n"/>
      <c r="GJ829" s="124" t="n"/>
      <c r="GK829" s="124" t="n"/>
      <c r="GL829" s="124" t="n"/>
      <c r="GM829" s="124" t="n"/>
      <c r="GN829" s="124" t="n"/>
      <c r="GO829" s="124" t="n"/>
      <c r="GP829" s="124" t="n"/>
      <c r="GQ829" s="124" t="n"/>
      <c r="GR829" s="124" t="n"/>
      <c r="GS829" s="124" t="n"/>
      <c r="GT829" s="124" t="n"/>
      <c r="GU829" s="124" t="n"/>
      <c r="GV829" s="124" t="n"/>
      <c r="GW829" s="124" t="n"/>
      <c r="GX829" s="124" t="n"/>
      <c r="GY829" s="124" t="n"/>
      <c r="GZ829" s="124" t="n"/>
      <c r="HA829" s="124" t="n"/>
      <c r="HB829" s="124" t="n"/>
      <c r="HC829" s="124" t="n"/>
      <c r="HD829" s="124" t="n"/>
      <c r="HE829" s="124" t="n"/>
      <c r="HF829" s="124" t="n"/>
      <c r="HG829" s="124" t="n"/>
      <c r="HH829" s="124" t="n"/>
      <c r="HI829" s="124" t="n"/>
      <c r="HJ829" s="124" t="n"/>
      <c r="HK829" s="124" t="n"/>
      <c r="HL829" s="124" t="n"/>
    </row>
    <row r="830" customFormat="1" s="3">
      <c r="A830" s="33" t="n"/>
      <c r="B830" s="34" t="n"/>
      <c r="C830" s="132" t="n"/>
      <c r="D830" s="71" t="n"/>
      <c r="E830" s="133" t="n"/>
      <c r="F830" s="124" t="n"/>
      <c r="G830" s="124" t="n"/>
      <c r="H830" s="124" t="n"/>
      <c r="I830" s="124" t="n"/>
      <c r="J830" s="124" t="n"/>
      <c r="K830" s="124" t="n"/>
      <c r="L830" s="124" t="n"/>
      <c r="M830" s="124" t="n"/>
      <c r="N830" s="124" t="n"/>
      <c r="O830" s="124" t="n"/>
      <c r="P830" s="124" t="n"/>
      <c r="Q830" s="124" t="n"/>
      <c r="R830" s="124" t="n"/>
      <c r="S830" s="124" t="n"/>
      <c r="T830" s="124" t="n"/>
      <c r="U830" s="124" t="n"/>
      <c r="V830" s="124" t="n"/>
      <c r="W830" s="124" t="n"/>
      <c r="X830" s="124" t="n"/>
      <c r="Y830" s="124" t="n"/>
      <c r="Z830" s="124" t="n"/>
      <c r="AA830" s="124" t="n"/>
      <c r="AB830" s="124" t="n"/>
      <c r="AC830" s="124" t="n"/>
      <c r="AD830" s="124" t="n"/>
      <c r="AE830" s="124" t="n"/>
      <c r="AF830" s="124" t="n"/>
      <c r="AG830" s="124" t="n"/>
      <c r="AH830" s="124" t="n"/>
      <c r="AI830" s="124" t="n"/>
      <c r="AJ830" s="124" t="n"/>
      <c r="AK830" s="124" t="n"/>
      <c r="AL830" s="124" t="n"/>
      <c r="AM830" s="124" t="n"/>
      <c r="AN830" s="124" t="n"/>
      <c r="AO830" s="124" t="n"/>
      <c r="AP830" s="124" t="n"/>
      <c r="AQ830" s="124" t="n"/>
      <c r="AR830" s="124" t="n"/>
      <c r="AS830" s="124" t="n"/>
      <c r="AT830" s="124" t="n"/>
      <c r="AU830" s="124" t="n"/>
      <c r="AV830" s="124" t="n"/>
      <c r="AW830" s="124" t="n"/>
      <c r="AX830" s="124" t="n"/>
      <c r="AY830" s="124" t="n"/>
      <c r="AZ830" s="124" t="n"/>
      <c r="BA830" s="124" t="n"/>
      <c r="BB830" s="124" t="n"/>
      <c r="BC830" s="124" t="n"/>
      <c r="BD830" s="124" t="n"/>
      <c r="BE830" s="124" t="n"/>
      <c r="BF830" s="124" t="n"/>
      <c r="BG830" s="124" t="n"/>
      <c r="BH830" s="124" t="n"/>
      <c r="BI830" s="124" t="n"/>
      <c r="BJ830" s="124" t="n"/>
      <c r="BK830" s="124" t="n"/>
      <c r="BL830" s="124" t="n"/>
      <c r="BM830" s="124" t="n"/>
      <c r="BN830" s="124" t="n"/>
      <c r="BO830" s="124" t="n"/>
      <c r="BP830" s="124" t="n"/>
      <c r="BQ830" s="124" t="n"/>
      <c r="BR830" s="124" t="n"/>
      <c r="BS830" s="124" t="n"/>
      <c r="BT830" s="124" t="n"/>
      <c r="BU830" s="124" t="n"/>
      <c r="BV830" s="124" t="n"/>
      <c r="BW830" s="124" t="n"/>
      <c r="BX830" s="124" t="n"/>
      <c r="BY830" s="124" t="n"/>
      <c r="BZ830" s="124" t="n"/>
      <c r="CA830" s="124" t="n"/>
      <c r="CB830" s="124" t="n"/>
      <c r="CC830" s="124" t="n"/>
      <c r="CD830" s="124" t="n"/>
      <c r="CE830" s="124" t="n"/>
      <c r="CF830" s="124" t="n"/>
      <c r="CG830" s="124" t="n"/>
      <c r="CH830" s="124" t="n"/>
      <c r="CI830" s="124" t="n"/>
      <c r="CJ830" s="124" t="n"/>
      <c r="CK830" s="124" t="n"/>
      <c r="CL830" s="124" t="n"/>
      <c r="CM830" s="124" t="n"/>
      <c r="CN830" s="124" t="n"/>
      <c r="CO830" s="124" t="n"/>
      <c r="CP830" s="124" t="n"/>
      <c r="CQ830" s="124" t="n"/>
      <c r="CR830" s="124" t="n"/>
      <c r="CS830" s="124" t="n"/>
      <c r="CT830" s="124" t="n"/>
      <c r="CU830" s="124" t="n"/>
      <c r="CV830" s="124" t="n"/>
      <c r="CW830" s="124" t="n"/>
      <c r="CX830" s="124" t="n"/>
      <c r="CY830" s="124" t="n"/>
      <c r="CZ830" s="124" t="n"/>
      <c r="DA830" s="124" t="n"/>
      <c r="DB830" s="124" t="n"/>
      <c r="DC830" s="124" t="n"/>
      <c r="DD830" s="124" t="n"/>
      <c r="DE830" s="124" t="n"/>
      <c r="DF830" s="124" t="n"/>
      <c r="DG830" s="124" t="n"/>
      <c r="DH830" s="124" t="n"/>
      <c r="DI830" s="124" t="n"/>
      <c r="DJ830" s="124" t="n"/>
      <c r="DK830" s="124" t="n"/>
      <c r="DL830" s="124" t="n"/>
      <c r="DM830" s="124" t="n"/>
      <c r="DN830" s="124" t="n"/>
      <c r="DO830" s="124" t="n"/>
      <c r="DP830" s="124" t="n"/>
      <c r="DQ830" s="124" t="n"/>
      <c r="DR830" s="124" t="n"/>
      <c r="DS830" s="124" t="n"/>
      <c r="DT830" s="124" t="n"/>
      <c r="DU830" s="124" t="n"/>
      <c r="DV830" s="124" t="n"/>
      <c r="DW830" s="124" t="n"/>
      <c r="DX830" s="124" t="n"/>
      <c r="DY830" s="124" t="n"/>
      <c r="DZ830" s="124" t="n"/>
      <c r="EA830" s="124" t="n"/>
      <c r="EB830" s="124" t="n"/>
      <c r="EC830" s="124" t="n"/>
      <c r="ED830" s="124" t="n"/>
      <c r="EE830" s="124" t="n"/>
      <c r="EF830" s="124" t="n"/>
      <c r="EG830" s="124" t="n"/>
      <c r="EH830" s="124" t="n"/>
      <c r="EI830" s="124" t="n"/>
      <c r="EJ830" s="124" t="n"/>
      <c r="EK830" s="124" t="n"/>
      <c r="EL830" s="124" t="n"/>
      <c r="EM830" s="124" t="n"/>
      <c r="EN830" s="124" t="n"/>
      <c r="EO830" s="124" t="n"/>
      <c r="EP830" s="124" t="n"/>
      <c r="EQ830" s="124" t="n"/>
      <c r="ER830" s="124" t="n"/>
      <c r="ES830" s="124" t="n"/>
      <c r="ET830" s="124" t="n"/>
      <c r="EU830" s="124" t="n"/>
      <c r="EV830" s="124" t="n"/>
      <c r="EW830" s="124" t="n"/>
      <c r="EX830" s="124" t="n"/>
      <c r="EY830" s="124" t="n"/>
      <c r="EZ830" s="124" t="n"/>
      <c r="FA830" s="124" t="n"/>
      <c r="FB830" s="124" t="n"/>
      <c r="FC830" s="124" t="n"/>
      <c r="FD830" s="124" t="n"/>
      <c r="FE830" s="124" t="n"/>
      <c r="FF830" s="124" t="n"/>
      <c r="FG830" s="124" t="n"/>
      <c r="FH830" s="124" t="n"/>
      <c r="FI830" s="124" t="n"/>
      <c r="FJ830" s="124" t="n"/>
      <c r="FK830" s="124" t="n"/>
      <c r="FL830" s="124" t="n"/>
      <c r="FM830" s="124" t="n"/>
      <c r="FN830" s="124" t="n"/>
      <c r="FO830" s="124" t="n"/>
      <c r="FP830" s="124" t="n"/>
      <c r="FQ830" s="124" t="n"/>
      <c r="FR830" s="124" t="n"/>
      <c r="FS830" s="124" t="n"/>
      <c r="FT830" s="124" t="n"/>
      <c r="FU830" s="124" t="n"/>
      <c r="FV830" s="124" t="n"/>
      <c r="FW830" s="124" t="n"/>
      <c r="FX830" s="124" t="n"/>
      <c r="FY830" s="124" t="n"/>
      <c r="FZ830" s="124" t="n"/>
      <c r="GA830" s="124" t="n"/>
      <c r="GB830" s="124" t="n"/>
      <c r="GC830" s="124" t="n"/>
      <c r="GD830" s="124" t="n"/>
      <c r="GE830" s="124" t="n"/>
      <c r="GF830" s="124" t="n"/>
      <c r="GG830" s="124" t="n"/>
      <c r="GH830" s="124" t="n"/>
      <c r="GI830" s="124" t="n"/>
      <c r="GJ830" s="124" t="n"/>
      <c r="GK830" s="124" t="n"/>
      <c r="GL830" s="124" t="n"/>
      <c r="GM830" s="124" t="n"/>
      <c r="GN830" s="124" t="n"/>
      <c r="GO830" s="124" t="n"/>
      <c r="GP830" s="124" t="n"/>
      <c r="GQ830" s="124" t="n"/>
      <c r="GR830" s="124" t="n"/>
      <c r="GS830" s="124" t="n"/>
      <c r="GT830" s="124" t="n"/>
      <c r="GU830" s="124" t="n"/>
      <c r="GV830" s="124" t="n"/>
      <c r="GW830" s="124" t="n"/>
      <c r="GX830" s="124" t="n"/>
      <c r="GY830" s="124" t="n"/>
      <c r="GZ830" s="124" t="n"/>
      <c r="HA830" s="124" t="n"/>
      <c r="HB830" s="124" t="n"/>
      <c r="HC830" s="124" t="n"/>
      <c r="HD830" s="124" t="n"/>
      <c r="HE830" s="124" t="n"/>
      <c r="HF830" s="124" t="n"/>
      <c r="HG830" s="124" t="n"/>
      <c r="HH830" s="124" t="n"/>
      <c r="HI830" s="124" t="n"/>
      <c r="HJ830" s="124" t="n"/>
      <c r="HK830" s="124" t="n"/>
      <c r="HL830" s="124" t="n"/>
    </row>
    <row r="831" customFormat="1" s="3">
      <c r="A831" s="33" t="n"/>
      <c r="B831" s="34" t="n"/>
      <c r="C831" s="38" t="inlineStr">
        <is>
          <t>Бетонная обойма В15</t>
        </is>
      </c>
      <c r="D831" s="36" t="inlineStr">
        <is>
          <t>м3</t>
        </is>
      </c>
      <c r="E831" s="123" t="n">
        <v>32</v>
      </c>
      <c r="F831" s="124" t="n"/>
      <c r="G831" s="124" t="n"/>
      <c r="H831" s="124" t="n"/>
      <c r="I831" s="124" t="n"/>
      <c r="J831" s="124" t="n"/>
      <c r="K831" s="124" t="n"/>
      <c r="L831" s="124" t="n"/>
      <c r="M831" s="124" t="n"/>
      <c r="N831" s="124" t="n"/>
      <c r="O831" s="124" t="n"/>
      <c r="P831" s="124" t="n"/>
      <c r="Q831" s="124" t="n"/>
      <c r="R831" s="124" t="n"/>
      <c r="S831" s="124" t="n"/>
      <c r="T831" s="124" t="n"/>
      <c r="U831" s="124" t="n"/>
      <c r="V831" s="124" t="n"/>
      <c r="W831" s="124" t="n"/>
      <c r="X831" s="124" t="n"/>
      <c r="Y831" s="124" t="n"/>
      <c r="Z831" s="124" t="n"/>
      <c r="AA831" s="124" t="n"/>
      <c r="AB831" s="124" t="n"/>
      <c r="AC831" s="124" t="n"/>
      <c r="AD831" s="124" t="n"/>
      <c r="AE831" s="124" t="n"/>
      <c r="AF831" s="124" t="n"/>
      <c r="AG831" s="124" t="n"/>
      <c r="AH831" s="124" t="n"/>
      <c r="AI831" s="124" t="n"/>
      <c r="AJ831" s="124" t="n"/>
      <c r="AK831" s="124" t="n"/>
      <c r="AL831" s="124" t="n"/>
      <c r="AM831" s="124" t="n"/>
      <c r="AN831" s="124" t="n"/>
      <c r="AO831" s="124" t="n"/>
      <c r="AP831" s="124" t="n"/>
      <c r="AQ831" s="124" t="n"/>
      <c r="AR831" s="124" t="n"/>
      <c r="AS831" s="124" t="n"/>
      <c r="AT831" s="124" t="n"/>
      <c r="AU831" s="124" t="n"/>
      <c r="AV831" s="124" t="n"/>
      <c r="AW831" s="124" t="n"/>
      <c r="AX831" s="124" t="n"/>
      <c r="AY831" s="124" t="n"/>
      <c r="AZ831" s="124" t="n"/>
      <c r="BA831" s="124" t="n"/>
      <c r="BB831" s="124" t="n"/>
      <c r="BC831" s="124" t="n"/>
      <c r="BD831" s="124" t="n"/>
      <c r="BE831" s="124" t="n"/>
      <c r="BF831" s="124" t="n"/>
      <c r="BG831" s="124" t="n"/>
      <c r="BH831" s="124" t="n"/>
      <c r="BI831" s="124" t="n"/>
      <c r="BJ831" s="124" t="n"/>
      <c r="BK831" s="124" t="n"/>
      <c r="BL831" s="124" t="n"/>
      <c r="BM831" s="124" t="n"/>
      <c r="BN831" s="124" t="n"/>
      <c r="BO831" s="124" t="n"/>
      <c r="BP831" s="124" t="n"/>
      <c r="BQ831" s="124" t="n"/>
      <c r="BR831" s="124" t="n"/>
      <c r="BS831" s="124" t="n"/>
      <c r="BT831" s="124" t="n"/>
      <c r="BU831" s="124" t="n"/>
      <c r="BV831" s="124" t="n"/>
      <c r="BW831" s="124" t="n"/>
      <c r="BX831" s="124" t="n"/>
      <c r="BY831" s="124" t="n"/>
      <c r="BZ831" s="124" t="n"/>
      <c r="CA831" s="124" t="n"/>
      <c r="CB831" s="124" t="n"/>
      <c r="CC831" s="124" t="n"/>
      <c r="CD831" s="124" t="n"/>
      <c r="CE831" s="124" t="n"/>
      <c r="CF831" s="124" t="n"/>
      <c r="CG831" s="124" t="n"/>
      <c r="CH831" s="124" t="n"/>
      <c r="CI831" s="124" t="n"/>
      <c r="CJ831" s="124" t="n"/>
      <c r="CK831" s="124" t="n"/>
      <c r="CL831" s="124" t="n"/>
      <c r="CM831" s="124" t="n"/>
      <c r="CN831" s="124" t="n"/>
      <c r="CO831" s="124" t="n"/>
      <c r="CP831" s="124" t="n"/>
      <c r="CQ831" s="124" t="n"/>
      <c r="CR831" s="124" t="n"/>
      <c r="CS831" s="124" t="n"/>
      <c r="CT831" s="124" t="n"/>
      <c r="CU831" s="124" t="n"/>
      <c r="CV831" s="124" t="n"/>
      <c r="CW831" s="124" t="n"/>
      <c r="CX831" s="124" t="n"/>
      <c r="CY831" s="124" t="n"/>
      <c r="CZ831" s="124" t="n"/>
      <c r="DA831" s="124" t="n"/>
      <c r="DB831" s="124" t="n"/>
      <c r="DC831" s="124" t="n"/>
      <c r="DD831" s="124" t="n"/>
      <c r="DE831" s="124" t="n"/>
      <c r="DF831" s="124" t="n"/>
      <c r="DG831" s="124" t="n"/>
      <c r="DH831" s="124" t="n"/>
      <c r="DI831" s="124" t="n"/>
      <c r="DJ831" s="124" t="n"/>
      <c r="DK831" s="124" t="n"/>
      <c r="DL831" s="124" t="n"/>
      <c r="DM831" s="124" t="n"/>
      <c r="DN831" s="124" t="n"/>
      <c r="DO831" s="124" t="n"/>
      <c r="DP831" s="124" t="n"/>
      <c r="DQ831" s="124" t="n"/>
      <c r="DR831" s="124" t="n"/>
      <c r="DS831" s="124" t="n"/>
      <c r="DT831" s="124" t="n"/>
      <c r="DU831" s="124" t="n"/>
      <c r="DV831" s="124" t="n"/>
      <c r="DW831" s="124" t="n"/>
      <c r="DX831" s="124" t="n"/>
      <c r="DY831" s="124" t="n"/>
      <c r="DZ831" s="124" t="n"/>
      <c r="EA831" s="124" t="n"/>
      <c r="EB831" s="124" t="n"/>
      <c r="EC831" s="124" t="n"/>
      <c r="ED831" s="124" t="n"/>
      <c r="EE831" s="124" t="n"/>
      <c r="EF831" s="124" t="n"/>
      <c r="EG831" s="124" t="n"/>
      <c r="EH831" s="124" t="n"/>
      <c r="EI831" s="124" t="n"/>
      <c r="EJ831" s="124" t="n"/>
      <c r="EK831" s="124" t="n"/>
      <c r="EL831" s="124" t="n"/>
      <c r="EM831" s="124" t="n"/>
      <c r="EN831" s="124" t="n"/>
      <c r="EO831" s="124" t="n"/>
      <c r="EP831" s="124" t="n"/>
      <c r="EQ831" s="124" t="n"/>
      <c r="ER831" s="124" t="n"/>
      <c r="ES831" s="124" t="n"/>
      <c r="ET831" s="124" t="n"/>
      <c r="EU831" s="124" t="n"/>
      <c r="EV831" s="124" t="n"/>
      <c r="EW831" s="124" t="n"/>
      <c r="EX831" s="124" t="n"/>
      <c r="EY831" s="124" t="n"/>
      <c r="EZ831" s="124" t="n"/>
      <c r="FA831" s="124" t="n"/>
      <c r="FB831" s="124" t="n"/>
      <c r="FC831" s="124" t="n"/>
      <c r="FD831" s="124" t="n"/>
      <c r="FE831" s="124" t="n"/>
      <c r="FF831" s="124" t="n"/>
      <c r="FG831" s="124" t="n"/>
      <c r="FH831" s="124" t="n"/>
      <c r="FI831" s="124" t="n"/>
      <c r="FJ831" s="124" t="n"/>
      <c r="FK831" s="124" t="n"/>
      <c r="FL831" s="124" t="n"/>
      <c r="FM831" s="124" t="n"/>
      <c r="FN831" s="124" t="n"/>
      <c r="FO831" s="124" t="n"/>
      <c r="FP831" s="124" t="n"/>
      <c r="FQ831" s="124" t="n"/>
      <c r="FR831" s="124" t="n"/>
      <c r="FS831" s="124" t="n"/>
      <c r="FT831" s="124" t="n"/>
      <c r="FU831" s="124" t="n"/>
      <c r="FV831" s="124" t="n"/>
      <c r="FW831" s="124" t="n"/>
      <c r="FX831" s="124" t="n"/>
      <c r="FY831" s="124" t="n"/>
      <c r="FZ831" s="124" t="n"/>
      <c r="GA831" s="124" t="n"/>
      <c r="GB831" s="124" t="n"/>
      <c r="GC831" s="124" t="n"/>
      <c r="GD831" s="124" t="n"/>
      <c r="GE831" s="124" t="n"/>
      <c r="GF831" s="124" t="n"/>
      <c r="GG831" s="124" t="n"/>
      <c r="GH831" s="124" t="n"/>
      <c r="GI831" s="124" t="n"/>
      <c r="GJ831" s="124" t="n"/>
      <c r="GK831" s="124" t="n"/>
      <c r="GL831" s="124" t="n"/>
      <c r="GM831" s="124" t="n"/>
      <c r="GN831" s="124" t="n"/>
      <c r="GO831" s="124" t="n"/>
      <c r="GP831" s="124" t="n"/>
      <c r="GQ831" s="124" t="n"/>
      <c r="GR831" s="124" t="n"/>
      <c r="GS831" s="124" t="n"/>
      <c r="GT831" s="124" t="n"/>
      <c r="GU831" s="124" t="n"/>
      <c r="GV831" s="124" t="n"/>
      <c r="GW831" s="124" t="n"/>
      <c r="GX831" s="124" t="n"/>
      <c r="GY831" s="124" t="n"/>
      <c r="GZ831" s="124" t="n"/>
      <c r="HA831" s="124" t="n"/>
      <c r="HB831" s="124" t="n"/>
      <c r="HC831" s="124" t="n"/>
      <c r="HD831" s="124" t="n"/>
      <c r="HE831" s="124" t="n"/>
      <c r="HF831" s="124" t="n"/>
      <c r="HG831" s="124" t="n"/>
      <c r="HH831" s="124" t="n"/>
      <c r="HI831" s="124" t="n"/>
      <c r="HJ831" s="124" t="n"/>
      <c r="HK831" s="124" t="n"/>
      <c r="HL831" s="124" t="n"/>
    </row>
    <row r="832" customFormat="1" s="3">
      <c r="A832" s="33" t="n"/>
      <c r="B832" s="34" t="n"/>
      <c r="C832" s="108" t="inlineStr">
        <is>
          <t>Цементно-песчаная стяжка М100</t>
        </is>
      </c>
      <c r="D832" s="36" t="inlineStr">
        <is>
          <t>м3</t>
        </is>
      </c>
      <c r="E832" s="123" t="n">
        <v>3.45</v>
      </c>
      <c r="F832" s="124" t="n"/>
      <c r="G832" s="124" t="n"/>
      <c r="H832" s="124" t="n"/>
      <c r="I832" s="124" t="n"/>
      <c r="J832" s="124" t="n"/>
      <c r="K832" s="124" t="n"/>
      <c r="L832" s="124" t="n"/>
      <c r="M832" s="124" t="n"/>
      <c r="N832" s="124" t="n"/>
      <c r="O832" s="124" t="n"/>
      <c r="P832" s="124" t="n"/>
      <c r="Q832" s="124" t="n"/>
      <c r="R832" s="124" t="n"/>
      <c r="S832" s="124" t="n"/>
      <c r="T832" s="124" t="n"/>
      <c r="U832" s="124" t="n"/>
      <c r="V832" s="124" t="n"/>
      <c r="W832" s="124" t="n"/>
      <c r="X832" s="124" t="n"/>
      <c r="Y832" s="124" t="n"/>
      <c r="Z832" s="124" t="n"/>
      <c r="AA832" s="124" t="n"/>
      <c r="AB832" s="124" t="n"/>
      <c r="AC832" s="124" t="n"/>
      <c r="AD832" s="124" t="n"/>
      <c r="AE832" s="124" t="n"/>
      <c r="AF832" s="124" t="n"/>
      <c r="AG832" s="124" t="n"/>
      <c r="AH832" s="124" t="n"/>
      <c r="AI832" s="124" t="n"/>
      <c r="AJ832" s="124" t="n"/>
      <c r="AK832" s="124" t="n"/>
      <c r="AL832" s="124" t="n"/>
      <c r="AM832" s="124" t="n"/>
      <c r="AN832" s="124" t="n"/>
      <c r="AO832" s="124" t="n"/>
      <c r="AP832" s="124" t="n"/>
      <c r="AQ832" s="124" t="n"/>
      <c r="AR832" s="124" t="n"/>
      <c r="AS832" s="124" t="n"/>
      <c r="AT832" s="124" t="n"/>
      <c r="AU832" s="124" t="n"/>
      <c r="AV832" s="124" t="n"/>
      <c r="AW832" s="124" t="n"/>
      <c r="AX832" s="124" t="n"/>
      <c r="AY832" s="124" t="n"/>
      <c r="AZ832" s="124" t="n"/>
      <c r="BA832" s="124" t="n"/>
      <c r="BB832" s="124" t="n"/>
      <c r="BC832" s="124" t="n"/>
      <c r="BD832" s="124" t="n"/>
      <c r="BE832" s="124" t="n"/>
      <c r="BF832" s="124" t="n"/>
      <c r="BG832" s="124" t="n"/>
      <c r="BH832" s="124" t="n"/>
      <c r="BI832" s="124" t="n"/>
      <c r="BJ832" s="124" t="n"/>
      <c r="BK832" s="124" t="n"/>
      <c r="BL832" s="124" t="n"/>
      <c r="BM832" s="124" t="n"/>
      <c r="BN832" s="124" t="n"/>
      <c r="BO832" s="124" t="n"/>
      <c r="BP832" s="124" t="n"/>
      <c r="BQ832" s="124" t="n"/>
      <c r="BR832" s="124" t="n"/>
      <c r="BS832" s="124" t="n"/>
      <c r="BT832" s="124" t="n"/>
      <c r="BU832" s="124" t="n"/>
      <c r="BV832" s="124" t="n"/>
      <c r="BW832" s="124" t="n"/>
      <c r="BX832" s="124" t="n"/>
      <c r="BY832" s="124" t="n"/>
      <c r="BZ832" s="124" t="n"/>
      <c r="CA832" s="124" t="n"/>
      <c r="CB832" s="124" t="n"/>
      <c r="CC832" s="124" t="n"/>
      <c r="CD832" s="124" t="n"/>
      <c r="CE832" s="124" t="n"/>
      <c r="CF832" s="124" t="n"/>
      <c r="CG832" s="124" t="n"/>
      <c r="CH832" s="124" t="n"/>
      <c r="CI832" s="124" t="n"/>
      <c r="CJ832" s="124" t="n"/>
      <c r="CK832" s="124" t="n"/>
      <c r="CL832" s="124" t="n"/>
      <c r="CM832" s="124" t="n"/>
      <c r="CN832" s="124" t="n"/>
      <c r="CO832" s="124" t="n"/>
      <c r="CP832" s="124" t="n"/>
      <c r="CQ832" s="124" t="n"/>
      <c r="CR832" s="124" t="n"/>
      <c r="CS832" s="124" t="n"/>
      <c r="CT832" s="124" t="n"/>
      <c r="CU832" s="124" t="n"/>
      <c r="CV832" s="124" t="n"/>
      <c r="CW832" s="124" t="n"/>
      <c r="CX832" s="124" t="n"/>
      <c r="CY832" s="124" t="n"/>
      <c r="CZ832" s="124" t="n"/>
      <c r="DA832" s="124" t="n"/>
      <c r="DB832" s="124" t="n"/>
      <c r="DC832" s="124" t="n"/>
      <c r="DD832" s="124" t="n"/>
      <c r="DE832" s="124" t="n"/>
      <c r="DF832" s="124" t="n"/>
      <c r="DG832" s="124" t="n"/>
      <c r="DH832" s="124" t="n"/>
      <c r="DI832" s="124" t="n"/>
      <c r="DJ832" s="124" t="n"/>
      <c r="DK832" s="124" t="n"/>
      <c r="DL832" s="124" t="n"/>
      <c r="DM832" s="124" t="n"/>
      <c r="DN832" s="124" t="n"/>
      <c r="DO832" s="124" t="n"/>
      <c r="DP832" s="124" t="n"/>
      <c r="DQ832" s="124" t="n"/>
      <c r="DR832" s="124" t="n"/>
      <c r="DS832" s="124" t="n"/>
      <c r="DT832" s="124" t="n"/>
      <c r="DU832" s="124" t="n"/>
      <c r="DV832" s="124" t="n"/>
      <c r="DW832" s="124" t="n"/>
      <c r="DX832" s="124" t="n"/>
      <c r="DY832" s="124" t="n"/>
      <c r="DZ832" s="124" t="n"/>
      <c r="EA832" s="124" t="n"/>
      <c r="EB832" s="124" t="n"/>
      <c r="EC832" s="124" t="n"/>
      <c r="ED832" s="124" t="n"/>
      <c r="EE832" s="124" t="n"/>
      <c r="EF832" s="124" t="n"/>
      <c r="EG832" s="124" t="n"/>
      <c r="EH832" s="124" t="n"/>
      <c r="EI832" s="124" t="n"/>
      <c r="EJ832" s="124" t="n"/>
      <c r="EK832" s="124" t="n"/>
      <c r="EL832" s="124" t="n"/>
      <c r="EM832" s="124" t="n"/>
      <c r="EN832" s="124" t="n"/>
      <c r="EO832" s="124" t="n"/>
      <c r="EP832" s="124" t="n"/>
      <c r="EQ832" s="124" t="n"/>
      <c r="ER832" s="124" t="n"/>
      <c r="ES832" s="124" t="n"/>
      <c r="ET832" s="124" t="n"/>
      <c r="EU832" s="124" t="n"/>
      <c r="EV832" s="124" t="n"/>
      <c r="EW832" s="124" t="n"/>
      <c r="EX832" s="124" t="n"/>
      <c r="EY832" s="124" t="n"/>
      <c r="EZ832" s="124" t="n"/>
      <c r="FA832" s="124" t="n"/>
      <c r="FB832" s="124" t="n"/>
      <c r="FC832" s="124" t="n"/>
      <c r="FD832" s="124" t="n"/>
      <c r="FE832" s="124" t="n"/>
      <c r="FF832" s="124" t="n"/>
      <c r="FG832" s="124" t="n"/>
      <c r="FH832" s="124" t="n"/>
      <c r="FI832" s="124" t="n"/>
      <c r="FJ832" s="124" t="n"/>
      <c r="FK832" s="124" t="n"/>
      <c r="FL832" s="124" t="n"/>
      <c r="FM832" s="124" t="n"/>
      <c r="FN832" s="124" t="n"/>
      <c r="FO832" s="124" t="n"/>
      <c r="FP832" s="124" t="n"/>
      <c r="FQ832" s="124" t="n"/>
      <c r="FR832" s="124" t="n"/>
      <c r="FS832" s="124" t="n"/>
      <c r="FT832" s="124" t="n"/>
      <c r="FU832" s="124" t="n"/>
      <c r="FV832" s="124" t="n"/>
      <c r="FW832" s="124" t="n"/>
      <c r="FX832" s="124" t="n"/>
      <c r="FY832" s="124" t="n"/>
      <c r="FZ832" s="124" t="n"/>
      <c r="GA832" s="124" t="n"/>
      <c r="GB832" s="124" t="n"/>
      <c r="GC832" s="124" t="n"/>
      <c r="GD832" s="124" t="n"/>
      <c r="GE832" s="124" t="n"/>
      <c r="GF832" s="124" t="n"/>
      <c r="GG832" s="124" t="n"/>
      <c r="GH832" s="124" t="n"/>
      <c r="GI832" s="124" t="n"/>
      <c r="GJ832" s="124" t="n"/>
      <c r="GK832" s="124" t="n"/>
      <c r="GL832" s="124" t="n"/>
      <c r="GM832" s="124" t="n"/>
      <c r="GN832" s="124" t="n"/>
      <c r="GO832" s="124" t="n"/>
      <c r="GP832" s="124" t="n"/>
      <c r="GQ832" s="124" t="n"/>
      <c r="GR832" s="124" t="n"/>
      <c r="GS832" s="124" t="n"/>
      <c r="GT832" s="124" t="n"/>
      <c r="GU832" s="124" t="n"/>
      <c r="GV832" s="124" t="n"/>
      <c r="GW832" s="124" t="n"/>
      <c r="GX832" s="124" t="n"/>
      <c r="GY832" s="124" t="n"/>
      <c r="GZ832" s="124" t="n"/>
      <c r="HA832" s="124" t="n"/>
      <c r="HB832" s="124" t="n"/>
      <c r="HC832" s="124" t="n"/>
      <c r="HD832" s="124" t="n"/>
      <c r="HE832" s="124" t="n"/>
      <c r="HF832" s="124" t="n"/>
      <c r="HG832" s="124" t="n"/>
      <c r="HH832" s="124" t="n"/>
      <c r="HI832" s="124" t="n"/>
      <c r="HJ832" s="124" t="n"/>
      <c r="HK832" s="124" t="n"/>
      <c r="HL832" s="124" t="n"/>
    </row>
    <row r="833" customFormat="1" s="3">
      <c r="A833" s="33" t="n"/>
      <c r="B833" s="34" t="n"/>
      <c r="C833" s="108" t="inlineStr">
        <is>
          <t>Подушка песчано-гравийная 100мм</t>
        </is>
      </c>
      <c r="D833" s="36" t="inlineStr">
        <is>
          <t>м3</t>
        </is>
      </c>
      <c r="E833" s="123">
        <f>210*0.1</f>
        <v/>
      </c>
      <c r="F833" s="124" t="n"/>
      <c r="G833" s="124" t="n"/>
      <c r="H833" s="124" t="n"/>
      <c r="I833" s="124" t="n"/>
      <c r="J833" s="124" t="n"/>
      <c r="K833" s="124" t="n"/>
      <c r="L833" s="124" t="n"/>
      <c r="M833" s="124" t="n"/>
      <c r="N833" s="124" t="n"/>
      <c r="O833" s="124" t="n"/>
      <c r="P833" s="124" t="n"/>
      <c r="Q833" s="124" t="n"/>
      <c r="R833" s="124" t="n"/>
      <c r="S833" s="124" t="n"/>
      <c r="T833" s="124" t="n"/>
      <c r="U833" s="124" t="n"/>
      <c r="V833" s="124" t="n"/>
      <c r="W833" s="124" t="n"/>
      <c r="X833" s="124" t="n"/>
      <c r="Y833" s="124" t="n"/>
      <c r="Z833" s="124" t="n"/>
      <c r="AA833" s="124" t="n"/>
      <c r="AB833" s="124" t="n"/>
      <c r="AC833" s="124" t="n"/>
      <c r="AD833" s="124" t="n"/>
      <c r="AE833" s="124" t="n"/>
      <c r="AF833" s="124" t="n"/>
      <c r="AG833" s="124" t="n"/>
      <c r="AH833" s="124" t="n"/>
      <c r="AI833" s="124" t="n"/>
      <c r="AJ833" s="124" t="n"/>
      <c r="AK833" s="124" t="n"/>
      <c r="AL833" s="124" t="n"/>
      <c r="AM833" s="124" t="n"/>
      <c r="AN833" s="124" t="n"/>
      <c r="AO833" s="124" t="n"/>
      <c r="AP833" s="124" t="n"/>
      <c r="AQ833" s="124" t="n"/>
      <c r="AR833" s="124" t="n"/>
      <c r="AS833" s="124" t="n"/>
      <c r="AT833" s="124" t="n"/>
      <c r="AU833" s="124" t="n"/>
      <c r="AV833" s="124" t="n"/>
      <c r="AW833" s="124" t="n"/>
      <c r="AX833" s="124" t="n"/>
      <c r="AY833" s="124" t="n"/>
      <c r="AZ833" s="124" t="n"/>
      <c r="BA833" s="124" t="n"/>
      <c r="BB833" s="124" t="n"/>
      <c r="BC833" s="124" t="n"/>
      <c r="BD833" s="124" t="n"/>
      <c r="BE833" s="124" t="n"/>
      <c r="BF833" s="124" t="n"/>
      <c r="BG833" s="124" t="n"/>
      <c r="BH833" s="124" t="n"/>
      <c r="BI833" s="124" t="n"/>
      <c r="BJ833" s="124" t="n"/>
      <c r="BK833" s="124" t="n"/>
      <c r="BL833" s="124" t="n"/>
      <c r="BM833" s="124" t="n"/>
      <c r="BN833" s="124" t="n"/>
      <c r="BO833" s="124" t="n"/>
      <c r="BP833" s="124" t="n"/>
      <c r="BQ833" s="124" t="n"/>
      <c r="BR833" s="124" t="n"/>
      <c r="BS833" s="124" t="n"/>
      <c r="BT833" s="124" t="n"/>
      <c r="BU833" s="124" t="n"/>
      <c r="BV833" s="124" t="n"/>
      <c r="BW833" s="124" t="n"/>
      <c r="BX833" s="124" t="n"/>
      <c r="BY833" s="124" t="n"/>
      <c r="BZ833" s="124" t="n"/>
      <c r="CA833" s="124" t="n"/>
      <c r="CB833" s="124" t="n"/>
      <c r="CC833" s="124" t="n"/>
      <c r="CD833" s="124" t="n"/>
      <c r="CE833" s="124" t="n"/>
      <c r="CF833" s="124" t="n"/>
      <c r="CG833" s="124" t="n"/>
      <c r="CH833" s="124" t="n"/>
      <c r="CI833" s="124" t="n"/>
      <c r="CJ833" s="124" t="n"/>
      <c r="CK833" s="124" t="n"/>
      <c r="CL833" s="124" t="n"/>
      <c r="CM833" s="124" t="n"/>
      <c r="CN833" s="124" t="n"/>
      <c r="CO833" s="124" t="n"/>
      <c r="CP833" s="124" t="n"/>
      <c r="CQ833" s="124" t="n"/>
      <c r="CR833" s="124" t="n"/>
      <c r="CS833" s="124" t="n"/>
      <c r="CT833" s="124" t="n"/>
      <c r="CU833" s="124" t="n"/>
      <c r="CV833" s="124" t="n"/>
      <c r="CW833" s="124" t="n"/>
      <c r="CX833" s="124" t="n"/>
      <c r="CY833" s="124" t="n"/>
      <c r="CZ833" s="124" t="n"/>
      <c r="DA833" s="124" t="n"/>
      <c r="DB833" s="124" t="n"/>
      <c r="DC833" s="124" t="n"/>
      <c r="DD833" s="124" t="n"/>
      <c r="DE833" s="124" t="n"/>
      <c r="DF833" s="124" t="n"/>
      <c r="DG833" s="124" t="n"/>
      <c r="DH833" s="124" t="n"/>
      <c r="DI833" s="124" t="n"/>
      <c r="DJ833" s="124" t="n"/>
      <c r="DK833" s="124" t="n"/>
      <c r="DL833" s="124" t="n"/>
      <c r="DM833" s="124" t="n"/>
      <c r="DN833" s="124" t="n"/>
      <c r="DO833" s="124" t="n"/>
      <c r="DP833" s="124" t="n"/>
      <c r="DQ833" s="124" t="n"/>
      <c r="DR833" s="124" t="n"/>
      <c r="DS833" s="124" t="n"/>
      <c r="DT833" s="124" t="n"/>
      <c r="DU833" s="124" t="n"/>
      <c r="DV833" s="124" t="n"/>
      <c r="DW833" s="124" t="n"/>
      <c r="DX833" s="124" t="n"/>
      <c r="DY833" s="124" t="n"/>
      <c r="DZ833" s="124" t="n"/>
      <c r="EA833" s="124" t="n"/>
      <c r="EB833" s="124" t="n"/>
      <c r="EC833" s="124" t="n"/>
      <c r="ED833" s="124" t="n"/>
      <c r="EE833" s="124" t="n"/>
      <c r="EF833" s="124" t="n"/>
      <c r="EG833" s="124" t="n"/>
      <c r="EH833" s="124" t="n"/>
      <c r="EI833" s="124" t="n"/>
      <c r="EJ833" s="124" t="n"/>
      <c r="EK833" s="124" t="n"/>
      <c r="EL833" s="124" t="n"/>
      <c r="EM833" s="124" t="n"/>
      <c r="EN833" s="124" t="n"/>
      <c r="EO833" s="124" t="n"/>
      <c r="EP833" s="124" t="n"/>
      <c r="EQ833" s="124" t="n"/>
      <c r="ER833" s="124" t="n"/>
      <c r="ES833" s="124" t="n"/>
      <c r="ET833" s="124" t="n"/>
      <c r="EU833" s="124" t="n"/>
      <c r="EV833" s="124" t="n"/>
      <c r="EW833" s="124" t="n"/>
      <c r="EX833" s="124" t="n"/>
      <c r="EY833" s="124" t="n"/>
      <c r="EZ833" s="124" t="n"/>
      <c r="FA833" s="124" t="n"/>
      <c r="FB833" s="124" t="n"/>
      <c r="FC833" s="124" t="n"/>
      <c r="FD833" s="124" t="n"/>
      <c r="FE833" s="124" t="n"/>
      <c r="FF833" s="124" t="n"/>
      <c r="FG833" s="124" t="n"/>
      <c r="FH833" s="124" t="n"/>
      <c r="FI833" s="124" t="n"/>
      <c r="FJ833" s="124" t="n"/>
      <c r="FK833" s="124" t="n"/>
      <c r="FL833" s="124" t="n"/>
      <c r="FM833" s="124" t="n"/>
      <c r="FN833" s="124" t="n"/>
      <c r="FO833" s="124" t="n"/>
      <c r="FP833" s="124" t="n"/>
      <c r="FQ833" s="124" t="n"/>
      <c r="FR833" s="124" t="n"/>
      <c r="FS833" s="124" t="n"/>
      <c r="FT833" s="124" t="n"/>
      <c r="FU833" s="124" t="n"/>
      <c r="FV833" s="124" t="n"/>
      <c r="FW833" s="124" t="n"/>
      <c r="FX833" s="124" t="n"/>
      <c r="FY833" s="124" t="n"/>
      <c r="FZ833" s="124" t="n"/>
      <c r="GA833" s="124" t="n"/>
      <c r="GB833" s="124" t="n"/>
      <c r="GC833" s="124" t="n"/>
      <c r="GD833" s="124" t="n"/>
      <c r="GE833" s="124" t="n"/>
      <c r="GF833" s="124" t="n"/>
      <c r="GG833" s="124" t="n"/>
      <c r="GH833" s="124" t="n"/>
      <c r="GI833" s="124" t="n"/>
      <c r="GJ833" s="124" t="n"/>
      <c r="GK833" s="124" t="n"/>
      <c r="GL833" s="124" t="n"/>
      <c r="GM833" s="124" t="n"/>
      <c r="GN833" s="124" t="n"/>
      <c r="GO833" s="124" t="n"/>
      <c r="GP833" s="124" t="n"/>
      <c r="GQ833" s="124" t="n"/>
      <c r="GR833" s="124" t="n"/>
      <c r="GS833" s="124" t="n"/>
      <c r="GT833" s="124" t="n"/>
      <c r="GU833" s="124" t="n"/>
      <c r="GV833" s="124" t="n"/>
      <c r="GW833" s="124" t="n"/>
      <c r="GX833" s="124" t="n"/>
      <c r="GY833" s="124" t="n"/>
      <c r="GZ833" s="124" t="n"/>
      <c r="HA833" s="124" t="n"/>
      <c r="HB833" s="124" t="n"/>
      <c r="HC833" s="124" t="n"/>
      <c r="HD833" s="124" t="n"/>
      <c r="HE833" s="124" t="n"/>
      <c r="HF833" s="124" t="n"/>
      <c r="HG833" s="124" t="n"/>
      <c r="HH833" s="124" t="n"/>
      <c r="HI833" s="124" t="n"/>
      <c r="HJ833" s="124" t="n"/>
      <c r="HK833" s="124" t="n"/>
      <c r="HL833" s="124" t="n"/>
    </row>
    <row r="834" customFormat="1" s="3">
      <c r="A834" s="33" t="n"/>
      <c r="B834" s="34" t="n"/>
      <c r="C834" s="108" t="inlineStr">
        <is>
          <t>Арычный блок БА-3 БА-3 ГОСТ 24547-81</t>
        </is>
      </c>
      <c r="D834" s="36" t="inlineStr">
        <is>
          <t>м/п</t>
        </is>
      </c>
      <c r="E834" s="123" t="n">
        <v>195</v>
      </c>
      <c r="F834" s="124" t="n"/>
      <c r="G834" s="124" t="n"/>
      <c r="H834" s="124" t="n"/>
      <c r="I834" s="124" t="n"/>
      <c r="J834" s="124" t="n"/>
      <c r="K834" s="124" t="n"/>
      <c r="L834" s="124" t="n"/>
      <c r="M834" s="124" t="n"/>
      <c r="N834" s="124" t="n"/>
      <c r="O834" s="124" t="n"/>
      <c r="P834" s="124" t="n"/>
      <c r="Q834" s="124" t="n"/>
      <c r="R834" s="124" t="n"/>
      <c r="S834" s="124" t="n"/>
      <c r="T834" s="124" t="n"/>
      <c r="U834" s="124" t="n"/>
      <c r="V834" s="124" t="n"/>
      <c r="W834" s="124" t="n"/>
      <c r="X834" s="124" t="n"/>
      <c r="Y834" s="124" t="n"/>
      <c r="Z834" s="124" t="n"/>
      <c r="AA834" s="124" t="n"/>
      <c r="AB834" s="124" t="n"/>
      <c r="AC834" s="124" t="n"/>
      <c r="AD834" s="124" t="n"/>
      <c r="AE834" s="124" t="n"/>
      <c r="AF834" s="124" t="n"/>
      <c r="AG834" s="124" t="n"/>
      <c r="AH834" s="124" t="n"/>
      <c r="AI834" s="124" t="n"/>
      <c r="AJ834" s="124" t="n"/>
      <c r="AK834" s="124" t="n"/>
      <c r="AL834" s="124" t="n"/>
      <c r="AM834" s="124" t="n"/>
      <c r="AN834" s="124" t="n"/>
      <c r="AO834" s="124" t="n"/>
      <c r="AP834" s="124" t="n"/>
      <c r="AQ834" s="124" t="n"/>
      <c r="AR834" s="124" t="n"/>
      <c r="AS834" s="124" t="n"/>
      <c r="AT834" s="124" t="n"/>
      <c r="AU834" s="124" t="n"/>
      <c r="AV834" s="124" t="n"/>
      <c r="AW834" s="124" t="n"/>
      <c r="AX834" s="124" t="n"/>
      <c r="AY834" s="124" t="n"/>
      <c r="AZ834" s="124" t="n"/>
      <c r="BA834" s="124" t="n"/>
      <c r="BB834" s="124" t="n"/>
      <c r="BC834" s="124" t="n"/>
      <c r="BD834" s="124" t="n"/>
      <c r="BE834" s="124" t="n"/>
      <c r="BF834" s="124" t="n"/>
      <c r="BG834" s="124" t="n"/>
      <c r="BH834" s="124" t="n"/>
      <c r="BI834" s="124" t="n"/>
      <c r="BJ834" s="124" t="n"/>
      <c r="BK834" s="124" t="n"/>
      <c r="BL834" s="124" t="n"/>
      <c r="BM834" s="124" t="n"/>
      <c r="BN834" s="124" t="n"/>
      <c r="BO834" s="124" t="n"/>
      <c r="BP834" s="124" t="n"/>
      <c r="BQ834" s="124" t="n"/>
      <c r="BR834" s="124" t="n"/>
      <c r="BS834" s="124" t="n"/>
      <c r="BT834" s="124" t="n"/>
      <c r="BU834" s="124" t="n"/>
      <c r="BV834" s="124" t="n"/>
      <c r="BW834" s="124" t="n"/>
      <c r="BX834" s="124" t="n"/>
      <c r="BY834" s="124" t="n"/>
      <c r="BZ834" s="124" t="n"/>
      <c r="CA834" s="124" t="n"/>
      <c r="CB834" s="124" t="n"/>
      <c r="CC834" s="124" t="n"/>
      <c r="CD834" s="124" t="n"/>
      <c r="CE834" s="124" t="n"/>
      <c r="CF834" s="124" t="n"/>
      <c r="CG834" s="124" t="n"/>
      <c r="CH834" s="124" t="n"/>
      <c r="CI834" s="124" t="n"/>
      <c r="CJ834" s="124" t="n"/>
      <c r="CK834" s="124" t="n"/>
      <c r="CL834" s="124" t="n"/>
      <c r="CM834" s="124" t="n"/>
      <c r="CN834" s="124" t="n"/>
      <c r="CO834" s="124" t="n"/>
      <c r="CP834" s="124" t="n"/>
      <c r="CQ834" s="124" t="n"/>
      <c r="CR834" s="124" t="n"/>
      <c r="CS834" s="124" t="n"/>
      <c r="CT834" s="124" t="n"/>
      <c r="CU834" s="124" t="n"/>
      <c r="CV834" s="124" t="n"/>
      <c r="CW834" s="124" t="n"/>
      <c r="CX834" s="124" t="n"/>
      <c r="CY834" s="124" t="n"/>
      <c r="CZ834" s="124" t="n"/>
      <c r="DA834" s="124" t="n"/>
      <c r="DB834" s="124" t="n"/>
      <c r="DC834" s="124" t="n"/>
      <c r="DD834" s="124" t="n"/>
      <c r="DE834" s="124" t="n"/>
      <c r="DF834" s="124" t="n"/>
      <c r="DG834" s="124" t="n"/>
      <c r="DH834" s="124" t="n"/>
      <c r="DI834" s="124" t="n"/>
      <c r="DJ834" s="124" t="n"/>
      <c r="DK834" s="124" t="n"/>
      <c r="DL834" s="124" t="n"/>
      <c r="DM834" s="124" t="n"/>
      <c r="DN834" s="124" t="n"/>
      <c r="DO834" s="124" t="n"/>
      <c r="DP834" s="124" t="n"/>
      <c r="DQ834" s="124" t="n"/>
      <c r="DR834" s="124" t="n"/>
      <c r="DS834" s="124" t="n"/>
      <c r="DT834" s="124" t="n"/>
      <c r="DU834" s="124" t="n"/>
      <c r="DV834" s="124" t="n"/>
      <c r="DW834" s="124" t="n"/>
      <c r="DX834" s="124" t="n"/>
      <c r="DY834" s="124" t="n"/>
      <c r="DZ834" s="124" t="n"/>
      <c r="EA834" s="124" t="n"/>
      <c r="EB834" s="124" t="n"/>
      <c r="EC834" s="124" t="n"/>
      <c r="ED834" s="124" t="n"/>
      <c r="EE834" s="124" t="n"/>
      <c r="EF834" s="124" t="n"/>
      <c r="EG834" s="124" t="n"/>
      <c r="EH834" s="124" t="n"/>
      <c r="EI834" s="124" t="n"/>
      <c r="EJ834" s="124" t="n"/>
      <c r="EK834" s="124" t="n"/>
      <c r="EL834" s="124" t="n"/>
      <c r="EM834" s="124" t="n"/>
      <c r="EN834" s="124" t="n"/>
      <c r="EO834" s="124" t="n"/>
      <c r="EP834" s="124" t="n"/>
      <c r="EQ834" s="124" t="n"/>
      <c r="ER834" s="124" t="n"/>
      <c r="ES834" s="124" t="n"/>
      <c r="ET834" s="124" t="n"/>
      <c r="EU834" s="124" t="n"/>
      <c r="EV834" s="124" t="n"/>
      <c r="EW834" s="124" t="n"/>
      <c r="EX834" s="124" t="n"/>
      <c r="EY834" s="124" t="n"/>
      <c r="EZ834" s="124" t="n"/>
      <c r="FA834" s="124" t="n"/>
      <c r="FB834" s="124" t="n"/>
      <c r="FC834" s="124" t="n"/>
      <c r="FD834" s="124" t="n"/>
      <c r="FE834" s="124" t="n"/>
      <c r="FF834" s="124" t="n"/>
      <c r="FG834" s="124" t="n"/>
      <c r="FH834" s="124" t="n"/>
      <c r="FI834" s="124" t="n"/>
      <c r="FJ834" s="124" t="n"/>
      <c r="FK834" s="124" t="n"/>
      <c r="FL834" s="124" t="n"/>
      <c r="FM834" s="124" t="n"/>
      <c r="FN834" s="124" t="n"/>
      <c r="FO834" s="124" t="n"/>
      <c r="FP834" s="124" t="n"/>
      <c r="FQ834" s="124" t="n"/>
      <c r="FR834" s="124" t="n"/>
      <c r="FS834" s="124" t="n"/>
      <c r="FT834" s="124" t="n"/>
      <c r="FU834" s="124" t="n"/>
      <c r="FV834" s="124" t="n"/>
      <c r="FW834" s="124" t="n"/>
      <c r="FX834" s="124" t="n"/>
      <c r="FY834" s="124" t="n"/>
      <c r="FZ834" s="124" t="n"/>
      <c r="GA834" s="124" t="n"/>
      <c r="GB834" s="124" t="n"/>
      <c r="GC834" s="124" t="n"/>
      <c r="GD834" s="124" t="n"/>
      <c r="GE834" s="124" t="n"/>
      <c r="GF834" s="124" t="n"/>
      <c r="GG834" s="124" t="n"/>
      <c r="GH834" s="124" t="n"/>
      <c r="GI834" s="124" t="n"/>
      <c r="GJ834" s="124" t="n"/>
      <c r="GK834" s="124" t="n"/>
      <c r="GL834" s="124" t="n"/>
      <c r="GM834" s="124" t="n"/>
      <c r="GN834" s="124" t="n"/>
      <c r="GO834" s="124" t="n"/>
      <c r="GP834" s="124" t="n"/>
      <c r="GQ834" s="124" t="n"/>
      <c r="GR834" s="124" t="n"/>
      <c r="GS834" s="124" t="n"/>
      <c r="GT834" s="124" t="n"/>
      <c r="GU834" s="124" t="n"/>
      <c r="GV834" s="124" t="n"/>
      <c r="GW834" s="124" t="n"/>
      <c r="GX834" s="124" t="n"/>
      <c r="GY834" s="124" t="n"/>
      <c r="GZ834" s="124" t="n"/>
      <c r="HA834" s="124" t="n"/>
      <c r="HB834" s="124" t="n"/>
      <c r="HC834" s="124" t="n"/>
      <c r="HD834" s="124" t="n"/>
      <c r="HE834" s="124" t="n"/>
      <c r="HF834" s="124" t="n"/>
      <c r="HG834" s="124" t="n"/>
      <c r="HH834" s="124" t="n"/>
      <c r="HI834" s="124" t="n"/>
      <c r="HJ834" s="124" t="n"/>
      <c r="HK834" s="124" t="n"/>
      <c r="HL834" s="124" t="n"/>
    </row>
    <row r="835" customFormat="1" s="3">
      <c r="A835" s="33" t="n"/>
      <c r="B835" s="34" t="n"/>
      <c r="C835" s="108" t="inlineStr">
        <is>
          <t>Водопропускная труба d-500мм,ГОСТ 24547-2016</t>
        </is>
      </c>
      <c r="D835" s="36" t="inlineStr">
        <is>
          <t>м/п</t>
        </is>
      </c>
      <c r="E835" s="123" t="n">
        <v>96</v>
      </c>
      <c r="F835" s="124" t="n"/>
      <c r="G835" s="124" t="n"/>
      <c r="H835" s="124" t="n"/>
      <c r="I835" s="124" t="n"/>
      <c r="J835" s="124" t="n"/>
      <c r="K835" s="124" t="n"/>
      <c r="L835" s="124" t="n"/>
      <c r="M835" s="124" t="n"/>
      <c r="N835" s="124" t="n"/>
      <c r="O835" s="124" t="n"/>
      <c r="P835" s="124" t="n"/>
      <c r="Q835" s="124" t="n"/>
      <c r="R835" s="124" t="n"/>
      <c r="S835" s="124" t="n"/>
      <c r="T835" s="124" t="n"/>
      <c r="U835" s="124" t="n"/>
      <c r="V835" s="124" t="n"/>
      <c r="W835" s="124" t="n"/>
      <c r="X835" s="124" t="n"/>
      <c r="Y835" s="124" t="n"/>
      <c r="Z835" s="124" t="n"/>
      <c r="AA835" s="124" t="n"/>
      <c r="AB835" s="124" t="n"/>
      <c r="AC835" s="124" t="n"/>
      <c r="AD835" s="124" t="n"/>
      <c r="AE835" s="124" t="n"/>
      <c r="AF835" s="124" t="n"/>
      <c r="AG835" s="124" t="n"/>
      <c r="AH835" s="124" t="n"/>
      <c r="AI835" s="124" t="n"/>
      <c r="AJ835" s="124" t="n"/>
      <c r="AK835" s="124" t="n"/>
      <c r="AL835" s="124" t="n"/>
      <c r="AM835" s="124" t="n"/>
      <c r="AN835" s="124" t="n"/>
      <c r="AO835" s="124" t="n"/>
      <c r="AP835" s="124" t="n"/>
      <c r="AQ835" s="124" t="n"/>
      <c r="AR835" s="124" t="n"/>
      <c r="AS835" s="124" t="n"/>
      <c r="AT835" s="124" t="n"/>
      <c r="AU835" s="124" t="n"/>
      <c r="AV835" s="124" t="n"/>
      <c r="AW835" s="124" t="n"/>
      <c r="AX835" s="124" t="n"/>
      <c r="AY835" s="124" t="n"/>
      <c r="AZ835" s="124" t="n"/>
      <c r="BA835" s="124" t="n"/>
      <c r="BB835" s="124" t="n"/>
      <c r="BC835" s="124" t="n"/>
      <c r="BD835" s="124" t="n"/>
      <c r="BE835" s="124" t="n"/>
      <c r="BF835" s="124" t="n"/>
      <c r="BG835" s="124" t="n"/>
      <c r="BH835" s="124" t="n"/>
      <c r="BI835" s="124" t="n"/>
      <c r="BJ835" s="124" t="n"/>
      <c r="BK835" s="124" t="n"/>
      <c r="BL835" s="124" t="n"/>
      <c r="BM835" s="124" t="n"/>
      <c r="BN835" s="124" t="n"/>
      <c r="BO835" s="124" t="n"/>
      <c r="BP835" s="124" t="n"/>
      <c r="BQ835" s="124" t="n"/>
      <c r="BR835" s="124" t="n"/>
      <c r="BS835" s="124" t="n"/>
      <c r="BT835" s="124" t="n"/>
      <c r="BU835" s="124" t="n"/>
      <c r="BV835" s="124" t="n"/>
      <c r="BW835" s="124" t="n"/>
      <c r="BX835" s="124" t="n"/>
      <c r="BY835" s="124" t="n"/>
      <c r="BZ835" s="124" t="n"/>
      <c r="CA835" s="124" t="n"/>
      <c r="CB835" s="124" t="n"/>
      <c r="CC835" s="124" t="n"/>
      <c r="CD835" s="124" t="n"/>
      <c r="CE835" s="124" t="n"/>
      <c r="CF835" s="124" t="n"/>
      <c r="CG835" s="124" t="n"/>
      <c r="CH835" s="124" t="n"/>
      <c r="CI835" s="124" t="n"/>
      <c r="CJ835" s="124" t="n"/>
      <c r="CK835" s="124" t="n"/>
      <c r="CL835" s="124" t="n"/>
      <c r="CM835" s="124" t="n"/>
      <c r="CN835" s="124" t="n"/>
      <c r="CO835" s="124" t="n"/>
      <c r="CP835" s="124" t="n"/>
      <c r="CQ835" s="124" t="n"/>
      <c r="CR835" s="124" t="n"/>
      <c r="CS835" s="124" t="n"/>
      <c r="CT835" s="124" t="n"/>
      <c r="CU835" s="124" t="n"/>
      <c r="CV835" s="124" t="n"/>
      <c r="CW835" s="124" t="n"/>
      <c r="CX835" s="124" t="n"/>
      <c r="CY835" s="124" t="n"/>
      <c r="CZ835" s="124" t="n"/>
      <c r="DA835" s="124" t="n"/>
      <c r="DB835" s="124" t="n"/>
      <c r="DC835" s="124" t="n"/>
      <c r="DD835" s="124" t="n"/>
      <c r="DE835" s="124" t="n"/>
      <c r="DF835" s="124" t="n"/>
      <c r="DG835" s="124" t="n"/>
      <c r="DH835" s="124" t="n"/>
      <c r="DI835" s="124" t="n"/>
      <c r="DJ835" s="124" t="n"/>
      <c r="DK835" s="124" t="n"/>
      <c r="DL835" s="124" t="n"/>
      <c r="DM835" s="124" t="n"/>
      <c r="DN835" s="124" t="n"/>
      <c r="DO835" s="124" t="n"/>
      <c r="DP835" s="124" t="n"/>
      <c r="DQ835" s="124" t="n"/>
      <c r="DR835" s="124" t="n"/>
      <c r="DS835" s="124" t="n"/>
      <c r="DT835" s="124" t="n"/>
      <c r="DU835" s="124" t="n"/>
      <c r="DV835" s="124" t="n"/>
      <c r="DW835" s="124" t="n"/>
      <c r="DX835" s="124" t="n"/>
      <c r="DY835" s="124" t="n"/>
      <c r="DZ835" s="124" t="n"/>
      <c r="EA835" s="124" t="n"/>
      <c r="EB835" s="124" t="n"/>
      <c r="EC835" s="124" t="n"/>
      <c r="ED835" s="124" t="n"/>
      <c r="EE835" s="124" t="n"/>
      <c r="EF835" s="124" t="n"/>
      <c r="EG835" s="124" t="n"/>
      <c r="EH835" s="124" t="n"/>
      <c r="EI835" s="124" t="n"/>
      <c r="EJ835" s="124" t="n"/>
      <c r="EK835" s="124" t="n"/>
      <c r="EL835" s="124" t="n"/>
      <c r="EM835" s="124" t="n"/>
      <c r="EN835" s="124" t="n"/>
      <c r="EO835" s="124" t="n"/>
      <c r="EP835" s="124" t="n"/>
      <c r="EQ835" s="124" t="n"/>
      <c r="ER835" s="124" t="n"/>
      <c r="ES835" s="124" t="n"/>
      <c r="ET835" s="124" t="n"/>
      <c r="EU835" s="124" t="n"/>
      <c r="EV835" s="124" t="n"/>
      <c r="EW835" s="124" t="n"/>
      <c r="EX835" s="124" t="n"/>
      <c r="EY835" s="124" t="n"/>
      <c r="EZ835" s="124" t="n"/>
      <c r="FA835" s="124" t="n"/>
      <c r="FB835" s="124" t="n"/>
      <c r="FC835" s="124" t="n"/>
      <c r="FD835" s="124" t="n"/>
      <c r="FE835" s="124" t="n"/>
      <c r="FF835" s="124" t="n"/>
      <c r="FG835" s="124" t="n"/>
      <c r="FH835" s="124" t="n"/>
      <c r="FI835" s="124" t="n"/>
      <c r="FJ835" s="124" t="n"/>
      <c r="FK835" s="124" t="n"/>
      <c r="FL835" s="124" t="n"/>
      <c r="FM835" s="124" t="n"/>
      <c r="FN835" s="124" t="n"/>
      <c r="FO835" s="124" t="n"/>
      <c r="FP835" s="124" t="n"/>
      <c r="FQ835" s="124" t="n"/>
      <c r="FR835" s="124" t="n"/>
      <c r="FS835" s="124" t="n"/>
      <c r="FT835" s="124" t="n"/>
      <c r="FU835" s="124" t="n"/>
      <c r="FV835" s="124" t="n"/>
      <c r="FW835" s="124" t="n"/>
      <c r="FX835" s="124" t="n"/>
      <c r="FY835" s="124" t="n"/>
      <c r="FZ835" s="124" t="n"/>
      <c r="GA835" s="124" t="n"/>
      <c r="GB835" s="124" t="n"/>
      <c r="GC835" s="124" t="n"/>
      <c r="GD835" s="124" t="n"/>
      <c r="GE835" s="124" t="n"/>
      <c r="GF835" s="124" t="n"/>
      <c r="GG835" s="124" t="n"/>
      <c r="GH835" s="124" t="n"/>
      <c r="GI835" s="124" t="n"/>
      <c r="GJ835" s="124" t="n"/>
      <c r="GK835" s="124" t="n"/>
      <c r="GL835" s="124" t="n"/>
      <c r="GM835" s="124" t="n"/>
      <c r="GN835" s="124" t="n"/>
      <c r="GO835" s="124" t="n"/>
      <c r="GP835" s="124" t="n"/>
      <c r="GQ835" s="124" t="n"/>
      <c r="GR835" s="124" t="n"/>
      <c r="GS835" s="124" t="n"/>
      <c r="GT835" s="124" t="n"/>
      <c r="GU835" s="124" t="n"/>
      <c r="GV835" s="124" t="n"/>
      <c r="GW835" s="124" t="n"/>
      <c r="GX835" s="124" t="n"/>
      <c r="GY835" s="124" t="n"/>
      <c r="GZ835" s="124" t="n"/>
      <c r="HA835" s="124" t="n"/>
      <c r="HB835" s="124" t="n"/>
      <c r="HC835" s="124" t="n"/>
      <c r="HD835" s="124" t="n"/>
      <c r="HE835" s="124" t="n"/>
      <c r="HF835" s="124" t="n"/>
      <c r="HG835" s="124" t="n"/>
      <c r="HH835" s="124" t="n"/>
      <c r="HI835" s="124" t="n"/>
      <c r="HJ835" s="124" t="n"/>
      <c r="HK835" s="124" t="n"/>
      <c r="HL835" s="124" t="n"/>
    </row>
    <row r="836" customFormat="1" s="3">
      <c r="A836" s="33" t="n"/>
      <c r="B836" s="34" t="n"/>
      <c r="C836" s="108" t="inlineStr">
        <is>
          <t>Сборные телескопические лотки Б-6 (серия 3.503.1-66)</t>
        </is>
      </c>
      <c r="D836" s="36" t="inlineStr">
        <is>
          <t>м/п</t>
        </is>
      </c>
      <c r="E836" s="123" t="n">
        <v>15</v>
      </c>
      <c r="F836" s="124" t="n"/>
      <c r="G836" s="124" t="n"/>
      <c r="H836" s="124" t="n"/>
      <c r="I836" s="124" t="n"/>
      <c r="J836" s="124" t="n"/>
      <c r="K836" s="124" t="n"/>
      <c r="L836" s="124" t="n"/>
      <c r="M836" s="124" t="n"/>
      <c r="N836" s="124" t="n"/>
      <c r="O836" s="124" t="n"/>
      <c r="P836" s="124" t="n"/>
      <c r="Q836" s="124" t="n"/>
      <c r="R836" s="124" t="n"/>
      <c r="S836" s="124" t="n"/>
      <c r="T836" s="124" t="n"/>
      <c r="U836" s="124" t="n"/>
      <c r="V836" s="124" t="n"/>
      <c r="W836" s="124" t="n"/>
      <c r="X836" s="124" t="n"/>
      <c r="Y836" s="124" t="n"/>
      <c r="Z836" s="124" t="n"/>
      <c r="AA836" s="124" t="n"/>
      <c r="AB836" s="124" t="n"/>
      <c r="AC836" s="124" t="n"/>
      <c r="AD836" s="124" t="n"/>
      <c r="AE836" s="124" t="n"/>
      <c r="AF836" s="124" t="n"/>
      <c r="AG836" s="124" t="n"/>
      <c r="AH836" s="124" t="n"/>
      <c r="AI836" s="124" t="n"/>
      <c r="AJ836" s="124" t="n"/>
      <c r="AK836" s="124" t="n"/>
      <c r="AL836" s="124" t="n"/>
      <c r="AM836" s="124" t="n"/>
      <c r="AN836" s="124" t="n"/>
      <c r="AO836" s="124" t="n"/>
      <c r="AP836" s="124" t="n"/>
      <c r="AQ836" s="124" t="n"/>
      <c r="AR836" s="124" t="n"/>
      <c r="AS836" s="124" t="n"/>
      <c r="AT836" s="124" t="n"/>
      <c r="AU836" s="124" t="n"/>
      <c r="AV836" s="124" t="n"/>
      <c r="AW836" s="124" t="n"/>
      <c r="AX836" s="124" t="n"/>
      <c r="AY836" s="124" t="n"/>
      <c r="AZ836" s="124" t="n"/>
      <c r="BA836" s="124" t="n"/>
      <c r="BB836" s="124" t="n"/>
      <c r="BC836" s="124" t="n"/>
      <c r="BD836" s="124" t="n"/>
      <c r="BE836" s="124" t="n"/>
      <c r="BF836" s="124" t="n"/>
      <c r="BG836" s="124" t="n"/>
      <c r="BH836" s="124" t="n"/>
      <c r="BI836" s="124" t="n"/>
      <c r="BJ836" s="124" t="n"/>
      <c r="BK836" s="124" t="n"/>
      <c r="BL836" s="124" t="n"/>
      <c r="BM836" s="124" t="n"/>
      <c r="BN836" s="124" t="n"/>
      <c r="BO836" s="124" t="n"/>
      <c r="BP836" s="124" t="n"/>
      <c r="BQ836" s="124" t="n"/>
      <c r="BR836" s="124" t="n"/>
      <c r="BS836" s="124" t="n"/>
      <c r="BT836" s="124" t="n"/>
      <c r="BU836" s="124" t="n"/>
      <c r="BV836" s="124" t="n"/>
      <c r="BW836" s="124" t="n"/>
      <c r="BX836" s="124" t="n"/>
      <c r="BY836" s="124" t="n"/>
      <c r="BZ836" s="124" t="n"/>
      <c r="CA836" s="124" t="n"/>
      <c r="CB836" s="124" t="n"/>
      <c r="CC836" s="124" t="n"/>
      <c r="CD836" s="124" t="n"/>
      <c r="CE836" s="124" t="n"/>
      <c r="CF836" s="124" t="n"/>
      <c r="CG836" s="124" t="n"/>
      <c r="CH836" s="124" t="n"/>
      <c r="CI836" s="124" t="n"/>
      <c r="CJ836" s="124" t="n"/>
      <c r="CK836" s="124" t="n"/>
      <c r="CL836" s="124" t="n"/>
      <c r="CM836" s="124" t="n"/>
      <c r="CN836" s="124" t="n"/>
      <c r="CO836" s="124" t="n"/>
      <c r="CP836" s="124" t="n"/>
      <c r="CQ836" s="124" t="n"/>
      <c r="CR836" s="124" t="n"/>
      <c r="CS836" s="124" t="n"/>
      <c r="CT836" s="124" t="n"/>
      <c r="CU836" s="124" t="n"/>
      <c r="CV836" s="124" t="n"/>
      <c r="CW836" s="124" t="n"/>
      <c r="CX836" s="124" t="n"/>
      <c r="CY836" s="124" t="n"/>
      <c r="CZ836" s="124" t="n"/>
      <c r="DA836" s="124" t="n"/>
      <c r="DB836" s="124" t="n"/>
      <c r="DC836" s="124" t="n"/>
      <c r="DD836" s="124" t="n"/>
      <c r="DE836" s="124" t="n"/>
      <c r="DF836" s="124" t="n"/>
      <c r="DG836" s="124" t="n"/>
      <c r="DH836" s="124" t="n"/>
      <c r="DI836" s="124" t="n"/>
      <c r="DJ836" s="124" t="n"/>
      <c r="DK836" s="124" t="n"/>
      <c r="DL836" s="124" t="n"/>
      <c r="DM836" s="124" t="n"/>
      <c r="DN836" s="124" t="n"/>
      <c r="DO836" s="124" t="n"/>
      <c r="DP836" s="124" t="n"/>
      <c r="DQ836" s="124" t="n"/>
      <c r="DR836" s="124" t="n"/>
      <c r="DS836" s="124" t="n"/>
      <c r="DT836" s="124" t="n"/>
      <c r="DU836" s="124" t="n"/>
      <c r="DV836" s="124" t="n"/>
      <c r="DW836" s="124" t="n"/>
      <c r="DX836" s="124" t="n"/>
      <c r="DY836" s="124" t="n"/>
      <c r="DZ836" s="124" t="n"/>
      <c r="EA836" s="124" t="n"/>
      <c r="EB836" s="124" t="n"/>
      <c r="EC836" s="124" t="n"/>
      <c r="ED836" s="124" t="n"/>
      <c r="EE836" s="124" t="n"/>
      <c r="EF836" s="124" t="n"/>
      <c r="EG836" s="124" t="n"/>
      <c r="EH836" s="124" t="n"/>
      <c r="EI836" s="124" t="n"/>
      <c r="EJ836" s="124" t="n"/>
      <c r="EK836" s="124" t="n"/>
      <c r="EL836" s="124" t="n"/>
      <c r="EM836" s="124" t="n"/>
      <c r="EN836" s="124" t="n"/>
      <c r="EO836" s="124" t="n"/>
      <c r="EP836" s="124" t="n"/>
      <c r="EQ836" s="124" t="n"/>
      <c r="ER836" s="124" t="n"/>
      <c r="ES836" s="124" t="n"/>
      <c r="ET836" s="124" t="n"/>
      <c r="EU836" s="124" t="n"/>
      <c r="EV836" s="124" t="n"/>
      <c r="EW836" s="124" t="n"/>
      <c r="EX836" s="124" t="n"/>
      <c r="EY836" s="124" t="n"/>
      <c r="EZ836" s="124" t="n"/>
      <c r="FA836" s="124" t="n"/>
      <c r="FB836" s="124" t="n"/>
      <c r="FC836" s="124" t="n"/>
      <c r="FD836" s="124" t="n"/>
      <c r="FE836" s="124" t="n"/>
      <c r="FF836" s="124" t="n"/>
      <c r="FG836" s="124" t="n"/>
      <c r="FH836" s="124" t="n"/>
      <c r="FI836" s="124" t="n"/>
      <c r="FJ836" s="124" t="n"/>
      <c r="FK836" s="124" t="n"/>
      <c r="FL836" s="124" t="n"/>
      <c r="FM836" s="124" t="n"/>
      <c r="FN836" s="124" t="n"/>
      <c r="FO836" s="124" t="n"/>
      <c r="FP836" s="124" t="n"/>
      <c r="FQ836" s="124" t="n"/>
      <c r="FR836" s="124" t="n"/>
      <c r="FS836" s="124" t="n"/>
      <c r="FT836" s="124" t="n"/>
      <c r="FU836" s="124" t="n"/>
      <c r="FV836" s="124" t="n"/>
      <c r="FW836" s="124" t="n"/>
      <c r="FX836" s="124" t="n"/>
      <c r="FY836" s="124" t="n"/>
      <c r="FZ836" s="124" t="n"/>
      <c r="GA836" s="124" t="n"/>
      <c r="GB836" s="124" t="n"/>
      <c r="GC836" s="124" t="n"/>
      <c r="GD836" s="124" t="n"/>
      <c r="GE836" s="124" t="n"/>
      <c r="GF836" s="124" t="n"/>
      <c r="GG836" s="124" t="n"/>
      <c r="GH836" s="124" t="n"/>
      <c r="GI836" s="124" t="n"/>
      <c r="GJ836" s="124" t="n"/>
      <c r="GK836" s="124" t="n"/>
      <c r="GL836" s="124" t="n"/>
      <c r="GM836" s="124" t="n"/>
      <c r="GN836" s="124" t="n"/>
      <c r="GO836" s="124" t="n"/>
      <c r="GP836" s="124" t="n"/>
      <c r="GQ836" s="124" t="n"/>
      <c r="GR836" s="124" t="n"/>
      <c r="GS836" s="124" t="n"/>
      <c r="GT836" s="124" t="n"/>
      <c r="GU836" s="124" t="n"/>
      <c r="GV836" s="124" t="n"/>
      <c r="GW836" s="124" t="n"/>
      <c r="GX836" s="124" t="n"/>
      <c r="GY836" s="124" t="n"/>
      <c r="GZ836" s="124" t="n"/>
      <c r="HA836" s="124" t="n"/>
      <c r="HB836" s="124" t="n"/>
      <c r="HC836" s="124" t="n"/>
      <c r="HD836" s="124" t="n"/>
      <c r="HE836" s="124" t="n"/>
      <c r="HF836" s="124" t="n"/>
      <c r="HG836" s="124" t="n"/>
      <c r="HH836" s="124" t="n"/>
      <c r="HI836" s="124" t="n"/>
      <c r="HJ836" s="124" t="n"/>
      <c r="HK836" s="124" t="n"/>
      <c r="HL836" s="124" t="n"/>
    </row>
    <row r="837" customFormat="1" s="3">
      <c r="A837" s="33" t="n"/>
      <c r="B837" s="34" t="n"/>
      <c r="C837" s="38" t="inlineStr">
        <is>
          <t>Смотровой блок,перекрытый металлической решеткой</t>
        </is>
      </c>
      <c r="D837" s="36" t="inlineStr">
        <is>
          <t>шт.</t>
        </is>
      </c>
      <c r="E837" s="123" t="n">
        <v>62</v>
      </c>
      <c r="F837" s="124" t="n"/>
      <c r="G837" s="124" t="n"/>
      <c r="H837" s="124" t="n"/>
      <c r="I837" s="124" t="n"/>
      <c r="J837" s="124" t="n"/>
      <c r="K837" s="124" t="n"/>
      <c r="L837" s="124" t="n"/>
      <c r="M837" s="124" t="n"/>
      <c r="N837" s="124" t="n"/>
      <c r="O837" s="124" t="n"/>
      <c r="P837" s="124" t="n"/>
      <c r="Q837" s="124" t="n"/>
      <c r="R837" s="124" t="n"/>
      <c r="S837" s="124" t="n"/>
      <c r="T837" s="124" t="n"/>
      <c r="U837" s="124" t="n"/>
      <c r="V837" s="124" t="n"/>
      <c r="W837" s="124" t="n"/>
      <c r="X837" s="124" t="n"/>
      <c r="Y837" s="124" t="n"/>
      <c r="Z837" s="124" t="n"/>
      <c r="AA837" s="124" t="n"/>
      <c r="AB837" s="124" t="n"/>
      <c r="AC837" s="124" t="n"/>
      <c r="AD837" s="124" t="n"/>
      <c r="AE837" s="124" t="n"/>
      <c r="AF837" s="124" t="n"/>
      <c r="AG837" s="124" t="n"/>
      <c r="AH837" s="124" t="n"/>
      <c r="AI837" s="124" t="n"/>
      <c r="AJ837" s="124" t="n"/>
      <c r="AK837" s="124" t="n"/>
      <c r="AL837" s="124" t="n"/>
      <c r="AM837" s="124" t="n"/>
      <c r="AN837" s="124" t="n"/>
      <c r="AO837" s="124" t="n"/>
      <c r="AP837" s="124" t="n"/>
      <c r="AQ837" s="124" t="n"/>
      <c r="AR837" s="124" t="n"/>
      <c r="AS837" s="124" t="n"/>
      <c r="AT837" s="124" t="n"/>
      <c r="AU837" s="124" t="n"/>
      <c r="AV837" s="124" t="n"/>
      <c r="AW837" s="124" t="n"/>
      <c r="AX837" s="124" t="n"/>
      <c r="AY837" s="124" t="n"/>
      <c r="AZ837" s="124" t="n"/>
      <c r="BA837" s="124" t="n"/>
      <c r="BB837" s="124" t="n"/>
      <c r="BC837" s="124" t="n"/>
      <c r="BD837" s="124" t="n"/>
      <c r="BE837" s="124" t="n"/>
      <c r="BF837" s="124" t="n"/>
      <c r="BG837" s="124" t="n"/>
      <c r="BH837" s="124" t="n"/>
      <c r="BI837" s="124" t="n"/>
      <c r="BJ837" s="124" t="n"/>
      <c r="BK837" s="124" t="n"/>
      <c r="BL837" s="124" t="n"/>
      <c r="BM837" s="124" t="n"/>
      <c r="BN837" s="124" t="n"/>
      <c r="BO837" s="124" t="n"/>
      <c r="BP837" s="124" t="n"/>
      <c r="BQ837" s="124" t="n"/>
      <c r="BR837" s="124" t="n"/>
      <c r="BS837" s="124" t="n"/>
      <c r="BT837" s="124" t="n"/>
      <c r="BU837" s="124" t="n"/>
      <c r="BV837" s="124" t="n"/>
      <c r="BW837" s="124" t="n"/>
      <c r="BX837" s="124" t="n"/>
      <c r="BY837" s="124" t="n"/>
      <c r="BZ837" s="124" t="n"/>
      <c r="CA837" s="124" t="n"/>
      <c r="CB837" s="124" t="n"/>
      <c r="CC837" s="124" t="n"/>
      <c r="CD837" s="124" t="n"/>
      <c r="CE837" s="124" t="n"/>
      <c r="CF837" s="124" t="n"/>
      <c r="CG837" s="124" t="n"/>
      <c r="CH837" s="124" t="n"/>
      <c r="CI837" s="124" t="n"/>
      <c r="CJ837" s="124" t="n"/>
      <c r="CK837" s="124" t="n"/>
      <c r="CL837" s="124" t="n"/>
      <c r="CM837" s="124" t="n"/>
      <c r="CN837" s="124" t="n"/>
      <c r="CO837" s="124" t="n"/>
      <c r="CP837" s="124" t="n"/>
      <c r="CQ837" s="124" t="n"/>
      <c r="CR837" s="124" t="n"/>
      <c r="CS837" s="124" t="n"/>
      <c r="CT837" s="124" t="n"/>
      <c r="CU837" s="124" t="n"/>
      <c r="CV837" s="124" t="n"/>
      <c r="CW837" s="124" t="n"/>
      <c r="CX837" s="124" t="n"/>
      <c r="CY837" s="124" t="n"/>
      <c r="CZ837" s="124" t="n"/>
      <c r="DA837" s="124" t="n"/>
      <c r="DB837" s="124" t="n"/>
      <c r="DC837" s="124" t="n"/>
      <c r="DD837" s="124" t="n"/>
      <c r="DE837" s="124" t="n"/>
      <c r="DF837" s="124" t="n"/>
      <c r="DG837" s="124" t="n"/>
      <c r="DH837" s="124" t="n"/>
      <c r="DI837" s="124" t="n"/>
      <c r="DJ837" s="124" t="n"/>
      <c r="DK837" s="124" t="n"/>
      <c r="DL837" s="124" t="n"/>
      <c r="DM837" s="124" t="n"/>
      <c r="DN837" s="124" t="n"/>
      <c r="DO837" s="124" t="n"/>
      <c r="DP837" s="124" t="n"/>
      <c r="DQ837" s="124" t="n"/>
      <c r="DR837" s="124" t="n"/>
      <c r="DS837" s="124" t="n"/>
      <c r="DT837" s="124" t="n"/>
      <c r="DU837" s="124" t="n"/>
      <c r="DV837" s="124" t="n"/>
      <c r="DW837" s="124" t="n"/>
      <c r="DX837" s="124" t="n"/>
      <c r="DY837" s="124" t="n"/>
      <c r="DZ837" s="124" t="n"/>
      <c r="EA837" s="124" t="n"/>
      <c r="EB837" s="124" t="n"/>
      <c r="EC837" s="124" t="n"/>
      <c r="ED837" s="124" t="n"/>
      <c r="EE837" s="124" t="n"/>
      <c r="EF837" s="124" t="n"/>
      <c r="EG837" s="124" t="n"/>
      <c r="EH837" s="124" t="n"/>
      <c r="EI837" s="124" t="n"/>
      <c r="EJ837" s="124" t="n"/>
      <c r="EK837" s="124" t="n"/>
      <c r="EL837" s="124" t="n"/>
      <c r="EM837" s="124" t="n"/>
      <c r="EN837" s="124" t="n"/>
      <c r="EO837" s="124" t="n"/>
      <c r="EP837" s="124" t="n"/>
      <c r="EQ837" s="124" t="n"/>
      <c r="ER837" s="124" t="n"/>
      <c r="ES837" s="124" t="n"/>
      <c r="ET837" s="124" t="n"/>
      <c r="EU837" s="124" t="n"/>
      <c r="EV837" s="124" t="n"/>
      <c r="EW837" s="124" t="n"/>
      <c r="EX837" s="124" t="n"/>
      <c r="EY837" s="124" t="n"/>
      <c r="EZ837" s="124" t="n"/>
      <c r="FA837" s="124" t="n"/>
      <c r="FB837" s="124" t="n"/>
      <c r="FC837" s="124" t="n"/>
      <c r="FD837" s="124" t="n"/>
      <c r="FE837" s="124" t="n"/>
      <c r="FF837" s="124" t="n"/>
      <c r="FG837" s="124" t="n"/>
      <c r="FH837" s="124" t="n"/>
      <c r="FI837" s="124" t="n"/>
      <c r="FJ837" s="124" t="n"/>
      <c r="FK837" s="124" t="n"/>
      <c r="FL837" s="124" t="n"/>
      <c r="FM837" s="124" t="n"/>
      <c r="FN837" s="124" t="n"/>
      <c r="FO837" s="124" t="n"/>
      <c r="FP837" s="124" t="n"/>
      <c r="FQ837" s="124" t="n"/>
      <c r="FR837" s="124" t="n"/>
      <c r="FS837" s="124" t="n"/>
      <c r="FT837" s="124" t="n"/>
      <c r="FU837" s="124" t="n"/>
      <c r="FV837" s="124" t="n"/>
      <c r="FW837" s="124" t="n"/>
      <c r="FX837" s="124" t="n"/>
      <c r="FY837" s="124" t="n"/>
      <c r="FZ837" s="124" t="n"/>
      <c r="GA837" s="124" t="n"/>
      <c r="GB837" s="124" t="n"/>
      <c r="GC837" s="124" t="n"/>
      <c r="GD837" s="124" t="n"/>
      <c r="GE837" s="124" t="n"/>
      <c r="GF837" s="124" t="n"/>
      <c r="GG837" s="124" t="n"/>
      <c r="GH837" s="124" t="n"/>
      <c r="GI837" s="124" t="n"/>
      <c r="GJ837" s="124" t="n"/>
      <c r="GK837" s="124" t="n"/>
      <c r="GL837" s="124" t="n"/>
      <c r="GM837" s="124" t="n"/>
      <c r="GN837" s="124" t="n"/>
      <c r="GO837" s="124" t="n"/>
      <c r="GP837" s="124" t="n"/>
      <c r="GQ837" s="124" t="n"/>
      <c r="GR837" s="124" t="n"/>
      <c r="GS837" s="124" t="n"/>
      <c r="GT837" s="124" t="n"/>
      <c r="GU837" s="124" t="n"/>
      <c r="GV837" s="124" t="n"/>
      <c r="GW837" s="124" t="n"/>
      <c r="GX837" s="124" t="n"/>
      <c r="GY837" s="124" t="n"/>
      <c r="GZ837" s="124" t="n"/>
      <c r="HA837" s="124" t="n"/>
      <c r="HB837" s="124" t="n"/>
      <c r="HC837" s="124" t="n"/>
      <c r="HD837" s="124" t="n"/>
      <c r="HE837" s="124" t="n"/>
      <c r="HF837" s="124" t="n"/>
      <c r="HG837" s="124" t="n"/>
      <c r="HH837" s="124" t="n"/>
      <c r="HI837" s="124" t="n"/>
      <c r="HJ837" s="124" t="n"/>
      <c r="HK837" s="124" t="n"/>
      <c r="HL837" s="124" t="n"/>
    </row>
    <row r="838" customFormat="1" s="3">
      <c r="A838" s="33" t="n"/>
      <c r="B838" s="34" t="n"/>
      <c r="C838" s="108" t="inlineStr">
        <is>
          <t>Дождеприёмник чугунный ДБ ( ГОСТ 3634-2019)</t>
        </is>
      </c>
      <c r="D838" s="36" t="inlineStr">
        <is>
          <t>шт.</t>
        </is>
      </c>
      <c r="E838" s="123" t="n">
        <v>62</v>
      </c>
      <c r="F838" s="124" t="n"/>
      <c r="G838" s="124" t="n"/>
      <c r="H838" s="124" t="n"/>
      <c r="I838" s="124" t="n"/>
      <c r="J838" s="124" t="n"/>
      <c r="K838" s="124" t="n"/>
      <c r="L838" s="124" t="n"/>
      <c r="M838" s="124" t="n"/>
      <c r="N838" s="124" t="n"/>
      <c r="O838" s="124" t="n"/>
      <c r="P838" s="124" t="n"/>
      <c r="Q838" s="124" t="n"/>
      <c r="R838" s="124" t="n"/>
      <c r="S838" s="124" t="n"/>
      <c r="T838" s="124" t="n"/>
      <c r="U838" s="124" t="n"/>
      <c r="V838" s="124" t="n"/>
      <c r="W838" s="124" t="n"/>
      <c r="X838" s="124" t="n"/>
      <c r="Y838" s="124" t="n"/>
      <c r="Z838" s="124" t="n"/>
      <c r="AA838" s="124" t="n"/>
      <c r="AB838" s="124" t="n"/>
      <c r="AC838" s="124" t="n"/>
      <c r="AD838" s="124" t="n"/>
      <c r="AE838" s="124" t="n"/>
      <c r="AF838" s="124" t="n"/>
      <c r="AG838" s="124" t="n"/>
      <c r="AH838" s="124" t="n"/>
      <c r="AI838" s="124" t="n"/>
      <c r="AJ838" s="124" t="n"/>
      <c r="AK838" s="124" t="n"/>
      <c r="AL838" s="124" t="n"/>
      <c r="AM838" s="124" t="n"/>
      <c r="AN838" s="124" t="n"/>
      <c r="AO838" s="124" t="n"/>
      <c r="AP838" s="124" t="n"/>
      <c r="AQ838" s="124" t="n"/>
      <c r="AR838" s="124" t="n"/>
      <c r="AS838" s="124" t="n"/>
      <c r="AT838" s="124" t="n"/>
      <c r="AU838" s="124" t="n"/>
      <c r="AV838" s="124" t="n"/>
      <c r="AW838" s="124" t="n"/>
      <c r="AX838" s="124" t="n"/>
      <c r="AY838" s="124" t="n"/>
      <c r="AZ838" s="124" t="n"/>
      <c r="BA838" s="124" t="n"/>
      <c r="BB838" s="124" t="n"/>
      <c r="BC838" s="124" t="n"/>
      <c r="BD838" s="124" t="n"/>
      <c r="BE838" s="124" t="n"/>
      <c r="BF838" s="124" t="n"/>
      <c r="BG838" s="124" t="n"/>
      <c r="BH838" s="124" t="n"/>
      <c r="BI838" s="124" t="n"/>
      <c r="BJ838" s="124" t="n"/>
      <c r="BK838" s="124" t="n"/>
      <c r="BL838" s="124" t="n"/>
      <c r="BM838" s="124" t="n"/>
      <c r="BN838" s="124" t="n"/>
      <c r="BO838" s="124" t="n"/>
      <c r="BP838" s="124" t="n"/>
      <c r="BQ838" s="124" t="n"/>
      <c r="BR838" s="124" t="n"/>
      <c r="BS838" s="124" t="n"/>
      <c r="BT838" s="124" t="n"/>
      <c r="BU838" s="124" t="n"/>
      <c r="BV838" s="124" t="n"/>
      <c r="BW838" s="124" t="n"/>
      <c r="BX838" s="124" t="n"/>
      <c r="BY838" s="124" t="n"/>
      <c r="BZ838" s="124" t="n"/>
      <c r="CA838" s="124" t="n"/>
      <c r="CB838" s="124" t="n"/>
      <c r="CC838" s="124" t="n"/>
      <c r="CD838" s="124" t="n"/>
      <c r="CE838" s="124" t="n"/>
      <c r="CF838" s="124" t="n"/>
      <c r="CG838" s="124" t="n"/>
      <c r="CH838" s="124" t="n"/>
      <c r="CI838" s="124" t="n"/>
      <c r="CJ838" s="124" t="n"/>
      <c r="CK838" s="124" t="n"/>
      <c r="CL838" s="124" t="n"/>
      <c r="CM838" s="124" t="n"/>
      <c r="CN838" s="124" t="n"/>
      <c r="CO838" s="124" t="n"/>
      <c r="CP838" s="124" t="n"/>
      <c r="CQ838" s="124" t="n"/>
      <c r="CR838" s="124" t="n"/>
      <c r="CS838" s="124" t="n"/>
      <c r="CT838" s="124" t="n"/>
      <c r="CU838" s="124" t="n"/>
      <c r="CV838" s="124" t="n"/>
      <c r="CW838" s="124" t="n"/>
      <c r="CX838" s="124" t="n"/>
      <c r="CY838" s="124" t="n"/>
      <c r="CZ838" s="124" t="n"/>
      <c r="DA838" s="124" t="n"/>
      <c r="DB838" s="124" t="n"/>
      <c r="DC838" s="124" t="n"/>
      <c r="DD838" s="124" t="n"/>
      <c r="DE838" s="124" t="n"/>
      <c r="DF838" s="124" t="n"/>
      <c r="DG838" s="124" t="n"/>
      <c r="DH838" s="124" t="n"/>
      <c r="DI838" s="124" t="n"/>
      <c r="DJ838" s="124" t="n"/>
      <c r="DK838" s="124" t="n"/>
      <c r="DL838" s="124" t="n"/>
      <c r="DM838" s="124" t="n"/>
      <c r="DN838" s="124" t="n"/>
      <c r="DO838" s="124" t="n"/>
      <c r="DP838" s="124" t="n"/>
      <c r="DQ838" s="124" t="n"/>
      <c r="DR838" s="124" t="n"/>
      <c r="DS838" s="124" t="n"/>
      <c r="DT838" s="124" t="n"/>
      <c r="DU838" s="124" t="n"/>
      <c r="DV838" s="124" t="n"/>
      <c r="DW838" s="124" t="n"/>
      <c r="DX838" s="124" t="n"/>
      <c r="DY838" s="124" t="n"/>
      <c r="DZ838" s="124" t="n"/>
      <c r="EA838" s="124" t="n"/>
      <c r="EB838" s="124" t="n"/>
      <c r="EC838" s="124" t="n"/>
      <c r="ED838" s="124" t="n"/>
      <c r="EE838" s="124" t="n"/>
      <c r="EF838" s="124" t="n"/>
      <c r="EG838" s="124" t="n"/>
      <c r="EH838" s="124" t="n"/>
      <c r="EI838" s="124" t="n"/>
      <c r="EJ838" s="124" t="n"/>
      <c r="EK838" s="124" t="n"/>
      <c r="EL838" s="124" t="n"/>
      <c r="EM838" s="124" t="n"/>
      <c r="EN838" s="124" t="n"/>
      <c r="EO838" s="124" t="n"/>
      <c r="EP838" s="124" t="n"/>
      <c r="EQ838" s="124" t="n"/>
      <c r="ER838" s="124" t="n"/>
      <c r="ES838" s="124" t="n"/>
      <c r="ET838" s="124" t="n"/>
      <c r="EU838" s="124" t="n"/>
      <c r="EV838" s="124" t="n"/>
      <c r="EW838" s="124" t="n"/>
      <c r="EX838" s="124" t="n"/>
      <c r="EY838" s="124" t="n"/>
      <c r="EZ838" s="124" t="n"/>
      <c r="FA838" s="124" t="n"/>
      <c r="FB838" s="124" t="n"/>
      <c r="FC838" s="124" t="n"/>
      <c r="FD838" s="124" t="n"/>
      <c r="FE838" s="124" t="n"/>
      <c r="FF838" s="124" t="n"/>
      <c r="FG838" s="124" t="n"/>
      <c r="FH838" s="124" t="n"/>
      <c r="FI838" s="124" t="n"/>
      <c r="FJ838" s="124" t="n"/>
      <c r="FK838" s="124" t="n"/>
      <c r="FL838" s="124" t="n"/>
      <c r="FM838" s="124" t="n"/>
      <c r="FN838" s="124" t="n"/>
      <c r="FO838" s="124" t="n"/>
      <c r="FP838" s="124" t="n"/>
      <c r="FQ838" s="124" t="n"/>
      <c r="FR838" s="124" t="n"/>
      <c r="FS838" s="124" t="n"/>
      <c r="FT838" s="124" t="n"/>
      <c r="FU838" s="124" t="n"/>
      <c r="FV838" s="124" t="n"/>
      <c r="FW838" s="124" t="n"/>
      <c r="FX838" s="124" t="n"/>
      <c r="FY838" s="124" t="n"/>
      <c r="FZ838" s="124" t="n"/>
      <c r="GA838" s="124" t="n"/>
      <c r="GB838" s="124" t="n"/>
      <c r="GC838" s="124" t="n"/>
      <c r="GD838" s="124" t="n"/>
      <c r="GE838" s="124" t="n"/>
      <c r="GF838" s="124" t="n"/>
      <c r="GG838" s="124" t="n"/>
      <c r="GH838" s="124" t="n"/>
      <c r="GI838" s="124" t="n"/>
      <c r="GJ838" s="124" t="n"/>
      <c r="GK838" s="124" t="n"/>
      <c r="GL838" s="124" t="n"/>
      <c r="GM838" s="124" t="n"/>
      <c r="GN838" s="124" t="n"/>
      <c r="GO838" s="124" t="n"/>
      <c r="GP838" s="124" t="n"/>
      <c r="GQ838" s="124" t="n"/>
      <c r="GR838" s="124" t="n"/>
      <c r="GS838" s="124" t="n"/>
      <c r="GT838" s="124" t="n"/>
      <c r="GU838" s="124" t="n"/>
      <c r="GV838" s="124" t="n"/>
      <c r="GW838" s="124" t="n"/>
      <c r="GX838" s="124" t="n"/>
      <c r="GY838" s="124" t="n"/>
      <c r="GZ838" s="124" t="n"/>
      <c r="HA838" s="124" t="n"/>
      <c r="HB838" s="124" t="n"/>
      <c r="HC838" s="124" t="n"/>
      <c r="HD838" s="124" t="n"/>
      <c r="HE838" s="124" t="n"/>
      <c r="HF838" s="124" t="n"/>
      <c r="HG838" s="124" t="n"/>
      <c r="HH838" s="124" t="n"/>
      <c r="HI838" s="124" t="n"/>
      <c r="HJ838" s="124" t="n"/>
      <c r="HK838" s="124" t="n"/>
      <c r="HL838" s="124" t="n"/>
    </row>
    <row r="839" ht="27.6" customFormat="1" customHeight="1" s="3">
      <c r="A839" s="33" t="n"/>
      <c r="B839" s="34" t="n"/>
      <c r="C839" s="38" t="inlineStr">
        <is>
          <t>Бордюр из бортового камня БР 100.30.15 на бетонном основании</t>
        </is>
      </c>
      <c r="D839" s="36" t="inlineStr">
        <is>
          <t>м/п</t>
        </is>
      </c>
      <c r="E839" s="123" t="n">
        <v>9</v>
      </c>
      <c r="F839" s="124" t="n"/>
      <c r="G839" s="124" t="n"/>
      <c r="H839" s="124" t="n"/>
      <c r="I839" s="124" t="n"/>
      <c r="J839" s="124" t="n"/>
      <c r="K839" s="124" t="n"/>
      <c r="L839" s="124" t="n"/>
      <c r="M839" s="124" t="n"/>
      <c r="N839" s="124" t="n"/>
      <c r="O839" s="124" t="n"/>
      <c r="P839" s="124" t="n"/>
      <c r="Q839" s="124" t="n"/>
      <c r="R839" s="124" t="n"/>
      <c r="S839" s="124" t="n"/>
      <c r="T839" s="124" t="n"/>
      <c r="U839" s="124" t="n"/>
      <c r="V839" s="124" t="n"/>
      <c r="W839" s="124" t="n"/>
      <c r="X839" s="124" t="n"/>
      <c r="Y839" s="124" t="n"/>
      <c r="Z839" s="124" t="n"/>
      <c r="AA839" s="124" t="n"/>
      <c r="AB839" s="124" t="n"/>
      <c r="AC839" s="124" t="n"/>
      <c r="AD839" s="124" t="n"/>
      <c r="AE839" s="124" t="n"/>
      <c r="AF839" s="124" t="n"/>
      <c r="AG839" s="124" t="n"/>
      <c r="AH839" s="124" t="n"/>
      <c r="AI839" s="124" t="n"/>
      <c r="AJ839" s="124" t="n"/>
      <c r="AK839" s="124" t="n"/>
      <c r="AL839" s="124" t="n"/>
      <c r="AM839" s="124" t="n"/>
      <c r="AN839" s="124" t="n"/>
      <c r="AO839" s="124" t="n"/>
      <c r="AP839" s="124" t="n"/>
      <c r="AQ839" s="124" t="n"/>
      <c r="AR839" s="124" t="n"/>
      <c r="AS839" s="124" t="n"/>
      <c r="AT839" s="124" t="n"/>
      <c r="AU839" s="124" t="n"/>
      <c r="AV839" s="124" t="n"/>
      <c r="AW839" s="124" t="n"/>
      <c r="AX839" s="124" t="n"/>
      <c r="AY839" s="124" t="n"/>
      <c r="AZ839" s="124" t="n"/>
      <c r="BA839" s="124" t="n"/>
      <c r="BB839" s="124" t="n"/>
      <c r="BC839" s="124" t="n"/>
      <c r="BD839" s="124" t="n"/>
      <c r="BE839" s="124" t="n"/>
      <c r="BF839" s="124" t="n"/>
      <c r="BG839" s="124" t="n"/>
      <c r="BH839" s="124" t="n"/>
      <c r="BI839" s="124" t="n"/>
      <c r="BJ839" s="124" t="n"/>
      <c r="BK839" s="124" t="n"/>
      <c r="BL839" s="124" t="n"/>
      <c r="BM839" s="124" t="n"/>
      <c r="BN839" s="124" t="n"/>
      <c r="BO839" s="124" t="n"/>
      <c r="BP839" s="124" t="n"/>
      <c r="BQ839" s="124" t="n"/>
      <c r="BR839" s="124" t="n"/>
      <c r="BS839" s="124" t="n"/>
      <c r="BT839" s="124" t="n"/>
      <c r="BU839" s="124" t="n"/>
      <c r="BV839" s="124" t="n"/>
      <c r="BW839" s="124" t="n"/>
      <c r="BX839" s="124" t="n"/>
      <c r="BY839" s="124" t="n"/>
      <c r="BZ839" s="124" t="n"/>
      <c r="CA839" s="124" t="n"/>
      <c r="CB839" s="124" t="n"/>
      <c r="CC839" s="124" t="n"/>
      <c r="CD839" s="124" t="n"/>
      <c r="CE839" s="124" t="n"/>
      <c r="CF839" s="124" t="n"/>
      <c r="CG839" s="124" t="n"/>
      <c r="CH839" s="124" t="n"/>
      <c r="CI839" s="124" t="n"/>
      <c r="CJ839" s="124" t="n"/>
      <c r="CK839" s="124" t="n"/>
      <c r="CL839" s="124" t="n"/>
      <c r="CM839" s="124" t="n"/>
      <c r="CN839" s="124" t="n"/>
      <c r="CO839" s="124" t="n"/>
      <c r="CP839" s="124" t="n"/>
      <c r="CQ839" s="124" t="n"/>
      <c r="CR839" s="124" t="n"/>
      <c r="CS839" s="124" t="n"/>
      <c r="CT839" s="124" t="n"/>
      <c r="CU839" s="124" t="n"/>
      <c r="CV839" s="124" t="n"/>
      <c r="CW839" s="124" t="n"/>
      <c r="CX839" s="124" t="n"/>
      <c r="CY839" s="124" t="n"/>
      <c r="CZ839" s="124" t="n"/>
      <c r="DA839" s="124" t="n"/>
      <c r="DB839" s="124" t="n"/>
      <c r="DC839" s="124" t="n"/>
      <c r="DD839" s="124" t="n"/>
      <c r="DE839" s="124" t="n"/>
      <c r="DF839" s="124" t="n"/>
      <c r="DG839" s="124" t="n"/>
      <c r="DH839" s="124" t="n"/>
      <c r="DI839" s="124" t="n"/>
      <c r="DJ839" s="124" t="n"/>
      <c r="DK839" s="124" t="n"/>
      <c r="DL839" s="124" t="n"/>
      <c r="DM839" s="124" t="n"/>
      <c r="DN839" s="124" t="n"/>
      <c r="DO839" s="124" t="n"/>
      <c r="DP839" s="124" t="n"/>
      <c r="DQ839" s="124" t="n"/>
      <c r="DR839" s="124" t="n"/>
      <c r="DS839" s="124" t="n"/>
      <c r="DT839" s="124" t="n"/>
      <c r="DU839" s="124" t="n"/>
      <c r="DV839" s="124" t="n"/>
      <c r="DW839" s="124" t="n"/>
      <c r="DX839" s="124" t="n"/>
      <c r="DY839" s="124" t="n"/>
      <c r="DZ839" s="124" t="n"/>
      <c r="EA839" s="124" t="n"/>
      <c r="EB839" s="124" t="n"/>
      <c r="EC839" s="124" t="n"/>
      <c r="ED839" s="124" t="n"/>
      <c r="EE839" s="124" t="n"/>
      <c r="EF839" s="124" t="n"/>
      <c r="EG839" s="124" t="n"/>
      <c r="EH839" s="124" t="n"/>
      <c r="EI839" s="124" t="n"/>
      <c r="EJ839" s="124" t="n"/>
      <c r="EK839" s="124" t="n"/>
      <c r="EL839" s="124" t="n"/>
      <c r="EM839" s="124" t="n"/>
      <c r="EN839" s="124" t="n"/>
      <c r="EO839" s="124" t="n"/>
      <c r="EP839" s="124" t="n"/>
      <c r="EQ839" s="124" t="n"/>
      <c r="ER839" s="124" t="n"/>
      <c r="ES839" s="124" t="n"/>
      <c r="ET839" s="124" t="n"/>
      <c r="EU839" s="124" t="n"/>
      <c r="EV839" s="124" t="n"/>
      <c r="EW839" s="124" t="n"/>
      <c r="EX839" s="124" t="n"/>
      <c r="EY839" s="124" t="n"/>
      <c r="EZ839" s="124" t="n"/>
      <c r="FA839" s="124" t="n"/>
      <c r="FB839" s="124" t="n"/>
      <c r="FC839" s="124" t="n"/>
      <c r="FD839" s="124" t="n"/>
      <c r="FE839" s="124" t="n"/>
      <c r="FF839" s="124" t="n"/>
      <c r="FG839" s="124" t="n"/>
      <c r="FH839" s="124" t="n"/>
      <c r="FI839" s="124" t="n"/>
      <c r="FJ839" s="124" t="n"/>
      <c r="FK839" s="124" t="n"/>
      <c r="FL839" s="124" t="n"/>
      <c r="FM839" s="124" t="n"/>
      <c r="FN839" s="124" t="n"/>
      <c r="FO839" s="124" t="n"/>
      <c r="FP839" s="124" t="n"/>
      <c r="FQ839" s="124" t="n"/>
      <c r="FR839" s="124" t="n"/>
      <c r="FS839" s="124" t="n"/>
      <c r="FT839" s="124" t="n"/>
      <c r="FU839" s="124" t="n"/>
      <c r="FV839" s="124" t="n"/>
      <c r="FW839" s="124" t="n"/>
      <c r="FX839" s="124" t="n"/>
      <c r="FY839" s="124" t="n"/>
      <c r="FZ839" s="124" t="n"/>
      <c r="GA839" s="124" t="n"/>
      <c r="GB839" s="124" t="n"/>
      <c r="GC839" s="124" t="n"/>
      <c r="GD839" s="124" t="n"/>
      <c r="GE839" s="124" t="n"/>
      <c r="GF839" s="124" t="n"/>
      <c r="GG839" s="124" t="n"/>
      <c r="GH839" s="124" t="n"/>
      <c r="GI839" s="124" t="n"/>
      <c r="GJ839" s="124" t="n"/>
      <c r="GK839" s="124" t="n"/>
      <c r="GL839" s="124" t="n"/>
      <c r="GM839" s="124" t="n"/>
      <c r="GN839" s="124" t="n"/>
      <c r="GO839" s="124" t="n"/>
      <c r="GP839" s="124" t="n"/>
      <c r="GQ839" s="124" t="n"/>
      <c r="GR839" s="124" t="n"/>
      <c r="GS839" s="124" t="n"/>
      <c r="GT839" s="124" t="n"/>
      <c r="GU839" s="124" t="n"/>
      <c r="GV839" s="124" t="n"/>
      <c r="GW839" s="124" t="n"/>
      <c r="GX839" s="124" t="n"/>
      <c r="GY839" s="124" t="n"/>
      <c r="GZ839" s="124" t="n"/>
      <c r="HA839" s="124" t="n"/>
      <c r="HB839" s="124" t="n"/>
      <c r="HC839" s="124" t="n"/>
      <c r="HD839" s="124" t="n"/>
      <c r="HE839" s="124" t="n"/>
      <c r="HF839" s="124" t="n"/>
      <c r="HG839" s="124" t="n"/>
      <c r="HH839" s="124" t="n"/>
      <c r="HI839" s="124" t="n"/>
      <c r="HJ839" s="124" t="n"/>
      <c r="HK839" s="124" t="n"/>
      <c r="HL839" s="124" t="n"/>
    </row>
    <row r="840" customFormat="1" s="3">
      <c r="A840" s="33" t="n"/>
      <c r="B840" s="34" t="n"/>
      <c r="C840" s="38" t="inlineStr">
        <is>
          <t>Ель 7-12 лет</t>
        </is>
      </c>
      <c r="D840" s="36" t="inlineStr">
        <is>
          <t>шт.</t>
        </is>
      </c>
      <c r="E840" s="123" t="n">
        <v>5</v>
      </c>
      <c r="F840" s="124" t="n"/>
      <c r="G840" s="124" t="n"/>
      <c r="H840" s="124" t="n"/>
      <c r="I840" s="124" t="n"/>
      <c r="J840" s="124" t="n"/>
      <c r="K840" s="124" t="n"/>
      <c r="L840" s="124" t="n"/>
      <c r="M840" s="124" t="n"/>
      <c r="N840" s="124" t="n"/>
      <c r="O840" s="124" t="n"/>
      <c r="P840" s="124" t="n"/>
      <c r="Q840" s="124" t="n"/>
      <c r="R840" s="124" t="n"/>
      <c r="S840" s="124" t="n"/>
      <c r="T840" s="124" t="n"/>
      <c r="U840" s="124" t="n"/>
      <c r="V840" s="124" t="n"/>
      <c r="W840" s="124" t="n"/>
      <c r="X840" s="124" t="n"/>
      <c r="Y840" s="124" t="n"/>
      <c r="Z840" s="124" t="n"/>
      <c r="AA840" s="124" t="n"/>
      <c r="AB840" s="124" t="n"/>
      <c r="AC840" s="124" t="n"/>
      <c r="AD840" s="124" t="n"/>
      <c r="AE840" s="124" t="n"/>
      <c r="AF840" s="124" t="n"/>
      <c r="AG840" s="124" t="n"/>
      <c r="AH840" s="124" t="n"/>
      <c r="AI840" s="124" t="n"/>
      <c r="AJ840" s="124" t="n"/>
      <c r="AK840" s="124" t="n"/>
      <c r="AL840" s="124" t="n"/>
      <c r="AM840" s="124" t="n"/>
      <c r="AN840" s="124" t="n"/>
      <c r="AO840" s="124" t="n"/>
      <c r="AP840" s="124" t="n"/>
      <c r="AQ840" s="124" t="n"/>
      <c r="AR840" s="124" t="n"/>
      <c r="AS840" s="124" t="n"/>
      <c r="AT840" s="124" t="n"/>
      <c r="AU840" s="124" t="n"/>
      <c r="AV840" s="124" t="n"/>
      <c r="AW840" s="124" t="n"/>
      <c r="AX840" s="124" t="n"/>
      <c r="AY840" s="124" t="n"/>
      <c r="AZ840" s="124" t="n"/>
      <c r="BA840" s="124" t="n"/>
      <c r="BB840" s="124" t="n"/>
      <c r="BC840" s="124" t="n"/>
      <c r="BD840" s="124" t="n"/>
      <c r="BE840" s="124" t="n"/>
      <c r="BF840" s="124" t="n"/>
      <c r="BG840" s="124" t="n"/>
      <c r="BH840" s="124" t="n"/>
      <c r="BI840" s="124" t="n"/>
      <c r="BJ840" s="124" t="n"/>
      <c r="BK840" s="124" t="n"/>
      <c r="BL840" s="124" t="n"/>
      <c r="BM840" s="124" t="n"/>
      <c r="BN840" s="124" t="n"/>
      <c r="BO840" s="124" t="n"/>
      <c r="BP840" s="124" t="n"/>
      <c r="BQ840" s="124" t="n"/>
      <c r="BR840" s="124" t="n"/>
      <c r="BS840" s="124" t="n"/>
      <c r="BT840" s="124" t="n"/>
      <c r="BU840" s="124" t="n"/>
      <c r="BV840" s="124" t="n"/>
      <c r="BW840" s="124" t="n"/>
      <c r="BX840" s="124" t="n"/>
      <c r="BY840" s="124" t="n"/>
      <c r="BZ840" s="124" t="n"/>
      <c r="CA840" s="124" t="n"/>
      <c r="CB840" s="124" t="n"/>
      <c r="CC840" s="124" t="n"/>
      <c r="CD840" s="124" t="n"/>
      <c r="CE840" s="124" t="n"/>
      <c r="CF840" s="124" t="n"/>
      <c r="CG840" s="124" t="n"/>
      <c r="CH840" s="124" t="n"/>
      <c r="CI840" s="124" t="n"/>
      <c r="CJ840" s="124" t="n"/>
      <c r="CK840" s="124" t="n"/>
      <c r="CL840" s="124" t="n"/>
      <c r="CM840" s="124" t="n"/>
      <c r="CN840" s="124" t="n"/>
      <c r="CO840" s="124" t="n"/>
      <c r="CP840" s="124" t="n"/>
      <c r="CQ840" s="124" t="n"/>
      <c r="CR840" s="124" t="n"/>
      <c r="CS840" s="124" t="n"/>
      <c r="CT840" s="124" t="n"/>
      <c r="CU840" s="124" t="n"/>
      <c r="CV840" s="124" t="n"/>
      <c r="CW840" s="124" t="n"/>
      <c r="CX840" s="124" t="n"/>
      <c r="CY840" s="124" t="n"/>
      <c r="CZ840" s="124" t="n"/>
      <c r="DA840" s="124" t="n"/>
      <c r="DB840" s="124" t="n"/>
      <c r="DC840" s="124" t="n"/>
      <c r="DD840" s="124" t="n"/>
      <c r="DE840" s="124" t="n"/>
      <c r="DF840" s="124" t="n"/>
      <c r="DG840" s="124" t="n"/>
      <c r="DH840" s="124" t="n"/>
      <c r="DI840" s="124" t="n"/>
      <c r="DJ840" s="124" t="n"/>
      <c r="DK840" s="124" t="n"/>
      <c r="DL840" s="124" t="n"/>
      <c r="DM840" s="124" t="n"/>
      <c r="DN840" s="124" t="n"/>
      <c r="DO840" s="124" t="n"/>
      <c r="DP840" s="124" t="n"/>
      <c r="DQ840" s="124" t="n"/>
      <c r="DR840" s="124" t="n"/>
      <c r="DS840" s="124" t="n"/>
      <c r="DT840" s="124" t="n"/>
      <c r="DU840" s="124" t="n"/>
      <c r="DV840" s="124" t="n"/>
      <c r="DW840" s="124" t="n"/>
      <c r="DX840" s="124" t="n"/>
      <c r="DY840" s="124" t="n"/>
      <c r="DZ840" s="124" t="n"/>
      <c r="EA840" s="124" t="n"/>
      <c r="EB840" s="124" t="n"/>
      <c r="EC840" s="124" t="n"/>
      <c r="ED840" s="124" t="n"/>
      <c r="EE840" s="124" t="n"/>
      <c r="EF840" s="124" t="n"/>
      <c r="EG840" s="124" t="n"/>
      <c r="EH840" s="124" t="n"/>
      <c r="EI840" s="124" t="n"/>
      <c r="EJ840" s="124" t="n"/>
      <c r="EK840" s="124" t="n"/>
      <c r="EL840" s="124" t="n"/>
      <c r="EM840" s="124" t="n"/>
      <c r="EN840" s="124" t="n"/>
      <c r="EO840" s="124" t="n"/>
      <c r="EP840" s="124" t="n"/>
      <c r="EQ840" s="124" t="n"/>
      <c r="ER840" s="124" t="n"/>
      <c r="ES840" s="124" t="n"/>
      <c r="ET840" s="124" t="n"/>
      <c r="EU840" s="124" t="n"/>
      <c r="EV840" s="124" t="n"/>
      <c r="EW840" s="124" t="n"/>
      <c r="EX840" s="124" t="n"/>
      <c r="EY840" s="124" t="n"/>
      <c r="EZ840" s="124" t="n"/>
      <c r="FA840" s="124" t="n"/>
      <c r="FB840" s="124" t="n"/>
      <c r="FC840" s="124" t="n"/>
      <c r="FD840" s="124" t="n"/>
      <c r="FE840" s="124" t="n"/>
      <c r="FF840" s="124" t="n"/>
      <c r="FG840" s="124" t="n"/>
      <c r="FH840" s="124" t="n"/>
      <c r="FI840" s="124" t="n"/>
      <c r="FJ840" s="124" t="n"/>
      <c r="FK840" s="124" t="n"/>
      <c r="FL840" s="124" t="n"/>
      <c r="FM840" s="124" t="n"/>
      <c r="FN840" s="124" t="n"/>
      <c r="FO840" s="124" t="n"/>
      <c r="FP840" s="124" t="n"/>
      <c r="FQ840" s="124" t="n"/>
      <c r="FR840" s="124" t="n"/>
      <c r="FS840" s="124" t="n"/>
      <c r="FT840" s="124" t="n"/>
      <c r="FU840" s="124" t="n"/>
      <c r="FV840" s="124" t="n"/>
      <c r="FW840" s="124" t="n"/>
      <c r="FX840" s="124" t="n"/>
      <c r="FY840" s="124" t="n"/>
      <c r="FZ840" s="124" t="n"/>
      <c r="GA840" s="124" t="n"/>
      <c r="GB840" s="124" t="n"/>
      <c r="GC840" s="124" t="n"/>
      <c r="GD840" s="124" t="n"/>
      <c r="GE840" s="124" t="n"/>
      <c r="GF840" s="124" t="n"/>
      <c r="GG840" s="124" t="n"/>
      <c r="GH840" s="124" t="n"/>
      <c r="GI840" s="124" t="n"/>
      <c r="GJ840" s="124" t="n"/>
      <c r="GK840" s="124" t="n"/>
      <c r="GL840" s="124" t="n"/>
      <c r="GM840" s="124" t="n"/>
      <c r="GN840" s="124" t="n"/>
      <c r="GO840" s="124" t="n"/>
      <c r="GP840" s="124" t="n"/>
      <c r="GQ840" s="124" t="n"/>
      <c r="GR840" s="124" t="n"/>
      <c r="GS840" s="124" t="n"/>
      <c r="GT840" s="124" t="n"/>
      <c r="GU840" s="124" t="n"/>
      <c r="GV840" s="124" t="n"/>
      <c r="GW840" s="124" t="n"/>
      <c r="GX840" s="124" t="n"/>
      <c r="GY840" s="124" t="n"/>
      <c r="GZ840" s="124" t="n"/>
      <c r="HA840" s="124" t="n"/>
      <c r="HB840" s="124" t="n"/>
      <c r="HC840" s="124" t="n"/>
      <c r="HD840" s="124" t="n"/>
      <c r="HE840" s="124" t="n"/>
      <c r="HF840" s="124" t="n"/>
      <c r="HG840" s="124" t="n"/>
      <c r="HH840" s="124" t="n"/>
      <c r="HI840" s="124" t="n"/>
      <c r="HJ840" s="124" t="n"/>
      <c r="HK840" s="124" t="n"/>
      <c r="HL840" s="124" t="n"/>
    </row>
    <row r="841" customFormat="1" s="3">
      <c r="A841" s="33" t="n"/>
      <c r="B841" s="34" t="n"/>
      <c r="C841" s="38" t="inlineStr">
        <is>
          <t>Можжевельник 7-12 лет</t>
        </is>
      </c>
      <c r="D841" s="36" t="inlineStr">
        <is>
          <t>шт.</t>
        </is>
      </c>
      <c r="E841" s="123" t="n">
        <v>9</v>
      </c>
      <c r="F841" s="124" t="n"/>
      <c r="G841" s="124" t="n"/>
      <c r="H841" s="124" t="n"/>
      <c r="I841" s="124" t="n"/>
      <c r="J841" s="124" t="n"/>
      <c r="K841" s="124" t="n"/>
      <c r="L841" s="124" t="n"/>
      <c r="M841" s="124" t="n"/>
      <c r="N841" s="124" t="n"/>
      <c r="O841" s="124" t="n"/>
      <c r="P841" s="124" t="n"/>
      <c r="Q841" s="124" t="n"/>
      <c r="R841" s="124" t="n"/>
      <c r="S841" s="124" t="n"/>
      <c r="T841" s="124" t="n"/>
      <c r="U841" s="124" t="n"/>
      <c r="V841" s="124" t="n"/>
      <c r="W841" s="124" t="n"/>
      <c r="X841" s="124" t="n"/>
      <c r="Y841" s="124" t="n"/>
      <c r="Z841" s="124" t="n"/>
      <c r="AA841" s="124" t="n"/>
      <c r="AB841" s="124" t="n"/>
      <c r="AC841" s="124" t="n"/>
      <c r="AD841" s="124" t="n"/>
      <c r="AE841" s="124" t="n"/>
      <c r="AF841" s="124" t="n"/>
      <c r="AG841" s="124" t="n"/>
      <c r="AH841" s="124" t="n"/>
      <c r="AI841" s="124" t="n"/>
      <c r="AJ841" s="124" t="n"/>
      <c r="AK841" s="124" t="n"/>
      <c r="AL841" s="124" t="n"/>
      <c r="AM841" s="124" t="n"/>
      <c r="AN841" s="124" t="n"/>
      <c r="AO841" s="124" t="n"/>
      <c r="AP841" s="124" t="n"/>
      <c r="AQ841" s="124" t="n"/>
      <c r="AR841" s="124" t="n"/>
      <c r="AS841" s="124" t="n"/>
      <c r="AT841" s="124" t="n"/>
      <c r="AU841" s="124" t="n"/>
      <c r="AV841" s="124" t="n"/>
      <c r="AW841" s="124" t="n"/>
      <c r="AX841" s="124" t="n"/>
      <c r="AY841" s="124" t="n"/>
      <c r="AZ841" s="124" t="n"/>
      <c r="BA841" s="124" t="n"/>
      <c r="BB841" s="124" t="n"/>
      <c r="BC841" s="124" t="n"/>
      <c r="BD841" s="124" t="n"/>
      <c r="BE841" s="124" t="n"/>
      <c r="BF841" s="124" t="n"/>
      <c r="BG841" s="124" t="n"/>
      <c r="BH841" s="124" t="n"/>
      <c r="BI841" s="124" t="n"/>
      <c r="BJ841" s="124" t="n"/>
      <c r="BK841" s="124" t="n"/>
      <c r="BL841" s="124" t="n"/>
      <c r="BM841" s="124" t="n"/>
      <c r="BN841" s="124" t="n"/>
      <c r="BO841" s="124" t="n"/>
      <c r="BP841" s="124" t="n"/>
      <c r="BQ841" s="124" t="n"/>
      <c r="BR841" s="124" t="n"/>
      <c r="BS841" s="124" t="n"/>
      <c r="BT841" s="124" t="n"/>
      <c r="BU841" s="124" t="n"/>
      <c r="BV841" s="124" t="n"/>
      <c r="BW841" s="124" t="n"/>
      <c r="BX841" s="124" t="n"/>
      <c r="BY841" s="124" t="n"/>
      <c r="BZ841" s="124" t="n"/>
      <c r="CA841" s="124" t="n"/>
      <c r="CB841" s="124" t="n"/>
      <c r="CC841" s="124" t="n"/>
      <c r="CD841" s="124" t="n"/>
      <c r="CE841" s="124" t="n"/>
      <c r="CF841" s="124" t="n"/>
      <c r="CG841" s="124" t="n"/>
      <c r="CH841" s="124" t="n"/>
      <c r="CI841" s="124" t="n"/>
      <c r="CJ841" s="124" t="n"/>
      <c r="CK841" s="124" t="n"/>
      <c r="CL841" s="124" t="n"/>
      <c r="CM841" s="124" t="n"/>
      <c r="CN841" s="124" t="n"/>
      <c r="CO841" s="124" t="n"/>
      <c r="CP841" s="124" t="n"/>
      <c r="CQ841" s="124" t="n"/>
      <c r="CR841" s="124" t="n"/>
      <c r="CS841" s="124" t="n"/>
      <c r="CT841" s="124" t="n"/>
      <c r="CU841" s="124" t="n"/>
      <c r="CV841" s="124" t="n"/>
      <c r="CW841" s="124" t="n"/>
      <c r="CX841" s="124" t="n"/>
      <c r="CY841" s="124" t="n"/>
      <c r="CZ841" s="124" t="n"/>
      <c r="DA841" s="124" t="n"/>
      <c r="DB841" s="124" t="n"/>
      <c r="DC841" s="124" t="n"/>
      <c r="DD841" s="124" t="n"/>
      <c r="DE841" s="124" t="n"/>
      <c r="DF841" s="124" t="n"/>
      <c r="DG841" s="124" t="n"/>
      <c r="DH841" s="124" t="n"/>
      <c r="DI841" s="124" t="n"/>
      <c r="DJ841" s="124" t="n"/>
      <c r="DK841" s="124" t="n"/>
      <c r="DL841" s="124" t="n"/>
      <c r="DM841" s="124" t="n"/>
      <c r="DN841" s="124" t="n"/>
      <c r="DO841" s="124" t="n"/>
      <c r="DP841" s="124" t="n"/>
      <c r="DQ841" s="124" t="n"/>
      <c r="DR841" s="124" t="n"/>
      <c r="DS841" s="124" t="n"/>
      <c r="DT841" s="124" t="n"/>
      <c r="DU841" s="124" t="n"/>
      <c r="DV841" s="124" t="n"/>
      <c r="DW841" s="124" t="n"/>
      <c r="DX841" s="124" t="n"/>
      <c r="DY841" s="124" t="n"/>
      <c r="DZ841" s="124" t="n"/>
      <c r="EA841" s="124" t="n"/>
      <c r="EB841" s="124" t="n"/>
      <c r="EC841" s="124" t="n"/>
      <c r="ED841" s="124" t="n"/>
      <c r="EE841" s="124" t="n"/>
      <c r="EF841" s="124" t="n"/>
      <c r="EG841" s="124" t="n"/>
      <c r="EH841" s="124" t="n"/>
      <c r="EI841" s="124" t="n"/>
      <c r="EJ841" s="124" t="n"/>
      <c r="EK841" s="124" t="n"/>
      <c r="EL841" s="124" t="n"/>
      <c r="EM841" s="124" t="n"/>
      <c r="EN841" s="124" t="n"/>
      <c r="EO841" s="124" t="n"/>
      <c r="EP841" s="124" t="n"/>
      <c r="EQ841" s="124" t="n"/>
      <c r="ER841" s="124" t="n"/>
      <c r="ES841" s="124" t="n"/>
      <c r="ET841" s="124" t="n"/>
      <c r="EU841" s="124" t="n"/>
      <c r="EV841" s="124" t="n"/>
      <c r="EW841" s="124" t="n"/>
      <c r="EX841" s="124" t="n"/>
      <c r="EY841" s="124" t="n"/>
      <c r="EZ841" s="124" t="n"/>
      <c r="FA841" s="124" t="n"/>
      <c r="FB841" s="124" t="n"/>
      <c r="FC841" s="124" t="n"/>
      <c r="FD841" s="124" t="n"/>
      <c r="FE841" s="124" t="n"/>
      <c r="FF841" s="124" t="n"/>
      <c r="FG841" s="124" t="n"/>
      <c r="FH841" s="124" t="n"/>
      <c r="FI841" s="124" t="n"/>
      <c r="FJ841" s="124" t="n"/>
      <c r="FK841" s="124" t="n"/>
      <c r="FL841" s="124" t="n"/>
      <c r="FM841" s="124" t="n"/>
      <c r="FN841" s="124" t="n"/>
      <c r="FO841" s="124" t="n"/>
      <c r="FP841" s="124" t="n"/>
      <c r="FQ841" s="124" t="n"/>
      <c r="FR841" s="124" t="n"/>
      <c r="FS841" s="124" t="n"/>
      <c r="FT841" s="124" t="n"/>
      <c r="FU841" s="124" t="n"/>
      <c r="FV841" s="124" t="n"/>
      <c r="FW841" s="124" t="n"/>
      <c r="FX841" s="124" t="n"/>
      <c r="FY841" s="124" t="n"/>
      <c r="FZ841" s="124" t="n"/>
      <c r="GA841" s="124" t="n"/>
      <c r="GB841" s="124" t="n"/>
      <c r="GC841" s="124" t="n"/>
      <c r="GD841" s="124" t="n"/>
      <c r="GE841" s="124" t="n"/>
      <c r="GF841" s="124" t="n"/>
      <c r="GG841" s="124" t="n"/>
      <c r="GH841" s="124" t="n"/>
      <c r="GI841" s="124" t="n"/>
      <c r="GJ841" s="124" t="n"/>
      <c r="GK841" s="124" t="n"/>
      <c r="GL841" s="124" t="n"/>
      <c r="GM841" s="124" t="n"/>
      <c r="GN841" s="124" t="n"/>
      <c r="GO841" s="124" t="n"/>
      <c r="GP841" s="124" t="n"/>
      <c r="GQ841" s="124" t="n"/>
      <c r="GR841" s="124" t="n"/>
      <c r="GS841" s="124" t="n"/>
      <c r="GT841" s="124" t="n"/>
      <c r="GU841" s="124" t="n"/>
      <c r="GV841" s="124" t="n"/>
      <c r="GW841" s="124" t="n"/>
      <c r="GX841" s="124" t="n"/>
      <c r="GY841" s="124" t="n"/>
      <c r="GZ841" s="124" t="n"/>
      <c r="HA841" s="124" t="n"/>
      <c r="HB841" s="124" t="n"/>
      <c r="HC841" s="124" t="n"/>
      <c r="HD841" s="124" t="n"/>
      <c r="HE841" s="124" t="n"/>
      <c r="HF841" s="124" t="n"/>
      <c r="HG841" s="124" t="n"/>
      <c r="HH841" s="124" t="n"/>
      <c r="HI841" s="124" t="n"/>
      <c r="HJ841" s="124" t="n"/>
      <c r="HK841" s="124" t="n"/>
      <c r="HL841" s="124" t="n"/>
    </row>
    <row r="842" customFormat="1" s="3">
      <c r="A842" s="33" t="n"/>
      <c r="B842" s="34" t="n"/>
      <c r="C842" s="38" t="inlineStr">
        <is>
          <t>Туя западная 3-4 лет</t>
        </is>
      </c>
      <c r="D842" s="36" t="inlineStr">
        <is>
          <t>шт.</t>
        </is>
      </c>
      <c r="E842" s="123" t="n">
        <v>15</v>
      </c>
      <c r="F842" s="124" t="n"/>
      <c r="G842" s="124" t="n"/>
      <c r="H842" s="124" t="n"/>
      <c r="I842" s="124" t="n"/>
      <c r="J842" s="124" t="n"/>
      <c r="K842" s="124" t="n"/>
      <c r="L842" s="124" t="n"/>
      <c r="M842" s="124" t="n"/>
      <c r="N842" s="124" t="n"/>
      <c r="O842" s="124" t="n"/>
      <c r="P842" s="124" t="n"/>
      <c r="Q842" s="124" t="n"/>
      <c r="R842" s="124" t="n"/>
      <c r="S842" s="124" t="n"/>
      <c r="T842" s="124" t="n"/>
      <c r="U842" s="124" t="n"/>
      <c r="V842" s="124" t="n"/>
      <c r="W842" s="124" t="n"/>
      <c r="X842" s="124" t="n"/>
      <c r="Y842" s="124" t="n"/>
      <c r="Z842" s="124" t="n"/>
      <c r="AA842" s="124" t="n"/>
      <c r="AB842" s="124" t="n"/>
      <c r="AC842" s="124" t="n"/>
      <c r="AD842" s="124" t="n"/>
      <c r="AE842" s="124" t="n"/>
      <c r="AF842" s="124" t="n"/>
      <c r="AG842" s="124" t="n"/>
      <c r="AH842" s="124" t="n"/>
      <c r="AI842" s="124" t="n"/>
      <c r="AJ842" s="124" t="n"/>
      <c r="AK842" s="124" t="n"/>
      <c r="AL842" s="124" t="n"/>
      <c r="AM842" s="124" t="n"/>
      <c r="AN842" s="124" t="n"/>
      <c r="AO842" s="124" t="n"/>
      <c r="AP842" s="124" t="n"/>
      <c r="AQ842" s="124" t="n"/>
      <c r="AR842" s="124" t="n"/>
      <c r="AS842" s="124" t="n"/>
      <c r="AT842" s="124" t="n"/>
      <c r="AU842" s="124" t="n"/>
      <c r="AV842" s="124" t="n"/>
      <c r="AW842" s="124" t="n"/>
      <c r="AX842" s="124" t="n"/>
      <c r="AY842" s="124" t="n"/>
      <c r="AZ842" s="124" t="n"/>
      <c r="BA842" s="124" t="n"/>
      <c r="BB842" s="124" t="n"/>
      <c r="BC842" s="124" t="n"/>
      <c r="BD842" s="124" t="n"/>
      <c r="BE842" s="124" t="n"/>
      <c r="BF842" s="124" t="n"/>
      <c r="BG842" s="124" t="n"/>
      <c r="BH842" s="124" t="n"/>
      <c r="BI842" s="124" t="n"/>
      <c r="BJ842" s="124" t="n"/>
      <c r="BK842" s="124" t="n"/>
      <c r="BL842" s="124" t="n"/>
      <c r="BM842" s="124" t="n"/>
      <c r="BN842" s="124" t="n"/>
      <c r="BO842" s="124" t="n"/>
      <c r="BP842" s="124" t="n"/>
      <c r="BQ842" s="124" t="n"/>
      <c r="BR842" s="124" t="n"/>
      <c r="BS842" s="124" t="n"/>
      <c r="BT842" s="124" t="n"/>
      <c r="BU842" s="124" t="n"/>
      <c r="BV842" s="124" t="n"/>
      <c r="BW842" s="124" t="n"/>
      <c r="BX842" s="124" t="n"/>
      <c r="BY842" s="124" t="n"/>
      <c r="BZ842" s="124" t="n"/>
      <c r="CA842" s="124" t="n"/>
      <c r="CB842" s="124" t="n"/>
      <c r="CC842" s="124" t="n"/>
      <c r="CD842" s="124" t="n"/>
      <c r="CE842" s="124" t="n"/>
      <c r="CF842" s="124" t="n"/>
      <c r="CG842" s="124" t="n"/>
      <c r="CH842" s="124" t="n"/>
      <c r="CI842" s="124" t="n"/>
      <c r="CJ842" s="124" t="n"/>
      <c r="CK842" s="124" t="n"/>
      <c r="CL842" s="124" t="n"/>
      <c r="CM842" s="124" t="n"/>
      <c r="CN842" s="124" t="n"/>
      <c r="CO842" s="124" t="n"/>
      <c r="CP842" s="124" t="n"/>
      <c r="CQ842" s="124" t="n"/>
      <c r="CR842" s="124" t="n"/>
      <c r="CS842" s="124" t="n"/>
      <c r="CT842" s="124" t="n"/>
      <c r="CU842" s="124" t="n"/>
      <c r="CV842" s="124" t="n"/>
      <c r="CW842" s="124" t="n"/>
      <c r="CX842" s="124" t="n"/>
      <c r="CY842" s="124" t="n"/>
      <c r="CZ842" s="124" t="n"/>
      <c r="DA842" s="124" t="n"/>
      <c r="DB842" s="124" t="n"/>
      <c r="DC842" s="124" t="n"/>
      <c r="DD842" s="124" t="n"/>
      <c r="DE842" s="124" t="n"/>
      <c r="DF842" s="124" t="n"/>
      <c r="DG842" s="124" t="n"/>
      <c r="DH842" s="124" t="n"/>
      <c r="DI842" s="124" t="n"/>
      <c r="DJ842" s="124" t="n"/>
      <c r="DK842" s="124" t="n"/>
      <c r="DL842" s="124" t="n"/>
      <c r="DM842" s="124" t="n"/>
      <c r="DN842" s="124" t="n"/>
      <c r="DO842" s="124" t="n"/>
      <c r="DP842" s="124" t="n"/>
      <c r="DQ842" s="124" t="n"/>
      <c r="DR842" s="124" t="n"/>
      <c r="DS842" s="124" t="n"/>
      <c r="DT842" s="124" t="n"/>
      <c r="DU842" s="124" t="n"/>
      <c r="DV842" s="124" t="n"/>
      <c r="DW842" s="124" t="n"/>
      <c r="DX842" s="124" t="n"/>
      <c r="DY842" s="124" t="n"/>
      <c r="DZ842" s="124" t="n"/>
      <c r="EA842" s="124" t="n"/>
      <c r="EB842" s="124" t="n"/>
      <c r="EC842" s="124" t="n"/>
      <c r="ED842" s="124" t="n"/>
      <c r="EE842" s="124" t="n"/>
      <c r="EF842" s="124" t="n"/>
      <c r="EG842" s="124" t="n"/>
      <c r="EH842" s="124" t="n"/>
      <c r="EI842" s="124" t="n"/>
      <c r="EJ842" s="124" t="n"/>
      <c r="EK842" s="124" t="n"/>
      <c r="EL842" s="124" t="n"/>
      <c r="EM842" s="124" t="n"/>
      <c r="EN842" s="124" t="n"/>
      <c r="EO842" s="124" t="n"/>
      <c r="EP842" s="124" t="n"/>
      <c r="EQ842" s="124" t="n"/>
      <c r="ER842" s="124" t="n"/>
      <c r="ES842" s="124" t="n"/>
      <c r="ET842" s="124" t="n"/>
      <c r="EU842" s="124" t="n"/>
      <c r="EV842" s="124" t="n"/>
      <c r="EW842" s="124" t="n"/>
      <c r="EX842" s="124" t="n"/>
      <c r="EY842" s="124" t="n"/>
      <c r="EZ842" s="124" t="n"/>
      <c r="FA842" s="124" t="n"/>
      <c r="FB842" s="124" t="n"/>
      <c r="FC842" s="124" t="n"/>
      <c r="FD842" s="124" t="n"/>
      <c r="FE842" s="124" t="n"/>
      <c r="FF842" s="124" t="n"/>
      <c r="FG842" s="124" t="n"/>
      <c r="FH842" s="124" t="n"/>
      <c r="FI842" s="124" t="n"/>
      <c r="FJ842" s="124" t="n"/>
      <c r="FK842" s="124" t="n"/>
      <c r="FL842" s="124" t="n"/>
      <c r="FM842" s="124" t="n"/>
      <c r="FN842" s="124" t="n"/>
      <c r="FO842" s="124" t="n"/>
      <c r="FP842" s="124" t="n"/>
      <c r="FQ842" s="124" t="n"/>
      <c r="FR842" s="124" t="n"/>
      <c r="FS842" s="124" t="n"/>
      <c r="FT842" s="124" t="n"/>
      <c r="FU842" s="124" t="n"/>
      <c r="FV842" s="124" t="n"/>
      <c r="FW842" s="124" t="n"/>
      <c r="FX842" s="124" t="n"/>
      <c r="FY842" s="124" t="n"/>
      <c r="FZ842" s="124" t="n"/>
      <c r="GA842" s="124" t="n"/>
      <c r="GB842" s="124" t="n"/>
      <c r="GC842" s="124" t="n"/>
      <c r="GD842" s="124" t="n"/>
      <c r="GE842" s="124" t="n"/>
      <c r="GF842" s="124" t="n"/>
      <c r="GG842" s="124" t="n"/>
      <c r="GH842" s="124" t="n"/>
      <c r="GI842" s="124" t="n"/>
      <c r="GJ842" s="124" t="n"/>
      <c r="GK842" s="124" t="n"/>
      <c r="GL842" s="124" t="n"/>
      <c r="GM842" s="124" t="n"/>
      <c r="GN842" s="124" t="n"/>
      <c r="GO842" s="124" t="n"/>
      <c r="GP842" s="124" t="n"/>
      <c r="GQ842" s="124" t="n"/>
      <c r="GR842" s="124" t="n"/>
      <c r="GS842" s="124" t="n"/>
      <c r="GT842" s="124" t="n"/>
      <c r="GU842" s="124" t="n"/>
      <c r="GV842" s="124" t="n"/>
      <c r="GW842" s="124" t="n"/>
      <c r="GX842" s="124" t="n"/>
      <c r="GY842" s="124" t="n"/>
      <c r="GZ842" s="124" t="n"/>
      <c r="HA842" s="124" t="n"/>
      <c r="HB842" s="124" t="n"/>
      <c r="HC842" s="124" t="n"/>
      <c r="HD842" s="124" t="n"/>
      <c r="HE842" s="124" t="n"/>
      <c r="HF842" s="124" t="n"/>
      <c r="HG842" s="124" t="n"/>
      <c r="HH842" s="124" t="n"/>
      <c r="HI842" s="124" t="n"/>
      <c r="HJ842" s="124" t="n"/>
      <c r="HK842" s="124" t="n"/>
      <c r="HL842" s="124" t="n"/>
    </row>
    <row r="843" customFormat="1" s="3">
      <c r="A843" s="33" t="n"/>
      <c r="B843" s="34" t="n"/>
      <c r="C843" s="38" t="inlineStr">
        <is>
          <t>Жимолость 5-7 лет</t>
        </is>
      </c>
      <c r="D843" s="36" t="inlineStr">
        <is>
          <t>шт.</t>
        </is>
      </c>
      <c r="E843" s="123" t="n">
        <v>32</v>
      </c>
      <c r="F843" s="124" t="n"/>
      <c r="G843" s="124" t="n"/>
      <c r="H843" s="124" t="n"/>
      <c r="I843" s="124" t="n"/>
      <c r="J843" s="124" t="n"/>
      <c r="K843" s="124" t="n"/>
      <c r="L843" s="124" t="n"/>
      <c r="M843" s="124" t="n"/>
      <c r="N843" s="124" t="n"/>
      <c r="O843" s="124" t="n"/>
      <c r="P843" s="124" t="n"/>
      <c r="Q843" s="124" t="n"/>
      <c r="R843" s="124" t="n"/>
      <c r="S843" s="124" t="n"/>
      <c r="T843" s="124" t="n"/>
      <c r="U843" s="124" t="n"/>
      <c r="V843" s="124" t="n"/>
      <c r="W843" s="124" t="n"/>
      <c r="X843" s="124" t="n"/>
      <c r="Y843" s="124" t="n"/>
      <c r="Z843" s="124" t="n"/>
      <c r="AA843" s="124" t="n"/>
      <c r="AB843" s="124" t="n"/>
      <c r="AC843" s="124" t="n"/>
      <c r="AD843" s="124" t="n"/>
      <c r="AE843" s="124" t="n"/>
      <c r="AF843" s="124" t="n"/>
      <c r="AG843" s="124" t="n"/>
      <c r="AH843" s="124" t="n"/>
      <c r="AI843" s="124" t="n"/>
      <c r="AJ843" s="124" t="n"/>
      <c r="AK843" s="124" t="n"/>
      <c r="AL843" s="124" t="n"/>
      <c r="AM843" s="124" t="n"/>
      <c r="AN843" s="124" t="n"/>
      <c r="AO843" s="124" t="n"/>
      <c r="AP843" s="124" t="n"/>
      <c r="AQ843" s="124" t="n"/>
      <c r="AR843" s="124" t="n"/>
      <c r="AS843" s="124" t="n"/>
      <c r="AT843" s="124" t="n"/>
      <c r="AU843" s="124" t="n"/>
      <c r="AV843" s="124" t="n"/>
      <c r="AW843" s="124" t="n"/>
      <c r="AX843" s="124" t="n"/>
      <c r="AY843" s="124" t="n"/>
      <c r="AZ843" s="124" t="n"/>
      <c r="BA843" s="124" t="n"/>
      <c r="BB843" s="124" t="n"/>
      <c r="BC843" s="124" t="n"/>
      <c r="BD843" s="124" t="n"/>
      <c r="BE843" s="124" t="n"/>
      <c r="BF843" s="124" t="n"/>
      <c r="BG843" s="124" t="n"/>
      <c r="BH843" s="124" t="n"/>
      <c r="BI843" s="124" t="n"/>
      <c r="BJ843" s="124" t="n"/>
      <c r="BK843" s="124" t="n"/>
      <c r="BL843" s="124" t="n"/>
      <c r="BM843" s="124" t="n"/>
      <c r="BN843" s="124" t="n"/>
      <c r="BO843" s="124" t="n"/>
      <c r="BP843" s="124" t="n"/>
      <c r="BQ843" s="124" t="n"/>
      <c r="BR843" s="124" t="n"/>
      <c r="BS843" s="124" t="n"/>
      <c r="BT843" s="124" t="n"/>
      <c r="BU843" s="124" t="n"/>
      <c r="BV843" s="124" t="n"/>
      <c r="BW843" s="124" t="n"/>
      <c r="BX843" s="124" t="n"/>
      <c r="BY843" s="124" t="n"/>
      <c r="BZ843" s="124" t="n"/>
      <c r="CA843" s="124" t="n"/>
      <c r="CB843" s="124" t="n"/>
      <c r="CC843" s="124" t="n"/>
      <c r="CD843" s="124" t="n"/>
      <c r="CE843" s="124" t="n"/>
      <c r="CF843" s="124" t="n"/>
      <c r="CG843" s="124" t="n"/>
      <c r="CH843" s="124" t="n"/>
      <c r="CI843" s="124" t="n"/>
      <c r="CJ843" s="124" t="n"/>
      <c r="CK843" s="124" t="n"/>
      <c r="CL843" s="124" t="n"/>
      <c r="CM843" s="124" t="n"/>
      <c r="CN843" s="124" t="n"/>
      <c r="CO843" s="124" t="n"/>
      <c r="CP843" s="124" t="n"/>
      <c r="CQ843" s="124" t="n"/>
      <c r="CR843" s="124" t="n"/>
      <c r="CS843" s="124" t="n"/>
      <c r="CT843" s="124" t="n"/>
      <c r="CU843" s="124" t="n"/>
      <c r="CV843" s="124" t="n"/>
      <c r="CW843" s="124" t="n"/>
      <c r="CX843" s="124" t="n"/>
      <c r="CY843" s="124" t="n"/>
      <c r="CZ843" s="124" t="n"/>
      <c r="DA843" s="124" t="n"/>
      <c r="DB843" s="124" t="n"/>
      <c r="DC843" s="124" t="n"/>
      <c r="DD843" s="124" t="n"/>
      <c r="DE843" s="124" t="n"/>
      <c r="DF843" s="124" t="n"/>
      <c r="DG843" s="124" t="n"/>
      <c r="DH843" s="124" t="n"/>
      <c r="DI843" s="124" t="n"/>
      <c r="DJ843" s="124" t="n"/>
      <c r="DK843" s="124" t="n"/>
      <c r="DL843" s="124" t="n"/>
      <c r="DM843" s="124" t="n"/>
      <c r="DN843" s="124" t="n"/>
      <c r="DO843" s="124" t="n"/>
      <c r="DP843" s="124" t="n"/>
      <c r="DQ843" s="124" t="n"/>
      <c r="DR843" s="124" t="n"/>
      <c r="DS843" s="124" t="n"/>
      <c r="DT843" s="124" t="n"/>
      <c r="DU843" s="124" t="n"/>
      <c r="DV843" s="124" t="n"/>
      <c r="DW843" s="124" t="n"/>
      <c r="DX843" s="124" t="n"/>
      <c r="DY843" s="124" t="n"/>
      <c r="DZ843" s="124" t="n"/>
      <c r="EA843" s="124" t="n"/>
      <c r="EB843" s="124" t="n"/>
      <c r="EC843" s="124" t="n"/>
      <c r="ED843" s="124" t="n"/>
      <c r="EE843" s="124" t="n"/>
      <c r="EF843" s="124" t="n"/>
      <c r="EG843" s="124" t="n"/>
      <c r="EH843" s="124" t="n"/>
      <c r="EI843" s="124" t="n"/>
      <c r="EJ843" s="124" t="n"/>
      <c r="EK843" s="124" t="n"/>
      <c r="EL843" s="124" t="n"/>
      <c r="EM843" s="124" t="n"/>
      <c r="EN843" s="124" t="n"/>
      <c r="EO843" s="124" t="n"/>
      <c r="EP843" s="124" t="n"/>
      <c r="EQ843" s="124" t="n"/>
      <c r="ER843" s="124" t="n"/>
      <c r="ES843" s="124" t="n"/>
      <c r="ET843" s="124" t="n"/>
      <c r="EU843" s="124" t="n"/>
      <c r="EV843" s="124" t="n"/>
      <c r="EW843" s="124" t="n"/>
      <c r="EX843" s="124" t="n"/>
      <c r="EY843" s="124" t="n"/>
      <c r="EZ843" s="124" t="n"/>
      <c r="FA843" s="124" t="n"/>
      <c r="FB843" s="124" t="n"/>
      <c r="FC843" s="124" t="n"/>
      <c r="FD843" s="124" t="n"/>
      <c r="FE843" s="124" t="n"/>
      <c r="FF843" s="124" t="n"/>
      <c r="FG843" s="124" t="n"/>
      <c r="FH843" s="124" t="n"/>
      <c r="FI843" s="124" t="n"/>
      <c r="FJ843" s="124" t="n"/>
      <c r="FK843" s="124" t="n"/>
      <c r="FL843" s="124" t="n"/>
      <c r="FM843" s="124" t="n"/>
      <c r="FN843" s="124" t="n"/>
      <c r="FO843" s="124" t="n"/>
      <c r="FP843" s="124" t="n"/>
      <c r="FQ843" s="124" t="n"/>
      <c r="FR843" s="124" t="n"/>
      <c r="FS843" s="124" t="n"/>
      <c r="FT843" s="124" t="n"/>
      <c r="FU843" s="124" t="n"/>
      <c r="FV843" s="124" t="n"/>
      <c r="FW843" s="124" t="n"/>
      <c r="FX843" s="124" t="n"/>
      <c r="FY843" s="124" t="n"/>
      <c r="FZ843" s="124" t="n"/>
      <c r="GA843" s="124" t="n"/>
      <c r="GB843" s="124" t="n"/>
      <c r="GC843" s="124" t="n"/>
      <c r="GD843" s="124" t="n"/>
      <c r="GE843" s="124" t="n"/>
      <c r="GF843" s="124" t="n"/>
      <c r="GG843" s="124" t="n"/>
      <c r="GH843" s="124" t="n"/>
      <c r="GI843" s="124" t="n"/>
      <c r="GJ843" s="124" t="n"/>
      <c r="GK843" s="124" t="n"/>
      <c r="GL843" s="124" t="n"/>
      <c r="GM843" s="124" t="n"/>
      <c r="GN843" s="124" t="n"/>
      <c r="GO843" s="124" t="n"/>
      <c r="GP843" s="124" t="n"/>
      <c r="GQ843" s="124" t="n"/>
      <c r="GR843" s="124" t="n"/>
      <c r="GS843" s="124" t="n"/>
      <c r="GT843" s="124" t="n"/>
      <c r="GU843" s="124" t="n"/>
      <c r="GV843" s="124" t="n"/>
      <c r="GW843" s="124" t="n"/>
      <c r="GX843" s="124" t="n"/>
      <c r="GY843" s="124" t="n"/>
      <c r="GZ843" s="124" t="n"/>
      <c r="HA843" s="124" t="n"/>
      <c r="HB843" s="124" t="n"/>
      <c r="HC843" s="124" t="n"/>
      <c r="HD843" s="124" t="n"/>
      <c r="HE843" s="124" t="n"/>
      <c r="HF843" s="124" t="n"/>
      <c r="HG843" s="124" t="n"/>
      <c r="HH843" s="124" t="n"/>
      <c r="HI843" s="124" t="n"/>
      <c r="HJ843" s="124" t="n"/>
      <c r="HK843" s="124" t="n"/>
      <c r="HL843" s="124" t="n"/>
    </row>
    <row r="844" customFormat="1" s="3">
      <c r="A844" s="33" t="n"/>
      <c r="B844" s="34" t="n"/>
      <c r="C844" s="38" t="inlineStr">
        <is>
          <t>Туя западная снежноягодник</t>
        </is>
      </c>
      <c r="D844" s="36" t="inlineStr">
        <is>
          <t>шт.</t>
        </is>
      </c>
      <c r="E844" s="123" t="n">
        <v>6</v>
      </c>
      <c r="F844" s="124" t="n"/>
      <c r="G844" s="124" t="n"/>
      <c r="H844" s="124" t="n"/>
      <c r="I844" s="124" t="n"/>
      <c r="J844" s="124" t="n"/>
      <c r="K844" s="124" t="n"/>
      <c r="L844" s="124" t="n"/>
      <c r="M844" s="124" t="n"/>
      <c r="N844" s="124" t="n"/>
      <c r="O844" s="124" t="n"/>
      <c r="P844" s="124" t="n"/>
      <c r="Q844" s="124" t="n"/>
      <c r="R844" s="124" t="n"/>
      <c r="S844" s="124" t="n"/>
      <c r="T844" s="124" t="n"/>
      <c r="U844" s="124" t="n"/>
      <c r="V844" s="124" t="n"/>
      <c r="W844" s="124" t="n"/>
      <c r="X844" s="124" t="n"/>
      <c r="Y844" s="124" t="n"/>
      <c r="Z844" s="124" t="n"/>
      <c r="AA844" s="124" t="n"/>
      <c r="AB844" s="124" t="n"/>
      <c r="AC844" s="124" t="n"/>
      <c r="AD844" s="124" t="n"/>
      <c r="AE844" s="124" t="n"/>
      <c r="AF844" s="124" t="n"/>
      <c r="AG844" s="124" t="n"/>
      <c r="AH844" s="124" t="n"/>
      <c r="AI844" s="124" t="n"/>
      <c r="AJ844" s="124" t="n"/>
      <c r="AK844" s="124" t="n"/>
      <c r="AL844" s="124" t="n"/>
      <c r="AM844" s="124" t="n"/>
      <c r="AN844" s="124" t="n"/>
      <c r="AO844" s="124" t="n"/>
      <c r="AP844" s="124" t="n"/>
      <c r="AQ844" s="124" t="n"/>
      <c r="AR844" s="124" t="n"/>
      <c r="AS844" s="124" t="n"/>
      <c r="AT844" s="124" t="n"/>
      <c r="AU844" s="124" t="n"/>
      <c r="AV844" s="124" t="n"/>
      <c r="AW844" s="124" t="n"/>
      <c r="AX844" s="124" t="n"/>
      <c r="AY844" s="124" t="n"/>
      <c r="AZ844" s="124" t="n"/>
      <c r="BA844" s="124" t="n"/>
      <c r="BB844" s="124" t="n"/>
      <c r="BC844" s="124" t="n"/>
      <c r="BD844" s="124" t="n"/>
      <c r="BE844" s="124" t="n"/>
      <c r="BF844" s="124" t="n"/>
      <c r="BG844" s="124" t="n"/>
      <c r="BH844" s="124" t="n"/>
      <c r="BI844" s="124" t="n"/>
      <c r="BJ844" s="124" t="n"/>
      <c r="BK844" s="124" t="n"/>
      <c r="BL844" s="124" t="n"/>
      <c r="BM844" s="124" t="n"/>
      <c r="BN844" s="124" t="n"/>
      <c r="BO844" s="124" t="n"/>
      <c r="BP844" s="124" t="n"/>
      <c r="BQ844" s="124" t="n"/>
      <c r="BR844" s="124" t="n"/>
      <c r="BS844" s="124" t="n"/>
      <c r="BT844" s="124" t="n"/>
      <c r="BU844" s="124" t="n"/>
      <c r="BV844" s="124" t="n"/>
      <c r="BW844" s="124" t="n"/>
      <c r="BX844" s="124" t="n"/>
      <c r="BY844" s="124" t="n"/>
      <c r="BZ844" s="124" t="n"/>
      <c r="CA844" s="124" t="n"/>
      <c r="CB844" s="124" t="n"/>
      <c r="CC844" s="124" t="n"/>
      <c r="CD844" s="124" t="n"/>
      <c r="CE844" s="124" t="n"/>
      <c r="CF844" s="124" t="n"/>
      <c r="CG844" s="124" t="n"/>
      <c r="CH844" s="124" t="n"/>
      <c r="CI844" s="124" t="n"/>
      <c r="CJ844" s="124" t="n"/>
      <c r="CK844" s="124" t="n"/>
      <c r="CL844" s="124" t="n"/>
      <c r="CM844" s="124" t="n"/>
      <c r="CN844" s="124" t="n"/>
      <c r="CO844" s="124" t="n"/>
      <c r="CP844" s="124" t="n"/>
      <c r="CQ844" s="124" t="n"/>
      <c r="CR844" s="124" t="n"/>
      <c r="CS844" s="124" t="n"/>
      <c r="CT844" s="124" t="n"/>
      <c r="CU844" s="124" t="n"/>
      <c r="CV844" s="124" t="n"/>
      <c r="CW844" s="124" t="n"/>
      <c r="CX844" s="124" t="n"/>
      <c r="CY844" s="124" t="n"/>
      <c r="CZ844" s="124" t="n"/>
      <c r="DA844" s="124" t="n"/>
      <c r="DB844" s="124" t="n"/>
      <c r="DC844" s="124" t="n"/>
      <c r="DD844" s="124" t="n"/>
      <c r="DE844" s="124" t="n"/>
      <c r="DF844" s="124" t="n"/>
      <c r="DG844" s="124" t="n"/>
      <c r="DH844" s="124" t="n"/>
      <c r="DI844" s="124" t="n"/>
      <c r="DJ844" s="124" t="n"/>
      <c r="DK844" s="124" t="n"/>
      <c r="DL844" s="124" t="n"/>
      <c r="DM844" s="124" t="n"/>
      <c r="DN844" s="124" t="n"/>
      <c r="DO844" s="124" t="n"/>
      <c r="DP844" s="124" t="n"/>
      <c r="DQ844" s="124" t="n"/>
      <c r="DR844" s="124" t="n"/>
      <c r="DS844" s="124" t="n"/>
      <c r="DT844" s="124" t="n"/>
      <c r="DU844" s="124" t="n"/>
      <c r="DV844" s="124" t="n"/>
      <c r="DW844" s="124" t="n"/>
      <c r="DX844" s="124" t="n"/>
      <c r="DY844" s="124" t="n"/>
      <c r="DZ844" s="124" t="n"/>
      <c r="EA844" s="124" t="n"/>
      <c r="EB844" s="124" t="n"/>
      <c r="EC844" s="124" t="n"/>
      <c r="ED844" s="124" t="n"/>
      <c r="EE844" s="124" t="n"/>
      <c r="EF844" s="124" t="n"/>
      <c r="EG844" s="124" t="n"/>
      <c r="EH844" s="124" t="n"/>
      <c r="EI844" s="124" t="n"/>
      <c r="EJ844" s="124" t="n"/>
      <c r="EK844" s="124" t="n"/>
      <c r="EL844" s="124" t="n"/>
      <c r="EM844" s="124" t="n"/>
      <c r="EN844" s="124" t="n"/>
      <c r="EO844" s="124" t="n"/>
      <c r="EP844" s="124" t="n"/>
      <c r="EQ844" s="124" t="n"/>
      <c r="ER844" s="124" t="n"/>
      <c r="ES844" s="124" t="n"/>
      <c r="ET844" s="124" t="n"/>
      <c r="EU844" s="124" t="n"/>
      <c r="EV844" s="124" t="n"/>
      <c r="EW844" s="124" t="n"/>
      <c r="EX844" s="124" t="n"/>
      <c r="EY844" s="124" t="n"/>
      <c r="EZ844" s="124" t="n"/>
      <c r="FA844" s="124" t="n"/>
      <c r="FB844" s="124" t="n"/>
      <c r="FC844" s="124" t="n"/>
      <c r="FD844" s="124" t="n"/>
      <c r="FE844" s="124" t="n"/>
      <c r="FF844" s="124" t="n"/>
      <c r="FG844" s="124" t="n"/>
      <c r="FH844" s="124" t="n"/>
      <c r="FI844" s="124" t="n"/>
      <c r="FJ844" s="124" t="n"/>
      <c r="FK844" s="124" t="n"/>
      <c r="FL844" s="124" t="n"/>
      <c r="FM844" s="124" t="n"/>
      <c r="FN844" s="124" t="n"/>
      <c r="FO844" s="124" t="n"/>
      <c r="FP844" s="124" t="n"/>
      <c r="FQ844" s="124" t="n"/>
      <c r="FR844" s="124" t="n"/>
      <c r="FS844" s="124" t="n"/>
      <c r="FT844" s="124" t="n"/>
      <c r="FU844" s="124" t="n"/>
      <c r="FV844" s="124" t="n"/>
      <c r="FW844" s="124" t="n"/>
      <c r="FX844" s="124" t="n"/>
      <c r="FY844" s="124" t="n"/>
      <c r="FZ844" s="124" t="n"/>
      <c r="GA844" s="124" t="n"/>
      <c r="GB844" s="124" t="n"/>
      <c r="GC844" s="124" t="n"/>
      <c r="GD844" s="124" t="n"/>
      <c r="GE844" s="124" t="n"/>
      <c r="GF844" s="124" t="n"/>
      <c r="GG844" s="124" t="n"/>
      <c r="GH844" s="124" t="n"/>
      <c r="GI844" s="124" t="n"/>
      <c r="GJ844" s="124" t="n"/>
      <c r="GK844" s="124" t="n"/>
      <c r="GL844" s="124" t="n"/>
      <c r="GM844" s="124" t="n"/>
      <c r="GN844" s="124" t="n"/>
      <c r="GO844" s="124" t="n"/>
      <c r="GP844" s="124" t="n"/>
      <c r="GQ844" s="124" t="n"/>
      <c r="GR844" s="124" t="n"/>
      <c r="GS844" s="124" t="n"/>
      <c r="GT844" s="124" t="n"/>
      <c r="GU844" s="124" t="n"/>
      <c r="GV844" s="124" t="n"/>
      <c r="GW844" s="124" t="n"/>
      <c r="GX844" s="124" t="n"/>
      <c r="GY844" s="124" t="n"/>
      <c r="GZ844" s="124" t="n"/>
      <c r="HA844" s="124" t="n"/>
      <c r="HB844" s="124" t="n"/>
      <c r="HC844" s="124" t="n"/>
      <c r="HD844" s="124" t="n"/>
      <c r="HE844" s="124" t="n"/>
      <c r="HF844" s="124" t="n"/>
      <c r="HG844" s="124" t="n"/>
      <c r="HH844" s="124" t="n"/>
      <c r="HI844" s="124" t="n"/>
      <c r="HJ844" s="124" t="n"/>
      <c r="HK844" s="124" t="n"/>
      <c r="HL844" s="124" t="n"/>
    </row>
    <row r="845" ht="41.4" customFormat="1" customHeight="1" s="3">
      <c r="A845" s="33" t="n"/>
      <c r="B845" s="34" t="n"/>
      <c r="C845" s="38" t="inlineStr">
        <is>
          <t>Газонная трава (травосмесь мятлик луговой, овсяница красная, полевица обыкновенная) внесение растительног  слоя 200мм.</t>
        </is>
      </c>
      <c r="D845" s="36" t="inlineStr">
        <is>
          <t>м2</t>
        </is>
      </c>
      <c r="E845" s="123" t="n">
        <v>989</v>
      </c>
      <c r="F845" s="124" t="n"/>
      <c r="G845" s="124" t="n"/>
      <c r="H845" s="124" t="n"/>
      <c r="I845" s="124" t="n"/>
      <c r="J845" s="124" t="n"/>
      <c r="K845" s="124" t="n"/>
      <c r="L845" s="124" t="n"/>
      <c r="M845" s="124" t="n"/>
      <c r="N845" s="124" t="n"/>
      <c r="O845" s="124" t="n"/>
      <c r="P845" s="124" t="n"/>
      <c r="Q845" s="124" t="n"/>
      <c r="R845" s="124" t="n"/>
      <c r="S845" s="124" t="n"/>
      <c r="T845" s="124" t="n"/>
      <c r="U845" s="124" t="n"/>
      <c r="V845" s="124" t="n"/>
      <c r="W845" s="124" t="n"/>
      <c r="X845" s="124" t="n"/>
      <c r="Y845" s="124" t="n"/>
      <c r="Z845" s="124" t="n"/>
      <c r="AA845" s="124" t="n"/>
      <c r="AB845" s="124" t="n"/>
      <c r="AC845" s="124" t="n"/>
      <c r="AD845" s="124" t="n"/>
      <c r="AE845" s="124" t="n"/>
      <c r="AF845" s="124" t="n"/>
      <c r="AG845" s="124" t="n"/>
      <c r="AH845" s="124" t="n"/>
      <c r="AI845" s="124" t="n"/>
      <c r="AJ845" s="124" t="n"/>
      <c r="AK845" s="124" t="n"/>
      <c r="AL845" s="124" t="n"/>
      <c r="AM845" s="124" t="n"/>
      <c r="AN845" s="124" t="n"/>
      <c r="AO845" s="124" t="n"/>
      <c r="AP845" s="124" t="n"/>
      <c r="AQ845" s="124" t="n"/>
      <c r="AR845" s="124" t="n"/>
      <c r="AS845" s="124" t="n"/>
      <c r="AT845" s="124" t="n"/>
      <c r="AU845" s="124" t="n"/>
      <c r="AV845" s="124" t="n"/>
      <c r="AW845" s="124" t="n"/>
      <c r="AX845" s="124" t="n"/>
      <c r="AY845" s="124" t="n"/>
      <c r="AZ845" s="124" t="n"/>
      <c r="BA845" s="124" t="n"/>
      <c r="BB845" s="124" t="n"/>
      <c r="BC845" s="124" t="n"/>
      <c r="BD845" s="124" t="n"/>
      <c r="BE845" s="124" t="n"/>
      <c r="BF845" s="124" t="n"/>
      <c r="BG845" s="124" t="n"/>
      <c r="BH845" s="124" t="n"/>
      <c r="BI845" s="124" t="n"/>
      <c r="BJ845" s="124" t="n"/>
      <c r="BK845" s="124" t="n"/>
      <c r="BL845" s="124" t="n"/>
      <c r="BM845" s="124" t="n"/>
      <c r="BN845" s="124" t="n"/>
      <c r="BO845" s="124" t="n"/>
      <c r="BP845" s="124" t="n"/>
      <c r="BQ845" s="124" t="n"/>
      <c r="BR845" s="124" t="n"/>
      <c r="BS845" s="124" t="n"/>
      <c r="BT845" s="124" t="n"/>
      <c r="BU845" s="124" t="n"/>
      <c r="BV845" s="124" t="n"/>
      <c r="BW845" s="124" t="n"/>
      <c r="BX845" s="124" t="n"/>
      <c r="BY845" s="124" t="n"/>
      <c r="BZ845" s="124" t="n"/>
      <c r="CA845" s="124" t="n"/>
      <c r="CB845" s="124" t="n"/>
      <c r="CC845" s="124" t="n"/>
      <c r="CD845" s="124" t="n"/>
      <c r="CE845" s="124" t="n"/>
      <c r="CF845" s="124" t="n"/>
      <c r="CG845" s="124" t="n"/>
      <c r="CH845" s="124" t="n"/>
      <c r="CI845" s="124" t="n"/>
      <c r="CJ845" s="124" t="n"/>
      <c r="CK845" s="124" t="n"/>
      <c r="CL845" s="124" t="n"/>
      <c r="CM845" s="124" t="n"/>
      <c r="CN845" s="124" t="n"/>
      <c r="CO845" s="124" t="n"/>
      <c r="CP845" s="124" t="n"/>
      <c r="CQ845" s="124" t="n"/>
      <c r="CR845" s="124" t="n"/>
      <c r="CS845" s="124" t="n"/>
      <c r="CT845" s="124" t="n"/>
      <c r="CU845" s="124" t="n"/>
      <c r="CV845" s="124" t="n"/>
      <c r="CW845" s="124" t="n"/>
      <c r="CX845" s="124" t="n"/>
      <c r="CY845" s="124" t="n"/>
      <c r="CZ845" s="124" t="n"/>
      <c r="DA845" s="124" t="n"/>
      <c r="DB845" s="124" t="n"/>
      <c r="DC845" s="124" t="n"/>
      <c r="DD845" s="124" t="n"/>
      <c r="DE845" s="124" t="n"/>
      <c r="DF845" s="124" t="n"/>
      <c r="DG845" s="124" t="n"/>
      <c r="DH845" s="124" t="n"/>
      <c r="DI845" s="124" t="n"/>
      <c r="DJ845" s="124" t="n"/>
      <c r="DK845" s="124" t="n"/>
      <c r="DL845" s="124" t="n"/>
      <c r="DM845" s="124" t="n"/>
      <c r="DN845" s="124" t="n"/>
      <c r="DO845" s="124" t="n"/>
      <c r="DP845" s="124" t="n"/>
      <c r="DQ845" s="124" t="n"/>
      <c r="DR845" s="124" t="n"/>
      <c r="DS845" s="124" t="n"/>
      <c r="DT845" s="124" t="n"/>
      <c r="DU845" s="124" t="n"/>
      <c r="DV845" s="124" t="n"/>
      <c r="DW845" s="124" t="n"/>
      <c r="DX845" s="124" t="n"/>
      <c r="DY845" s="124" t="n"/>
      <c r="DZ845" s="124" t="n"/>
      <c r="EA845" s="124" t="n"/>
      <c r="EB845" s="124" t="n"/>
      <c r="EC845" s="124" t="n"/>
      <c r="ED845" s="124" t="n"/>
      <c r="EE845" s="124" t="n"/>
      <c r="EF845" s="124" t="n"/>
      <c r="EG845" s="124" t="n"/>
      <c r="EH845" s="124" t="n"/>
      <c r="EI845" s="124" t="n"/>
      <c r="EJ845" s="124" t="n"/>
      <c r="EK845" s="124" t="n"/>
      <c r="EL845" s="124" t="n"/>
      <c r="EM845" s="124" t="n"/>
      <c r="EN845" s="124" t="n"/>
      <c r="EO845" s="124" t="n"/>
      <c r="EP845" s="124" t="n"/>
      <c r="EQ845" s="124" t="n"/>
      <c r="ER845" s="124" t="n"/>
      <c r="ES845" s="124" t="n"/>
      <c r="ET845" s="124" t="n"/>
      <c r="EU845" s="124" t="n"/>
      <c r="EV845" s="124" t="n"/>
      <c r="EW845" s="124" t="n"/>
      <c r="EX845" s="124" t="n"/>
      <c r="EY845" s="124" t="n"/>
      <c r="EZ845" s="124" t="n"/>
      <c r="FA845" s="124" t="n"/>
      <c r="FB845" s="124" t="n"/>
      <c r="FC845" s="124" t="n"/>
      <c r="FD845" s="124" t="n"/>
      <c r="FE845" s="124" t="n"/>
      <c r="FF845" s="124" t="n"/>
      <c r="FG845" s="124" t="n"/>
      <c r="FH845" s="124" t="n"/>
      <c r="FI845" s="124" t="n"/>
      <c r="FJ845" s="124" t="n"/>
      <c r="FK845" s="124" t="n"/>
      <c r="FL845" s="124" t="n"/>
      <c r="FM845" s="124" t="n"/>
      <c r="FN845" s="124" t="n"/>
      <c r="FO845" s="124" t="n"/>
      <c r="FP845" s="124" t="n"/>
      <c r="FQ845" s="124" t="n"/>
      <c r="FR845" s="124" t="n"/>
      <c r="FS845" s="124" t="n"/>
      <c r="FT845" s="124" t="n"/>
      <c r="FU845" s="124" t="n"/>
      <c r="FV845" s="124" t="n"/>
      <c r="FW845" s="124" t="n"/>
      <c r="FX845" s="124" t="n"/>
      <c r="FY845" s="124" t="n"/>
      <c r="FZ845" s="124" t="n"/>
      <c r="GA845" s="124" t="n"/>
      <c r="GB845" s="124" t="n"/>
      <c r="GC845" s="124" t="n"/>
      <c r="GD845" s="124" t="n"/>
      <c r="GE845" s="124" t="n"/>
      <c r="GF845" s="124" t="n"/>
      <c r="GG845" s="124" t="n"/>
      <c r="GH845" s="124" t="n"/>
      <c r="GI845" s="124" t="n"/>
      <c r="GJ845" s="124" t="n"/>
      <c r="GK845" s="124" t="n"/>
      <c r="GL845" s="124" t="n"/>
      <c r="GM845" s="124" t="n"/>
      <c r="GN845" s="124" t="n"/>
      <c r="GO845" s="124" t="n"/>
      <c r="GP845" s="124" t="n"/>
      <c r="GQ845" s="124" t="n"/>
      <c r="GR845" s="124" t="n"/>
      <c r="GS845" s="124" t="n"/>
      <c r="GT845" s="124" t="n"/>
      <c r="GU845" s="124" t="n"/>
      <c r="GV845" s="124" t="n"/>
      <c r="GW845" s="124" t="n"/>
      <c r="GX845" s="124" t="n"/>
      <c r="GY845" s="124" t="n"/>
      <c r="GZ845" s="124" t="n"/>
      <c r="HA845" s="124" t="n"/>
      <c r="HB845" s="124" t="n"/>
      <c r="HC845" s="124" t="n"/>
      <c r="HD845" s="124" t="n"/>
      <c r="HE845" s="124" t="n"/>
      <c r="HF845" s="124" t="n"/>
      <c r="HG845" s="124" t="n"/>
      <c r="HH845" s="124" t="n"/>
      <c r="HI845" s="124" t="n"/>
      <c r="HJ845" s="124" t="n"/>
      <c r="HK845" s="124" t="n"/>
      <c r="HL845" s="124" t="n"/>
    </row>
    <row r="846" customFormat="1" s="3">
      <c r="A846" s="33" t="n"/>
      <c r="B846" s="34" t="n"/>
      <c r="C846" s="38" t="inlineStr">
        <is>
          <t>Скамейка "Вдохновение"</t>
        </is>
      </c>
      <c r="D846" s="36" t="inlineStr">
        <is>
          <t>шт</t>
        </is>
      </c>
      <c r="E846" s="123" t="n">
        <v>7</v>
      </c>
      <c r="F846" s="124" t="n"/>
      <c r="G846" s="124" t="n"/>
      <c r="H846" s="124" t="n"/>
      <c r="I846" s="124" t="n"/>
      <c r="J846" s="124" t="n"/>
      <c r="K846" s="124" t="n"/>
      <c r="L846" s="124" t="n"/>
      <c r="M846" s="124" t="n"/>
      <c r="N846" s="124" t="n"/>
      <c r="O846" s="124" t="n"/>
      <c r="P846" s="124" t="n"/>
      <c r="Q846" s="124" t="n"/>
      <c r="R846" s="124" t="n"/>
      <c r="S846" s="124" t="n"/>
      <c r="T846" s="124" t="n"/>
      <c r="U846" s="124" t="n"/>
      <c r="V846" s="124" t="n"/>
      <c r="W846" s="124" t="n"/>
      <c r="X846" s="124" t="n"/>
      <c r="Y846" s="124" t="n"/>
      <c r="Z846" s="124" t="n"/>
      <c r="AA846" s="124" t="n"/>
      <c r="AB846" s="124" t="n"/>
      <c r="AC846" s="124" t="n"/>
      <c r="AD846" s="124" t="n"/>
      <c r="AE846" s="124" t="n"/>
      <c r="AF846" s="124" t="n"/>
      <c r="AG846" s="124" t="n"/>
      <c r="AH846" s="124" t="n"/>
      <c r="AI846" s="124" t="n"/>
      <c r="AJ846" s="124" t="n"/>
      <c r="AK846" s="124" t="n"/>
      <c r="AL846" s="124" t="n"/>
      <c r="AM846" s="124" t="n"/>
      <c r="AN846" s="124" t="n"/>
      <c r="AO846" s="124" t="n"/>
      <c r="AP846" s="124" t="n"/>
      <c r="AQ846" s="124" t="n"/>
      <c r="AR846" s="124" t="n"/>
      <c r="AS846" s="124" t="n"/>
      <c r="AT846" s="124" t="n"/>
      <c r="AU846" s="124" t="n"/>
      <c r="AV846" s="124" t="n"/>
      <c r="AW846" s="124" t="n"/>
      <c r="AX846" s="124" t="n"/>
      <c r="AY846" s="124" t="n"/>
      <c r="AZ846" s="124" t="n"/>
      <c r="BA846" s="124" t="n"/>
      <c r="BB846" s="124" t="n"/>
      <c r="BC846" s="124" t="n"/>
      <c r="BD846" s="124" t="n"/>
      <c r="BE846" s="124" t="n"/>
      <c r="BF846" s="124" t="n"/>
      <c r="BG846" s="124" t="n"/>
      <c r="BH846" s="124" t="n"/>
      <c r="BI846" s="124" t="n"/>
      <c r="BJ846" s="124" t="n"/>
      <c r="BK846" s="124" t="n"/>
      <c r="BL846" s="124" t="n"/>
      <c r="BM846" s="124" t="n"/>
      <c r="BN846" s="124" t="n"/>
      <c r="BO846" s="124" t="n"/>
      <c r="BP846" s="124" t="n"/>
      <c r="BQ846" s="124" t="n"/>
      <c r="BR846" s="124" t="n"/>
      <c r="BS846" s="124" t="n"/>
      <c r="BT846" s="124" t="n"/>
      <c r="BU846" s="124" t="n"/>
      <c r="BV846" s="124" t="n"/>
      <c r="BW846" s="124" t="n"/>
      <c r="BX846" s="124" t="n"/>
      <c r="BY846" s="124" t="n"/>
      <c r="BZ846" s="124" t="n"/>
      <c r="CA846" s="124" t="n"/>
      <c r="CB846" s="124" t="n"/>
      <c r="CC846" s="124" t="n"/>
      <c r="CD846" s="124" t="n"/>
      <c r="CE846" s="124" t="n"/>
      <c r="CF846" s="124" t="n"/>
      <c r="CG846" s="124" t="n"/>
      <c r="CH846" s="124" t="n"/>
      <c r="CI846" s="124" t="n"/>
      <c r="CJ846" s="124" t="n"/>
      <c r="CK846" s="124" t="n"/>
      <c r="CL846" s="124" t="n"/>
      <c r="CM846" s="124" t="n"/>
      <c r="CN846" s="124" t="n"/>
      <c r="CO846" s="124" t="n"/>
      <c r="CP846" s="124" t="n"/>
      <c r="CQ846" s="124" t="n"/>
      <c r="CR846" s="124" t="n"/>
      <c r="CS846" s="124" t="n"/>
      <c r="CT846" s="124" t="n"/>
      <c r="CU846" s="124" t="n"/>
      <c r="CV846" s="124" t="n"/>
      <c r="CW846" s="124" t="n"/>
      <c r="CX846" s="124" t="n"/>
      <c r="CY846" s="124" t="n"/>
      <c r="CZ846" s="124" t="n"/>
      <c r="DA846" s="124" t="n"/>
      <c r="DB846" s="124" t="n"/>
      <c r="DC846" s="124" t="n"/>
      <c r="DD846" s="124" t="n"/>
      <c r="DE846" s="124" t="n"/>
      <c r="DF846" s="124" t="n"/>
      <c r="DG846" s="124" t="n"/>
      <c r="DH846" s="124" t="n"/>
      <c r="DI846" s="124" t="n"/>
      <c r="DJ846" s="124" t="n"/>
      <c r="DK846" s="124" t="n"/>
      <c r="DL846" s="124" t="n"/>
      <c r="DM846" s="124" t="n"/>
      <c r="DN846" s="124" t="n"/>
      <c r="DO846" s="124" t="n"/>
      <c r="DP846" s="124" t="n"/>
      <c r="DQ846" s="124" t="n"/>
      <c r="DR846" s="124" t="n"/>
      <c r="DS846" s="124" t="n"/>
      <c r="DT846" s="124" t="n"/>
      <c r="DU846" s="124" t="n"/>
      <c r="DV846" s="124" t="n"/>
      <c r="DW846" s="124" t="n"/>
      <c r="DX846" s="124" t="n"/>
      <c r="DY846" s="124" t="n"/>
      <c r="DZ846" s="124" t="n"/>
      <c r="EA846" s="124" t="n"/>
      <c r="EB846" s="124" t="n"/>
      <c r="EC846" s="124" t="n"/>
      <c r="ED846" s="124" t="n"/>
      <c r="EE846" s="124" t="n"/>
      <c r="EF846" s="124" t="n"/>
      <c r="EG846" s="124" t="n"/>
      <c r="EH846" s="124" t="n"/>
      <c r="EI846" s="124" t="n"/>
      <c r="EJ846" s="124" t="n"/>
      <c r="EK846" s="124" t="n"/>
      <c r="EL846" s="124" t="n"/>
      <c r="EM846" s="124" t="n"/>
      <c r="EN846" s="124" t="n"/>
      <c r="EO846" s="124" t="n"/>
      <c r="EP846" s="124" t="n"/>
      <c r="EQ846" s="124" t="n"/>
      <c r="ER846" s="124" t="n"/>
      <c r="ES846" s="124" t="n"/>
      <c r="ET846" s="124" t="n"/>
      <c r="EU846" s="124" t="n"/>
      <c r="EV846" s="124" t="n"/>
      <c r="EW846" s="124" t="n"/>
      <c r="EX846" s="124" t="n"/>
      <c r="EY846" s="124" t="n"/>
      <c r="EZ846" s="124" t="n"/>
      <c r="FA846" s="124" t="n"/>
      <c r="FB846" s="124" t="n"/>
      <c r="FC846" s="124" t="n"/>
      <c r="FD846" s="124" t="n"/>
      <c r="FE846" s="124" t="n"/>
      <c r="FF846" s="124" t="n"/>
      <c r="FG846" s="124" t="n"/>
      <c r="FH846" s="124" t="n"/>
      <c r="FI846" s="124" t="n"/>
      <c r="FJ846" s="124" t="n"/>
      <c r="FK846" s="124" t="n"/>
      <c r="FL846" s="124" t="n"/>
      <c r="FM846" s="124" t="n"/>
      <c r="FN846" s="124" t="n"/>
      <c r="FO846" s="124" t="n"/>
      <c r="FP846" s="124" t="n"/>
      <c r="FQ846" s="124" t="n"/>
      <c r="FR846" s="124" t="n"/>
      <c r="FS846" s="124" t="n"/>
      <c r="FT846" s="124" t="n"/>
      <c r="FU846" s="124" t="n"/>
      <c r="FV846" s="124" t="n"/>
      <c r="FW846" s="124" t="n"/>
      <c r="FX846" s="124" t="n"/>
      <c r="FY846" s="124" t="n"/>
      <c r="FZ846" s="124" t="n"/>
      <c r="GA846" s="124" t="n"/>
      <c r="GB846" s="124" t="n"/>
      <c r="GC846" s="124" t="n"/>
      <c r="GD846" s="124" t="n"/>
      <c r="GE846" s="124" t="n"/>
      <c r="GF846" s="124" t="n"/>
      <c r="GG846" s="124" t="n"/>
      <c r="GH846" s="124" t="n"/>
      <c r="GI846" s="124" t="n"/>
      <c r="GJ846" s="124" t="n"/>
      <c r="GK846" s="124" t="n"/>
      <c r="GL846" s="124" t="n"/>
      <c r="GM846" s="124" t="n"/>
      <c r="GN846" s="124" t="n"/>
      <c r="GO846" s="124" t="n"/>
      <c r="GP846" s="124" t="n"/>
      <c r="GQ846" s="124" t="n"/>
      <c r="GR846" s="124" t="n"/>
      <c r="GS846" s="124" t="n"/>
      <c r="GT846" s="124" t="n"/>
      <c r="GU846" s="124" t="n"/>
      <c r="GV846" s="124" t="n"/>
      <c r="GW846" s="124" t="n"/>
      <c r="GX846" s="124" t="n"/>
      <c r="GY846" s="124" t="n"/>
      <c r="GZ846" s="124" t="n"/>
      <c r="HA846" s="124" t="n"/>
      <c r="HB846" s="124" t="n"/>
      <c r="HC846" s="124" t="n"/>
      <c r="HD846" s="124" t="n"/>
      <c r="HE846" s="124" t="n"/>
      <c r="HF846" s="124" t="n"/>
      <c r="HG846" s="124" t="n"/>
      <c r="HH846" s="124" t="n"/>
      <c r="HI846" s="124" t="n"/>
      <c r="HJ846" s="124" t="n"/>
      <c r="HK846" s="124" t="n"/>
      <c r="HL846" s="124" t="n"/>
    </row>
    <row r="847" customFormat="1" s="3">
      <c r="A847" s="33" t="n"/>
      <c r="B847" s="34" t="n"/>
      <c r="C847" s="38" t="inlineStr">
        <is>
          <t>Урна со вставкой и подставкой для основания</t>
        </is>
      </c>
      <c r="D847" s="36" t="inlineStr">
        <is>
          <t>шт</t>
        </is>
      </c>
      <c r="E847" s="123" t="n">
        <v>7</v>
      </c>
      <c r="F847" s="124" t="n"/>
      <c r="G847" s="124" t="n"/>
      <c r="H847" s="124" t="n"/>
      <c r="I847" s="124" t="n"/>
      <c r="J847" s="124" t="n"/>
      <c r="K847" s="124" t="n"/>
      <c r="L847" s="124" t="n"/>
      <c r="M847" s="124" t="n"/>
      <c r="N847" s="124" t="n"/>
      <c r="O847" s="124" t="n"/>
      <c r="P847" s="124" t="n"/>
      <c r="Q847" s="124" t="n"/>
      <c r="R847" s="124" t="n"/>
      <c r="S847" s="124" t="n"/>
      <c r="T847" s="124" t="n"/>
      <c r="U847" s="124" t="n"/>
      <c r="V847" s="124" t="n"/>
      <c r="W847" s="124" t="n"/>
      <c r="X847" s="124" t="n"/>
      <c r="Y847" s="124" t="n"/>
      <c r="Z847" s="124" t="n"/>
      <c r="AA847" s="124" t="n"/>
      <c r="AB847" s="124" t="n"/>
      <c r="AC847" s="124" t="n"/>
      <c r="AD847" s="124" t="n"/>
      <c r="AE847" s="124" t="n"/>
      <c r="AF847" s="124" t="n"/>
      <c r="AG847" s="124" t="n"/>
      <c r="AH847" s="124" t="n"/>
      <c r="AI847" s="124" t="n"/>
      <c r="AJ847" s="124" t="n"/>
      <c r="AK847" s="124" t="n"/>
      <c r="AL847" s="124" t="n"/>
      <c r="AM847" s="124" t="n"/>
      <c r="AN847" s="124" t="n"/>
      <c r="AO847" s="124" t="n"/>
      <c r="AP847" s="124" t="n"/>
      <c r="AQ847" s="124" t="n"/>
      <c r="AR847" s="124" t="n"/>
      <c r="AS847" s="124" t="n"/>
      <c r="AT847" s="124" t="n"/>
      <c r="AU847" s="124" t="n"/>
      <c r="AV847" s="124" t="n"/>
      <c r="AW847" s="124" t="n"/>
      <c r="AX847" s="124" t="n"/>
      <c r="AY847" s="124" t="n"/>
      <c r="AZ847" s="124" t="n"/>
      <c r="BA847" s="124" t="n"/>
      <c r="BB847" s="124" t="n"/>
      <c r="BC847" s="124" t="n"/>
      <c r="BD847" s="124" t="n"/>
      <c r="BE847" s="124" t="n"/>
      <c r="BF847" s="124" t="n"/>
      <c r="BG847" s="124" t="n"/>
      <c r="BH847" s="124" t="n"/>
      <c r="BI847" s="124" t="n"/>
      <c r="BJ847" s="124" t="n"/>
      <c r="BK847" s="124" t="n"/>
      <c r="BL847" s="124" t="n"/>
      <c r="BM847" s="124" t="n"/>
      <c r="BN847" s="124" t="n"/>
      <c r="BO847" s="124" t="n"/>
      <c r="BP847" s="124" t="n"/>
      <c r="BQ847" s="124" t="n"/>
      <c r="BR847" s="124" t="n"/>
      <c r="BS847" s="124" t="n"/>
      <c r="BT847" s="124" t="n"/>
      <c r="BU847" s="124" t="n"/>
      <c r="BV847" s="124" t="n"/>
      <c r="BW847" s="124" t="n"/>
      <c r="BX847" s="124" t="n"/>
      <c r="BY847" s="124" t="n"/>
      <c r="BZ847" s="124" t="n"/>
      <c r="CA847" s="124" t="n"/>
      <c r="CB847" s="124" t="n"/>
      <c r="CC847" s="124" t="n"/>
      <c r="CD847" s="124" t="n"/>
      <c r="CE847" s="124" t="n"/>
      <c r="CF847" s="124" t="n"/>
      <c r="CG847" s="124" t="n"/>
      <c r="CH847" s="124" t="n"/>
      <c r="CI847" s="124" t="n"/>
      <c r="CJ847" s="124" t="n"/>
      <c r="CK847" s="124" t="n"/>
      <c r="CL847" s="124" t="n"/>
      <c r="CM847" s="124" t="n"/>
      <c r="CN847" s="124" t="n"/>
      <c r="CO847" s="124" t="n"/>
      <c r="CP847" s="124" t="n"/>
      <c r="CQ847" s="124" t="n"/>
      <c r="CR847" s="124" t="n"/>
      <c r="CS847" s="124" t="n"/>
      <c r="CT847" s="124" t="n"/>
      <c r="CU847" s="124" t="n"/>
      <c r="CV847" s="124" t="n"/>
      <c r="CW847" s="124" t="n"/>
      <c r="CX847" s="124" t="n"/>
      <c r="CY847" s="124" t="n"/>
      <c r="CZ847" s="124" t="n"/>
      <c r="DA847" s="124" t="n"/>
      <c r="DB847" s="124" t="n"/>
      <c r="DC847" s="124" t="n"/>
      <c r="DD847" s="124" t="n"/>
      <c r="DE847" s="124" t="n"/>
      <c r="DF847" s="124" t="n"/>
      <c r="DG847" s="124" t="n"/>
      <c r="DH847" s="124" t="n"/>
      <c r="DI847" s="124" t="n"/>
      <c r="DJ847" s="124" t="n"/>
      <c r="DK847" s="124" t="n"/>
      <c r="DL847" s="124" t="n"/>
      <c r="DM847" s="124" t="n"/>
      <c r="DN847" s="124" t="n"/>
      <c r="DO847" s="124" t="n"/>
      <c r="DP847" s="124" t="n"/>
      <c r="DQ847" s="124" t="n"/>
      <c r="DR847" s="124" t="n"/>
      <c r="DS847" s="124" t="n"/>
      <c r="DT847" s="124" t="n"/>
      <c r="DU847" s="124" t="n"/>
      <c r="DV847" s="124" t="n"/>
      <c r="DW847" s="124" t="n"/>
      <c r="DX847" s="124" t="n"/>
      <c r="DY847" s="124" t="n"/>
      <c r="DZ847" s="124" t="n"/>
      <c r="EA847" s="124" t="n"/>
      <c r="EB847" s="124" t="n"/>
      <c r="EC847" s="124" t="n"/>
      <c r="ED847" s="124" t="n"/>
      <c r="EE847" s="124" t="n"/>
      <c r="EF847" s="124" t="n"/>
      <c r="EG847" s="124" t="n"/>
      <c r="EH847" s="124" t="n"/>
      <c r="EI847" s="124" t="n"/>
      <c r="EJ847" s="124" t="n"/>
      <c r="EK847" s="124" t="n"/>
      <c r="EL847" s="124" t="n"/>
      <c r="EM847" s="124" t="n"/>
      <c r="EN847" s="124" t="n"/>
      <c r="EO847" s="124" t="n"/>
      <c r="EP847" s="124" t="n"/>
      <c r="EQ847" s="124" t="n"/>
      <c r="ER847" s="124" t="n"/>
      <c r="ES847" s="124" t="n"/>
      <c r="ET847" s="124" t="n"/>
      <c r="EU847" s="124" t="n"/>
      <c r="EV847" s="124" t="n"/>
      <c r="EW847" s="124" t="n"/>
      <c r="EX847" s="124" t="n"/>
      <c r="EY847" s="124" t="n"/>
      <c r="EZ847" s="124" t="n"/>
      <c r="FA847" s="124" t="n"/>
      <c r="FB847" s="124" t="n"/>
      <c r="FC847" s="124" t="n"/>
      <c r="FD847" s="124" t="n"/>
      <c r="FE847" s="124" t="n"/>
      <c r="FF847" s="124" t="n"/>
      <c r="FG847" s="124" t="n"/>
      <c r="FH847" s="124" t="n"/>
      <c r="FI847" s="124" t="n"/>
      <c r="FJ847" s="124" t="n"/>
      <c r="FK847" s="124" t="n"/>
      <c r="FL847" s="124" t="n"/>
      <c r="FM847" s="124" t="n"/>
      <c r="FN847" s="124" t="n"/>
      <c r="FO847" s="124" t="n"/>
      <c r="FP847" s="124" t="n"/>
      <c r="FQ847" s="124" t="n"/>
      <c r="FR847" s="124" t="n"/>
      <c r="FS847" s="124" t="n"/>
      <c r="FT847" s="124" t="n"/>
      <c r="FU847" s="124" t="n"/>
      <c r="FV847" s="124" t="n"/>
      <c r="FW847" s="124" t="n"/>
      <c r="FX847" s="124" t="n"/>
      <c r="FY847" s="124" t="n"/>
      <c r="FZ847" s="124" t="n"/>
      <c r="GA847" s="124" t="n"/>
      <c r="GB847" s="124" t="n"/>
      <c r="GC847" s="124" t="n"/>
      <c r="GD847" s="124" t="n"/>
      <c r="GE847" s="124" t="n"/>
      <c r="GF847" s="124" t="n"/>
      <c r="GG847" s="124" t="n"/>
      <c r="GH847" s="124" t="n"/>
      <c r="GI847" s="124" t="n"/>
      <c r="GJ847" s="124" t="n"/>
      <c r="GK847" s="124" t="n"/>
      <c r="GL847" s="124" t="n"/>
      <c r="GM847" s="124" t="n"/>
      <c r="GN847" s="124" t="n"/>
      <c r="GO847" s="124" t="n"/>
      <c r="GP847" s="124" t="n"/>
      <c r="GQ847" s="124" t="n"/>
      <c r="GR847" s="124" t="n"/>
      <c r="GS847" s="124" t="n"/>
      <c r="GT847" s="124" t="n"/>
      <c r="GU847" s="124" t="n"/>
      <c r="GV847" s="124" t="n"/>
      <c r="GW847" s="124" t="n"/>
      <c r="GX847" s="124" t="n"/>
      <c r="GY847" s="124" t="n"/>
      <c r="GZ847" s="124" t="n"/>
      <c r="HA847" s="124" t="n"/>
      <c r="HB847" s="124" t="n"/>
      <c r="HC847" s="124" t="n"/>
      <c r="HD847" s="124" t="n"/>
      <c r="HE847" s="124" t="n"/>
      <c r="HF847" s="124" t="n"/>
      <c r="HG847" s="124" t="n"/>
      <c r="HH847" s="124" t="n"/>
      <c r="HI847" s="124" t="n"/>
      <c r="HJ847" s="124" t="n"/>
      <c r="HK847" s="124" t="n"/>
      <c r="HL847" s="124" t="n"/>
    </row>
    <row r="848" customFormat="1" s="3">
      <c r="A848" s="33" t="n"/>
      <c r="B848" s="34" t="n"/>
      <c r="C848" s="38" t="inlineStr">
        <is>
          <t>Навес над мусорными баками на 2 шт.</t>
        </is>
      </c>
      <c r="D848" s="36" t="inlineStr">
        <is>
          <t>шт</t>
        </is>
      </c>
      <c r="E848" s="123" t="n">
        <v>1</v>
      </c>
      <c r="F848" s="124" t="n"/>
      <c r="G848" s="124" t="n"/>
      <c r="H848" s="124" t="n"/>
      <c r="I848" s="124" t="n"/>
      <c r="J848" s="124" t="n"/>
      <c r="K848" s="124" t="n"/>
      <c r="L848" s="124" t="n"/>
      <c r="M848" s="124" t="n"/>
      <c r="N848" s="124" t="n"/>
      <c r="O848" s="124" t="n"/>
      <c r="P848" s="124" t="n"/>
      <c r="Q848" s="124" t="n"/>
      <c r="R848" s="124" t="n"/>
      <c r="S848" s="124" t="n"/>
      <c r="T848" s="124" t="n"/>
      <c r="U848" s="124" t="n"/>
      <c r="V848" s="124" t="n"/>
      <c r="W848" s="124" t="n"/>
      <c r="X848" s="124" t="n"/>
      <c r="Y848" s="124" t="n"/>
      <c r="Z848" s="124" t="n"/>
      <c r="AA848" s="124" t="n"/>
      <c r="AB848" s="124" t="n"/>
      <c r="AC848" s="124" t="n"/>
      <c r="AD848" s="124" t="n"/>
      <c r="AE848" s="124" t="n"/>
      <c r="AF848" s="124" t="n"/>
      <c r="AG848" s="124" t="n"/>
      <c r="AH848" s="124" t="n"/>
      <c r="AI848" s="124" t="n"/>
      <c r="AJ848" s="124" t="n"/>
      <c r="AK848" s="124" t="n"/>
      <c r="AL848" s="124" t="n"/>
      <c r="AM848" s="124" t="n"/>
      <c r="AN848" s="124" t="n"/>
      <c r="AO848" s="124" t="n"/>
      <c r="AP848" s="124" t="n"/>
      <c r="AQ848" s="124" t="n"/>
      <c r="AR848" s="124" t="n"/>
      <c r="AS848" s="124" t="n"/>
      <c r="AT848" s="124" t="n"/>
      <c r="AU848" s="124" t="n"/>
      <c r="AV848" s="124" t="n"/>
      <c r="AW848" s="124" t="n"/>
      <c r="AX848" s="124" t="n"/>
      <c r="AY848" s="124" t="n"/>
      <c r="AZ848" s="124" t="n"/>
      <c r="BA848" s="124" t="n"/>
      <c r="BB848" s="124" t="n"/>
      <c r="BC848" s="124" t="n"/>
      <c r="BD848" s="124" t="n"/>
      <c r="BE848" s="124" t="n"/>
      <c r="BF848" s="124" t="n"/>
      <c r="BG848" s="124" t="n"/>
      <c r="BH848" s="124" t="n"/>
      <c r="BI848" s="124" t="n"/>
      <c r="BJ848" s="124" t="n"/>
      <c r="BK848" s="124" t="n"/>
      <c r="BL848" s="124" t="n"/>
      <c r="BM848" s="124" t="n"/>
      <c r="BN848" s="124" t="n"/>
      <c r="BO848" s="124" t="n"/>
      <c r="BP848" s="124" t="n"/>
      <c r="BQ848" s="124" t="n"/>
      <c r="BR848" s="124" t="n"/>
      <c r="BS848" s="124" t="n"/>
      <c r="BT848" s="124" t="n"/>
      <c r="BU848" s="124" t="n"/>
      <c r="BV848" s="124" t="n"/>
      <c r="BW848" s="124" t="n"/>
      <c r="BX848" s="124" t="n"/>
      <c r="BY848" s="124" t="n"/>
      <c r="BZ848" s="124" t="n"/>
      <c r="CA848" s="124" t="n"/>
      <c r="CB848" s="124" t="n"/>
      <c r="CC848" s="124" t="n"/>
      <c r="CD848" s="124" t="n"/>
      <c r="CE848" s="124" t="n"/>
      <c r="CF848" s="124" t="n"/>
      <c r="CG848" s="124" t="n"/>
      <c r="CH848" s="124" t="n"/>
      <c r="CI848" s="124" t="n"/>
      <c r="CJ848" s="124" t="n"/>
      <c r="CK848" s="124" t="n"/>
      <c r="CL848" s="124" t="n"/>
      <c r="CM848" s="124" t="n"/>
      <c r="CN848" s="124" t="n"/>
      <c r="CO848" s="124" t="n"/>
      <c r="CP848" s="124" t="n"/>
      <c r="CQ848" s="124" t="n"/>
      <c r="CR848" s="124" t="n"/>
      <c r="CS848" s="124" t="n"/>
      <c r="CT848" s="124" t="n"/>
      <c r="CU848" s="124" t="n"/>
      <c r="CV848" s="124" t="n"/>
      <c r="CW848" s="124" t="n"/>
      <c r="CX848" s="124" t="n"/>
      <c r="CY848" s="124" t="n"/>
      <c r="CZ848" s="124" t="n"/>
      <c r="DA848" s="124" t="n"/>
      <c r="DB848" s="124" t="n"/>
      <c r="DC848" s="124" t="n"/>
      <c r="DD848" s="124" t="n"/>
      <c r="DE848" s="124" t="n"/>
      <c r="DF848" s="124" t="n"/>
      <c r="DG848" s="124" t="n"/>
      <c r="DH848" s="124" t="n"/>
      <c r="DI848" s="124" t="n"/>
      <c r="DJ848" s="124" t="n"/>
      <c r="DK848" s="124" t="n"/>
      <c r="DL848" s="124" t="n"/>
      <c r="DM848" s="124" t="n"/>
      <c r="DN848" s="124" t="n"/>
      <c r="DO848" s="124" t="n"/>
      <c r="DP848" s="124" t="n"/>
      <c r="DQ848" s="124" t="n"/>
      <c r="DR848" s="124" t="n"/>
      <c r="DS848" s="124" t="n"/>
      <c r="DT848" s="124" t="n"/>
      <c r="DU848" s="124" t="n"/>
      <c r="DV848" s="124" t="n"/>
      <c r="DW848" s="124" t="n"/>
      <c r="DX848" s="124" t="n"/>
      <c r="DY848" s="124" t="n"/>
      <c r="DZ848" s="124" t="n"/>
      <c r="EA848" s="124" t="n"/>
      <c r="EB848" s="124" t="n"/>
      <c r="EC848" s="124" t="n"/>
      <c r="ED848" s="124" t="n"/>
      <c r="EE848" s="124" t="n"/>
      <c r="EF848" s="124" t="n"/>
      <c r="EG848" s="124" t="n"/>
      <c r="EH848" s="124" t="n"/>
      <c r="EI848" s="124" t="n"/>
      <c r="EJ848" s="124" t="n"/>
      <c r="EK848" s="124" t="n"/>
      <c r="EL848" s="124" t="n"/>
      <c r="EM848" s="124" t="n"/>
      <c r="EN848" s="124" t="n"/>
      <c r="EO848" s="124" t="n"/>
      <c r="EP848" s="124" t="n"/>
      <c r="EQ848" s="124" t="n"/>
      <c r="ER848" s="124" t="n"/>
      <c r="ES848" s="124" t="n"/>
      <c r="ET848" s="124" t="n"/>
      <c r="EU848" s="124" t="n"/>
      <c r="EV848" s="124" t="n"/>
      <c r="EW848" s="124" t="n"/>
      <c r="EX848" s="124" t="n"/>
      <c r="EY848" s="124" t="n"/>
      <c r="EZ848" s="124" t="n"/>
      <c r="FA848" s="124" t="n"/>
      <c r="FB848" s="124" t="n"/>
      <c r="FC848" s="124" t="n"/>
      <c r="FD848" s="124" t="n"/>
      <c r="FE848" s="124" t="n"/>
      <c r="FF848" s="124" t="n"/>
      <c r="FG848" s="124" t="n"/>
      <c r="FH848" s="124" t="n"/>
      <c r="FI848" s="124" t="n"/>
      <c r="FJ848" s="124" t="n"/>
      <c r="FK848" s="124" t="n"/>
      <c r="FL848" s="124" t="n"/>
      <c r="FM848" s="124" t="n"/>
      <c r="FN848" s="124" t="n"/>
      <c r="FO848" s="124" t="n"/>
      <c r="FP848" s="124" t="n"/>
      <c r="FQ848" s="124" t="n"/>
      <c r="FR848" s="124" t="n"/>
      <c r="FS848" s="124" t="n"/>
      <c r="FT848" s="124" t="n"/>
      <c r="FU848" s="124" t="n"/>
      <c r="FV848" s="124" t="n"/>
      <c r="FW848" s="124" t="n"/>
      <c r="FX848" s="124" t="n"/>
      <c r="FY848" s="124" t="n"/>
      <c r="FZ848" s="124" t="n"/>
      <c r="GA848" s="124" t="n"/>
      <c r="GB848" s="124" t="n"/>
      <c r="GC848" s="124" t="n"/>
      <c r="GD848" s="124" t="n"/>
      <c r="GE848" s="124" t="n"/>
      <c r="GF848" s="124" t="n"/>
      <c r="GG848" s="124" t="n"/>
      <c r="GH848" s="124" t="n"/>
      <c r="GI848" s="124" t="n"/>
      <c r="GJ848" s="124" t="n"/>
      <c r="GK848" s="124" t="n"/>
      <c r="GL848" s="124" t="n"/>
      <c r="GM848" s="124" t="n"/>
      <c r="GN848" s="124" t="n"/>
      <c r="GO848" s="124" t="n"/>
      <c r="GP848" s="124" t="n"/>
      <c r="GQ848" s="124" t="n"/>
      <c r="GR848" s="124" t="n"/>
      <c r="GS848" s="124" t="n"/>
      <c r="GT848" s="124" t="n"/>
      <c r="GU848" s="124" t="n"/>
      <c r="GV848" s="124" t="n"/>
      <c r="GW848" s="124" t="n"/>
      <c r="GX848" s="124" t="n"/>
      <c r="GY848" s="124" t="n"/>
      <c r="GZ848" s="124" t="n"/>
      <c r="HA848" s="124" t="n"/>
      <c r="HB848" s="124" t="n"/>
      <c r="HC848" s="124" t="n"/>
      <c r="HD848" s="124" t="n"/>
      <c r="HE848" s="124" t="n"/>
      <c r="HF848" s="124" t="n"/>
      <c r="HG848" s="124" t="n"/>
      <c r="HH848" s="124" t="n"/>
      <c r="HI848" s="124" t="n"/>
      <c r="HJ848" s="124" t="n"/>
      <c r="HK848" s="124" t="n"/>
      <c r="HL848" s="124" t="n"/>
    </row>
    <row r="849" customFormat="1" s="3">
      <c r="A849" s="33" t="n"/>
      <c r="B849" s="34" t="n"/>
      <c r="C849" s="38" t="inlineStr">
        <is>
          <t>Контейнер для ТБО"Евро"</t>
        </is>
      </c>
      <c r="D849" s="36" t="inlineStr">
        <is>
          <t>шт</t>
        </is>
      </c>
      <c r="E849" s="123" t="n">
        <v>1</v>
      </c>
      <c r="F849" s="124" t="n"/>
      <c r="G849" s="124" t="n"/>
      <c r="H849" s="124" t="n"/>
      <c r="I849" s="124" t="n"/>
      <c r="J849" s="124" t="n"/>
      <c r="K849" s="124" t="n"/>
      <c r="L849" s="124" t="n"/>
      <c r="M849" s="124" t="n"/>
      <c r="N849" s="124" t="n"/>
      <c r="O849" s="124" t="n"/>
      <c r="P849" s="124" t="n"/>
      <c r="Q849" s="124" t="n"/>
      <c r="R849" s="124" t="n"/>
      <c r="S849" s="124" t="n"/>
      <c r="T849" s="124" t="n"/>
      <c r="U849" s="124" t="n"/>
      <c r="V849" s="124" t="n"/>
      <c r="W849" s="124" t="n"/>
      <c r="X849" s="124" t="n"/>
      <c r="Y849" s="124" t="n"/>
      <c r="Z849" s="124" t="n"/>
      <c r="AA849" s="124" t="n"/>
      <c r="AB849" s="124" t="n"/>
      <c r="AC849" s="124" t="n"/>
      <c r="AD849" s="124" t="n"/>
      <c r="AE849" s="124" t="n"/>
      <c r="AF849" s="124" t="n"/>
      <c r="AG849" s="124" t="n"/>
      <c r="AH849" s="124" t="n"/>
      <c r="AI849" s="124" t="n"/>
      <c r="AJ849" s="124" t="n"/>
      <c r="AK849" s="124" t="n"/>
      <c r="AL849" s="124" t="n"/>
      <c r="AM849" s="124" t="n"/>
      <c r="AN849" s="124" t="n"/>
      <c r="AO849" s="124" t="n"/>
      <c r="AP849" s="124" t="n"/>
      <c r="AQ849" s="124" t="n"/>
      <c r="AR849" s="124" t="n"/>
      <c r="AS849" s="124" t="n"/>
      <c r="AT849" s="124" t="n"/>
      <c r="AU849" s="124" t="n"/>
      <c r="AV849" s="124" t="n"/>
      <c r="AW849" s="124" t="n"/>
      <c r="AX849" s="124" t="n"/>
      <c r="AY849" s="124" t="n"/>
      <c r="AZ849" s="124" t="n"/>
      <c r="BA849" s="124" t="n"/>
      <c r="BB849" s="124" t="n"/>
      <c r="BC849" s="124" t="n"/>
      <c r="BD849" s="124" t="n"/>
      <c r="BE849" s="124" t="n"/>
      <c r="BF849" s="124" t="n"/>
      <c r="BG849" s="124" t="n"/>
      <c r="BH849" s="124" t="n"/>
      <c r="BI849" s="124" t="n"/>
      <c r="BJ849" s="124" t="n"/>
      <c r="BK849" s="124" t="n"/>
      <c r="BL849" s="124" t="n"/>
      <c r="BM849" s="124" t="n"/>
      <c r="BN849" s="124" t="n"/>
      <c r="BO849" s="124" t="n"/>
      <c r="BP849" s="124" t="n"/>
      <c r="BQ849" s="124" t="n"/>
      <c r="BR849" s="124" t="n"/>
      <c r="BS849" s="124" t="n"/>
      <c r="BT849" s="124" t="n"/>
      <c r="BU849" s="124" t="n"/>
      <c r="BV849" s="124" t="n"/>
      <c r="BW849" s="124" t="n"/>
      <c r="BX849" s="124" t="n"/>
      <c r="BY849" s="124" t="n"/>
      <c r="BZ849" s="124" t="n"/>
      <c r="CA849" s="124" t="n"/>
      <c r="CB849" s="124" t="n"/>
      <c r="CC849" s="124" t="n"/>
      <c r="CD849" s="124" t="n"/>
      <c r="CE849" s="124" t="n"/>
      <c r="CF849" s="124" t="n"/>
      <c r="CG849" s="124" t="n"/>
      <c r="CH849" s="124" t="n"/>
      <c r="CI849" s="124" t="n"/>
      <c r="CJ849" s="124" t="n"/>
      <c r="CK849" s="124" t="n"/>
      <c r="CL849" s="124" t="n"/>
      <c r="CM849" s="124" t="n"/>
      <c r="CN849" s="124" t="n"/>
      <c r="CO849" s="124" t="n"/>
      <c r="CP849" s="124" t="n"/>
      <c r="CQ849" s="124" t="n"/>
      <c r="CR849" s="124" t="n"/>
      <c r="CS849" s="124" t="n"/>
      <c r="CT849" s="124" t="n"/>
      <c r="CU849" s="124" t="n"/>
      <c r="CV849" s="124" t="n"/>
      <c r="CW849" s="124" t="n"/>
      <c r="CX849" s="124" t="n"/>
      <c r="CY849" s="124" t="n"/>
      <c r="CZ849" s="124" t="n"/>
      <c r="DA849" s="124" t="n"/>
      <c r="DB849" s="124" t="n"/>
      <c r="DC849" s="124" t="n"/>
      <c r="DD849" s="124" t="n"/>
      <c r="DE849" s="124" t="n"/>
      <c r="DF849" s="124" t="n"/>
      <c r="DG849" s="124" t="n"/>
      <c r="DH849" s="124" t="n"/>
      <c r="DI849" s="124" t="n"/>
      <c r="DJ849" s="124" t="n"/>
      <c r="DK849" s="124" t="n"/>
      <c r="DL849" s="124" t="n"/>
      <c r="DM849" s="124" t="n"/>
      <c r="DN849" s="124" t="n"/>
      <c r="DO849" s="124" t="n"/>
      <c r="DP849" s="124" t="n"/>
      <c r="DQ849" s="124" t="n"/>
      <c r="DR849" s="124" t="n"/>
      <c r="DS849" s="124" t="n"/>
      <c r="DT849" s="124" t="n"/>
      <c r="DU849" s="124" t="n"/>
      <c r="DV849" s="124" t="n"/>
      <c r="DW849" s="124" t="n"/>
      <c r="DX849" s="124" t="n"/>
      <c r="DY849" s="124" t="n"/>
      <c r="DZ849" s="124" t="n"/>
      <c r="EA849" s="124" t="n"/>
      <c r="EB849" s="124" t="n"/>
      <c r="EC849" s="124" t="n"/>
      <c r="ED849" s="124" t="n"/>
      <c r="EE849" s="124" t="n"/>
      <c r="EF849" s="124" t="n"/>
      <c r="EG849" s="124" t="n"/>
      <c r="EH849" s="124" t="n"/>
      <c r="EI849" s="124" t="n"/>
      <c r="EJ849" s="124" t="n"/>
      <c r="EK849" s="124" t="n"/>
      <c r="EL849" s="124" t="n"/>
      <c r="EM849" s="124" t="n"/>
      <c r="EN849" s="124" t="n"/>
      <c r="EO849" s="124" t="n"/>
      <c r="EP849" s="124" t="n"/>
      <c r="EQ849" s="124" t="n"/>
      <c r="ER849" s="124" t="n"/>
      <c r="ES849" s="124" t="n"/>
      <c r="ET849" s="124" t="n"/>
      <c r="EU849" s="124" t="n"/>
      <c r="EV849" s="124" t="n"/>
      <c r="EW849" s="124" t="n"/>
      <c r="EX849" s="124" t="n"/>
      <c r="EY849" s="124" t="n"/>
      <c r="EZ849" s="124" t="n"/>
      <c r="FA849" s="124" t="n"/>
      <c r="FB849" s="124" t="n"/>
      <c r="FC849" s="124" t="n"/>
      <c r="FD849" s="124" t="n"/>
      <c r="FE849" s="124" t="n"/>
      <c r="FF849" s="124" t="n"/>
      <c r="FG849" s="124" t="n"/>
      <c r="FH849" s="124" t="n"/>
      <c r="FI849" s="124" t="n"/>
      <c r="FJ849" s="124" t="n"/>
      <c r="FK849" s="124" t="n"/>
      <c r="FL849" s="124" t="n"/>
      <c r="FM849" s="124" t="n"/>
      <c r="FN849" s="124" t="n"/>
      <c r="FO849" s="124" t="n"/>
      <c r="FP849" s="124" t="n"/>
      <c r="FQ849" s="124" t="n"/>
      <c r="FR849" s="124" t="n"/>
      <c r="FS849" s="124" t="n"/>
      <c r="FT849" s="124" t="n"/>
      <c r="FU849" s="124" t="n"/>
      <c r="FV849" s="124" t="n"/>
      <c r="FW849" s="124" t="n"/>
      <c r="FX849" s="124" t="n"/>
      <c r="FY849" s="124" t="n"/>
      <c r="FZ849" s="124" t="n"/>
      <c r="GA849" s="124" t="n"/>
      <c r="GB849" s="124" t="n"/>
      <c r="GC849" s="124" t="n"/>
      <c r="GD849" s="124" t="n"/>
      <c r="GE849" s="124" t="n"/>
      <c r="GF849" s="124" t="n"/>
      <c r="GG849" s="124" t="n"/>
      <c r="GH849" s="124" t="n"/>
      <c r="GI849" s="124" t="n"/>
      <c r="GJ849" s="124" t="n"/>
      <c r="GK849" s="124" t="n"/>
      <c r="GL849" s="124" t="n"/>
      <c r="GM849" s="124" t="n"/>
      <c r="GN849" s="124" t="n"/>
      <c r="GO849" s="124" t="n"/>
      <c r="GP849" s="124" t="n"/>
      <c r="GQ849" s="124" t="n"/>
      <c r="GR849" s="124" t="n"/>
      <c r="GS849" s="124" t="n"/>
      <c r="GT849" s="124" t="n"/>
      <c r="GU849" s="124" t="n"/>
      <c r="GV849" s="124" t="n"/>
      <c r="GW849" s="124" t="n"/>
      <c r="GX849" s="124" t="n"/>
      <c r="GY849" s="124" t="n"/>
      <c r="GZ849" s="124" t="n"/>
      <c r="HA849" s="124" t="n"/>
      <c r="HB849" s="124" t="n"/>
      <c r="HC849" s="124" t="n"/>
      <c r="HD849" s="124" t="n"/>
      <c r="HE849" s="124" t="n"/>
      <c r="HF849" s="124" t="n"/>
      <c r="HG849" s="124" t="n"/>
      <c r="HH849" s="124" t="n"/>
      <c r="HI849" s="124" t="n"/>
      <c r="HJ849" s="124" t="n"/>
      <c r="HK849" s="124" t="n"/>
      <c r="HL849" s="124" t="n"/>
    </row>
    <row r="850" customFormat="1" s="3">
      <c r="A850" s="33" t="n"/>
      <c r="B850" s="34" t="n"/>
      <c r="C850" s="108" t="inlineStr">
        <is>
          <t>Противопожарный щит в комплекте</t>
        </is>
      </c>
      <c r="D850" s="36" t="inlineStr">
        <is>
          <t>шт</t>
        </is>
      </c>
      <c r="E850" s="123" t="n">
        <v>2</v>
      </c>
      <c r="F850" s="124" t="n"/>
      <c r="G850" s="124" t="n"/>
      <c r="H850" s="124" t="n"/>
      <c r="I850" s="124" t="n"/>
      <c r="J850" s="124" t="n"/>
      <c r="K850" s="124" t="n"/>
      <c r="L850" s="124" t="n"/>
      <c r="M850" s="124" t="n"/>
      <c r="N850" s="124" t="n"/>
      <c r="O850" s="124" t="n"/>
      <c r="P850" s="124" t="n"/>
      <c r="Q850" s="124" t="n"/>
      <c r="R850" s="124" t="n"/>
      <c r="S850" s="124" t="n"/>
      <c r="T850" s="124" t="n"/>
      <c r="U850" s="124" t="n"/>
      <c r="V850" s="124" t="n"/>
      <c r="W850" s="124" t="n"/>
      <c r="X850" s="124" t="n"/>
      <c r="Y850" s="124" t="n"/>
      <c r="Z850" s="124" t="n"/>
      <c r="AA850" s="124" t="n"/>
      <c r="AB850" s="124" t="n"/>
      <c r="AC850" s="124" t="n"/>
      <c r="AD850" s="124" t="n"/>
      <c r="AE850" s="124" t="n"/>
      <c r="AF850" s="124" t="n"/>
      <c r="AG850" s="124" t="n"/>
      <c r="AH850" s="124" t="n"/>
      <c r="AI850" s="124" t="n"/>
      <c r="AJ850" s="124" t="n"/>
      <c r="AK850" s="124" t="n"/>
      <c r="AL850" s="124" t="n"/>
      <c r="AM850" s="124" t="n"/>
      <c r="AN850" s="124" t="n"/>
      <c r="AO850" s="124" t="n"/>
      <c r="AP850" s="124" t="n"/>
      <c r="AQ850" s="124" t="n"/>
      <c r="AR850" s="124" t="n"/>
      <c r="AS850" s="124" t="n"/>
      <c r="AT850" s="124" t="n"/>
      <c r="AU850" s="124" t="n"/>
      <c r="AV850" s="124" t="n"/>
      <c r="AW850" s="124" t="n"/>
      <c r="AX850" s="124" t="n"/>
      <c r="AY850" s="124" t="n"/>
      <c r="AZ850" s="124" t="n"/>
      <c r="BA850" s="124" t="n"/>
      <c r="BB850" s="124" t="n"/>
      <c r="BC850" s="124" t="n"/>
      <c r="BD850" s="124" t="n"/>
      <c r="BE850" s="124" t="n"/>
      <c r="BF850" s="124" t="n"/>
      <c r="BG850" s="124" t="n"/>
      <c r="BH850" s="124" t="n"/>
      <c r="BI850" s="124" t="n"/>
      <c r="BJ850" s="124" t="n"/>
      <c r="BK850" s="124" t="n"/>
      <c r="BL850" s="124" t="n"/>
      <c r="BM850" s="124" t="n"/>
      <c r="BN850" s="124" t="n"/>
      <c r="BO850" s="124" t="n"/>
      <c r="BP850" s="124" t="n"/>
      <c r="BQ850" s="124" t="n"/>
      <c r="BR850" s="124" t="n"/>
      <c r="BS850" s="124" t="n"/>
      <c r="BT850" s="124" t="n"/>
      <c r="BU850" s="124" t="n"/>
      <c r="BV850" s="124" t="n"/>
      <c r="BW850" s="124" t="n"/>
      <c r="BX850" s="124" t="n"/>
      <c r="BY850" s="124" t="n"/>
      <c r="BZ850" s="124" t="n"/>
      <c r="CA850" s="124" t="n"/>
      <c r="CB850" s="124" t="n"/>
      <c r="CC850" s="124" t="n"/>
      <c r="CD850" s="124" t="n"/>
      <c r="CE850" s="124" t="n"/>
      <c r="CF850" s="124" t="n"/>
      <c r="CG850" s="124" t="n"/>
      <c r="CH850" s="124" t="n"/>
      <c r="CI850" s="124" t="n"/>
      <c r="CJ850" s="124" t="n"/>
      <c r="CK850" s="124" t="n"/>
      <c r="CL850" s="124" t="n"/>
      <c r="CM850" s="124" t="n"/>
      <c r="CN850" s="124" t="n"/>
      <c r="CO850" s="124" t="n"/>
      <c r="CP850" s="124" t="n"/>
      <c r="CQ850" s="124" t="n"/>
      <c r="CR850" s="124" t="n"/>
      <c r="CS850" s="124" t="n"/>
      <c r="CT850" s="124" t="n"/>
      <c r="CU850" s="124" t="n"/>
      <c r="CV850" s="124" t="n"/>
      <c r="CW850" s="124" t="n"/>
      <c r="CX850" s="124" t="n"/>
      <c r="CY850" s="124" t="n"/>
      <c r="CZ850" s="124" t="n"/>
      <c r="DA850" s="124" t="n"/>
      <c r="DB850" s="124" t="n"/>
      <c r="DC850" s="124" t="n"/>
      <c r="DD850" s="124" t="n"/>
      <c r="DE850" s="124" t="n"/>
      <c r="DF850" s="124" t="n"/>
      <c r="DG850" s="124" t="n"/>
      <c r="DH850" s="124" t="n"/>
      <c r="DI850" s="124" t="n"/>
      <c r="DJ850" s="124" t="n"/>
      <c r="DK850" s="124" t="n"/>
      <c r="DL850" s="124" t="n"/>
      <c r="DM850" s="124" t="n"/>
      <c r="DN850" s="124" t="n"/>
      <c r="DO850" s="124" t="n"/>
      <c r="DP850" s="124" t="n"/>
      <c r="DQ850" s="124" t="n"/>
      <c r="DR850" s="124" t="n"/>
      <c r="DS850" s="124" t="n"/>
      <c r="DT850" s="124" t="n"/>
      <c r="DU850" s="124" t="n"/>
      <c r="DV850" s="124" t="n"/>
      <c r="DW850" s="124" t="n"/>
      <c r="DX850" s="124" t="n"/>
      <c r="DY850" s="124" t="n"/>
      <c r="DZ850" s="124" t="n"/>
      <c r="EA850" s="124" t="n"/>
      <c r="EB850" s="124" t="n"/>
      <c r="EC850" s="124" t="n"/>
      <c r="ED850" s="124" t="n"/>
      <c r="EE850" s="124" t="n"/>
      <c r="EF850" s="124" t="n"/>
      <c r="EG850" s="124" t="n"/>
      <c r="EH850" s="124" t="n"/>
      <c r="EI850" s="124" t="n"/>
      <c r="EJ850" s="124" t="n"/>
      <c r="EK850" s="124" t="n"/>
      <c r="EL850" s="124" t="n"/>
      <c r="EM850" s="124" t="n"/>
      <c r="EN850" s="124" t="n"/>
      <c r="EO850" s="124" t="n"/>
      <c r="EP850" s="124" t="n"/>
      <c r="EQ850" s="124" t="n"/>
      <c r="ER850" s="124" t="n"/>
      <c r="ES850" s="124" t="n"/>
      <c r="ET850" s="124" t="n"/>
      <c r="EU850" s="124" t="n"/>
      <c r="EV850" s="124" t="n"/>
      <c r="EW850" s="124" t="n"/>
      <c r="EX850" s="124" t="n"/>
      <c r="EY850" s="124" t="n"/>
      <c r="EZ850" s="124" t="n"/>
      <c r="FA850" s="124" t="n"/>
      <c r="FB850" s="124" t="n"/>
      <c r="FC850" s="124" t="n"/>
      <c r="FD850" s="124" t="n"/>
      <c r="FE850" s="124" t="n"/>
      <c r="FF850" s="124" t="n"/>
      <c r="FG850" s="124" t="n"/>
      <c r="FH850" s="124" t="n"/>
      <c r="FI850" s="124" t="n"/>
      <c r="FJ850" s="124" t="n"/>
      <c r="FK850" s="124" t="n"/>
      <c r="FL850" s="124" t="n"/>
      <c r="FM850" s="124" t="n"/>
      <c r="FN850" s="124" t="n"/>
      <c r="FO850" s="124" t="n"/>
      <c r="FP850" s="124" t="n"/>
      <c r="FQ850" s="124" t="n"/>
      <c r="FR850" s="124" t="n"/>
      <c r="FS850" s="124" t="n"/>
      <c r="FT850" s="124" t="n"/>
      <c r="FU850" s="124" t="n"/>
      <c r="FV850" s="124" t="n"/>
      <c r="FW850" s="124" t="n"/>
      <c r="FX850" s="124" t="n"/>
      <c r="FY850" s="124" t="n"/>
      <c r="FZ850" s="124" t="n"/>
      <c r="GA850" s="124" t="n"/>
      <c r="GB850" s="124" t="n"/>
      <c r="GC850" s="124" t="n"/>
      <c r="GD850" s="124" t="n"/>
      <c r="GE850" s="124" t="n"/>
      <c r="GF850" s="124" t="n"/>
      <c r="GG850" s="124" t="n"/>
      <c r="GH850" s="124" t="n"/>
      <c r="GI850" s="124" t="n"/>
      <c r="GJ850" s="124" t="n"/>
      <c r="GK850" s="124" t="n"/>
      <c r="GL850" s="124" t="n"/>
      <c r="GM850" s="124" t="n"/>
      <c r="GN850" s="124" t="n"/>
      <c r="GO850" s="124" t="n"/>
      <c r="GP850" s="124" t="n"/>
      <c r="GQ850" s="124" t="n"/>
      <c r="GR850" s="124" t="n"/>
      <c r="GS850" s="124" t="n"/>
      <c r="GT850" s="124" t="n"/>
      <c r="GU850" s="124" t="n"/>
      <c r="GV850" s="124" t="n"/>
      <c r="GW850" s="124" t="n"/>
      <c r="GX850" s="124" t="n"/>
      <c r="GY850" s="124" t="n"/>
      <c r="GZ850" s="124" t="n"/>
      <c r="HA850" s="124" t="n"/>
      <c r="HB850" s="124" t="n"/>
      <c r="HC850" s="124" t="n"/>
      <c r="HD850" s="124" t="n"/>
      <c r="HE850" s="124" t="n"/>
      <c r="HF850" s="124" t="n"/>
      <c r="HG850" s="124" t="n"/>
      <c r="HH850" s="124" t="n"/>
      <c r="HI850" s="124" t="n"/>
      <c r="HJ850" s="124" t="n"/>
      <c r="HK850" s="124" t="n"/>
      <c r="HL850" s="124" t="n"/>
    </row>
    <row r="851" customFormat="1" s="3">
      <c r="A851" s="33" t="n"/>
      <c r="B851" s="34" t="n"/>
      <c r="C851" s="108" t="inlineStr">
        <is>
          <t>Монтаж забора (15,73т, 65,2м3 фунд)</t>
        </is>
      </c>
      <c r="D851" s="36" t="inlineStr">
        <is>
          <t>м/п</t>
        </is>
      </c>
      <c r="E851" s="123" t="n">
        <v>420</v>
      </c>
      <c r="F851" s="124" t="n"/>
      <c r="G851" s="124" t="n"/>
      <c r="H851" s="124" t="n"/>
      <c r="I851" s="124" t="n"/>
      <c r="J851" s="124" t="n"/>
      <c r="K851" s="124" t="n"/>
      <c r="L851" s="124" t="n"/>
      <c r="M851" s="124" t="n"/>
      <c r="N851" s="124" t="n"/>
      <c r="O851" s="124" t="n"/>
      <c r="P851" s="124" t="n"/>
      <c r="Q851" s="124" t="n"/>
      <c r="R851" s="124" t="n"/>
      <c r="S851" s="124" t="n"/>
      <c r="T851" s="124" t="n"/>
      <c r="U851" s="124" t="n"/>
      <c r="V851" s="124" t="n"/>
      <c r="W851" s="124" t="n"/>
      <c r="X851" s="124" t="n"/>
      <c r="Y851" s="124" t="n"/>
      <c r="Z851" s="124" t="n"/>
      <c r="AA851" s="124" t="n"/>
      <c r="AB851" s="124" t="n"/>
      <c r="AC851" s="124" t="n"/>
      <c r="AD851" s="124" t="n"/>
      <c r="AE851" s="124" t="n"/>
      <c r="AF851" s="124" t="n"/>
      <c r="AG851" s="124" t="n"/>
      <c r="AH851" s="124" t="n"/>
      <c r="AI851" s="124" t="n"/>
      <c r="AJ851" s="124" t="n"/>
      <c r="AK851" s="124" t="n"/>
      <c r="AL851" s="124" t="n"/>
      <c r="AM851" s="124" t="n"/>
      <c r="AN851" s="124" t="n"/>
      <c r="AO851" s="124" t="n"/>
      <c r="AP851" s="124" t="n"/>
      <c r="AQ851" s="124" t="n"/>
      <c r="AR851" s="124" t="n"/>
      <c r="AS851" s="124" t="n"/>
      <c r="AT851" s="124" t="n"/>
      <c r="AU851" s="124" t="n"/>
      <c r="AV851" s="124" t="n"/>
      <c r="AW851" s="124" t="n"/>
      <c r="AX851" s="124" t="n"/>
      <c r="AY851" s="124" t="n"/>
      <c r="AZ851" s="124" t="n"/>
      <c r="BA851" s="124" t="n"/>
      <c r="BB851" s="124" t="n"/>
      <c r="BC851" s="124" t="n"/>
      <c r="BD851" s="124" t="n"/>
      <c r="BE851" s="124" t="n"/>
      <c r="BF851" s="124" t="n"/>
      <c r="BG851" s="124" t="n"/>
      <c r="BH851" s="124" t="n"/>
      <c r="BI851" s="124" t="n"/>
      <c r="BJ851" s="124" t="n"/>
      <c r="BK851" s="124" t="n"/>
      <c r="BL851" s="124" t="n"/>
      <c r="BM851" s="124" t="n"/>
      <c r="BN851" s="124" t="n"/>
      <c r="BO851" s="124" t="n"/>
      <c r="BP851" s="124" t="n"/>
      <c r="BQ851" s="124" t="n"/>
      <c r="BR851" s="124" t="n"/>
      <c r="BS851" s="124" t="n"/>
      <c r="BT851" s="124" t="n"/>
      <c r="BU851" s="124" t="n"/>
      <c r="BV851" s="124" t="n"/>
      <c r="BW851" s="124" t="n"/>
      <c r="BX851" s="124" t="n"/>
      <c r="BY851" s="124" t="n"/>
      <c r="BZ851" s="124" t="n"/>
      <c r="CA851" s="124" t="n"/>
      <c r="CB851" s="124" t="n"/>
      <c r="CC851" s="124" t="n"/>
      <c r="CD851" s="124" t="n"/>
      <c r="CE851" s="124" t="n"/>
      <c r="CF851" s="124" t="n"/>
      <c r="CG851" s="124" t="n"/>
      <c r="CH851" s="124" t="n"/>
      <c r="CI851" s="124" t="n"/>
      <c r="CJ851" s="124" t="n"/>
      <c r="CK851" s="124" t="n"/>
      <c r="CL851" s="124" t="n"/>
      <c r="CM851" s="124" t="n"/>
      <c r="CN851" s="124" t="n"/>
      <c r="CO851" s="124" t="n"/>
      <c r="CP851" s="124" t="n"/>
      <c r="CQ851" s="124" t="n"/>
      <c r="CR851" s="124" t="n"/>
      <c r="CS851" s="124" t="n"/>
      <c r="CT851" s="124" t="n"/>
      <c r="CU851" s="124" t="n"/>
      <c r="CV851" s="124" t="n"/>
      <c r="CW851" s="124" t="n"/>
      <c r="CX851" s="124" t="n"/>
      <c r="CY851" s="124" t="n"/>
      <c r="CZ851" s="124" t="n"/>
      <c r="DA851" s="124" t="n"/>
      <c r="DB851" s="124" t="n"/>
      <c r="DC851" s="124" t="n"/>
      <c r="DD851" s="124" t="n"/>
      <c r="DE851" s="124" t="n"/>
      <c r="DF851" s="124" t="n"/>
      <c r="DG851" s="124" t="n"/>
      <c r="DH851" s="124" t="n"/>
      <c r="DI851" s="124" t="n"/>
      <c r="DJ851" s="124" t="n"/>
      <c r="DK851" s="124" t="n"/>
      <c r="DL851" s="124" t="n"/>
      <c r="DM851" s="124" t="n"/>
      <c r="DN851" s="124" t="n"/>
      <c r="DO851" s="124" t="n"/>
      <c r="DP851" s="124" t="n"/>
      <c r="DQ851" s="124" t="n"/>
      <c r="DR851" s="124" t="n"/>
      <c r="DS851" s="124" t="n"/>
      <c r="DT851" s="124" t="n"/>
      <c r="DU851" s="124" t="n"/>
      <c r="DV851" s="124" t="n"/>
      <c r="DW851" s="124" t="n"/>
      <c r="DX851" s="124" t="n"/>
      <c r="DY851" s="124" t="n"/>
      <c r="DZ851" s="124" t="n"/>
      <c r="EA851" s="124" t="n"/>
      <c r="EB851" s="124" t="n"/>
      <c r="EC851" s="124" t="n"/>
      <c r="ED851" s="124" t="n"/>
      <c r="EE851" s="124" t="n"/>
      <c r="EF851" s="124" t="n"/>
      <c r="EG851" s="124" t="n"/>
      <c r="EH851" s="124" t="n"/>
      <c r="EI851" s="124" t="n"/>
      <c r="EJ851" s="124" t="n"/>
      <c r="EK851" s="124" t="n"/>
      <c r="EL851" s="124" t="n"/>
      <c r="EM851" s="124" t="n"/>
      <c r="EN851" s="124" t="n"/>
      <c r="EO851" s="124" t="n"/>
      <c r="EP851" s="124" t="n"/>
      <c r="EQ851" s="124" t="n"/>
      <c r="ER851" s="124" t="n"/>
      <c r="ES851" s="124" t="n"/>
      <c r="ET851" s="124" t="n"/>
      <c r="EU851" s="124" t="n"/>
      <c r="EV851" s="124" t="n"/>
      <c r="EW851" s="124" t="n"/>
      <c r="EX851" s="124" t="n"/>
      <c r="EY851" s="124" t="n"/>
      <c r="EZ851" s="124" t="n"/>
      <c r="FA851" s="124" t="n"/>
      <c r="FB851" s="124" t="n"/>
      <c r="FC851" s="124" t="n"/>
      <c r="FD851" s="124" t="n"/>
      <c r="FE851" s="124" t="n"/>
      <c r="FF851" s="124" t="n"/>
      <c r="FG851" s="124" t="n"/>
      <c r="FH851" s="124" t="n"/>
      <c r="FI851" s="124" t="n"/>
      <c r="FJ851" s="124" t="n"/>
      <c r="FK851" s="124" t="n"/>
      <c r="FL851" s="124" t="n"/>
      <c r="FM851" s="124" t="n"/>
      <c r="FN851" s="124" t="n"/>
      <c r="FO851" s="124" t="n"/>
      <c r="FP851" s="124" t="n"/>
      <c r="FQ851" s="124" t="n"/>
      <c r="FR851" s="124" t="n"/>
      <c r="FS851" s="124" t="n"/>
      <c r="FT851" s="124" t="n"/>
      <c r="FU851" s="124" t="n"/>
      <c r="FV851" s="124" t="n"/>
      <c r="FW851" s="124" t="n"/>
      <c r="FX851" s="124" t="n"/>
      <c r="FY851" s="124" t="n"/>
      <c r="FZ851" s="124" t="n"/>
      <c r="GA851" s="124" t="n"/>
      <c r="GB851" s="124" t="n"/>
      <c r="GC851" s="124" t="n"/>
      <c r="GD851" s="124" t="n"/>
      <c r="GE851" s="124" t="n"/>
      <c r="GF851" s="124" t="n"/>
      <c r="GG851" s="124" t="n"/>
      <c r="GH851" s="124" t="n"/>
      <c r="GI851" s="124" t="n"/>
      <c r="GJ851" s="124" t="n"/>
      <c r="GK851" s="124" t="n"/>
      <c r="GL851" s="124" t="n"/>
      <c r="GM851" s="124" t="n"/>
      <c r="GN851" s="124" t="n"/>
      <c r="GO851" s="124" t="n"/>
      <c r="GP851" s="124" t="n"/>
      <c r="GQ851" s="124" t="n"/>
      <c r="GR851" s="124" t="n"/>
      <c r="GS851" s="124" t="n"/>
      <c r="GT851" s="124" t="n"/>
      <c r="GU851" s="124" t="n"/>
      <c r="GV851" s="124" t="n"/>
      <c r="GW851" s="124" t="n"/>
      <c r="GX851" s="124" t="n"/>
      <c r="GY851" s="124" t="n"/>
      <c r="GZ851" s="124" t="n"/>
      <c r="HA851" s="124" t="n"/>
      <c r="HB851" s="124" t="n"/>
      <c r="HC851" s="124" t="n"/>
      <c r="HD851" s="124" t="n"/>
      <c r="HE851" s="124" t="n"/>
      <c r="HF851" s="124" t="n"/>
      <c r="HG851" s="124" t="n"/>
      <c r="HH851" s="124" t="n"/>
      <c r="HI851" s="124" t="n"/>
      <c r="HJ851" s="124" t="n"/>
      <c r="HK851" s="124" t="n"/>
      <c r="HL851" s="124" t="n"/>
    </row>
    <row r="852" ht="14.4" customHeight="1">
      <c r="A852" s="26" t="inlineStr">
        <is>
          <t>7 этап</t>
        </is>
      </c>
      <c r="B852" s="27" t="n">
        <v>6</v>
      </c>
      <c r="C852" s="134" t="inlineStr">
        <is>
          <t>Демобилизация</t>
        </is>
      </c>
      <c r="D852" s="153" t="n"/>
      <c r="E852" s="153" t="n"/>
    </row>
    <row r="853" ht="21" customFormat="1" customHeight="1" s="17">
      <c r="A853" s="104" t="inlineStr">
        <is>
          <t>7 этап</t>
        </is>
      </c>
      <c r="B853" s="36" t="n"/>
      <c r="C853" s="57" t="inlineStr">
        <is>
          <t>ИТОГО 7 ЭТАП</t>
        </is>
      </c>
      <c r="D853" s="167" t="n"/>
      <c r="E853" s="167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  <c r="AF853" s="16" t="n"/>
      <c r="AG853" s="16" t="n"/>
      <c r="AH853" s="16" t="n"/>
      <c r="AI853" s="16" t="n"/>
      <c r="AJ853" s="16" t="n"/>
      <c r="AK853" s="16" t="n"/>
      <c r="AL853" s="16" t="n"/>
      <c r="AM853" s="16" t="n"/>
      <c r="AN853" s="16" t="n"/>
      <c r="AO853" s="16" t="n"/>
      <c r="AP853" s="16" t="n"/>
      <c r="AQ853" s="16" t="n"/>
      <c r="AR853" s="16" t="n"/>
      <c r="AS853" s="16" t="n"/>
      <c r="AT853" s="16" t="n"/>
      <c r="AU853" s="16" t="n"/>
      <c r="AV853" s="16" t="n"/>
      <c r="AW853" s="16" t="n"/>
      <c r="AX853" s="16" t="n"/>
      <c r="AY853" s="16" t="n"/>
      <c r="AZ853" s="16" t="n"/>
      <c r="BA853" s="16" t="n"/>
      <c r="BB853" s="16" t="n"/>
      <c r="BC853" s="16" t="n"/>
      <c r="BD853" s="16" t="n"/>
      <c r="BE853" s="16" t="n"/>
      <c r="BF853" s="16" t="n"/>
      <c r="BG853" s="16" t="n"/>
      <c r="BH853" s="16" t="n"/>
      <c r="BI853" s="16" t="n"/>
      <c r="BJ853" s="16" t="n"/>
      <c r="BK853" s="16" t="n"/>
      <c r="BL853" s="16" t="n"/>
      <c r="BM853" s="16" t="n"/>
      <c r="BN853" s="16" t="n"/>
      <c r="BO853" s="16" t="n"/>
      <c r="BP853" s="16" t="n"/>
      <c r="BQ853" s="16" t="n"/>
      <c r="BR853" s="16" t="n"/>
      <c r="BS853" s="16" t="n"/>
      <c r="BT853" s="16" t="n"/>
      <c r="BU853" s="16" t="n"/>
      <c r="BV853" s="16" t="n"/>
      <c r="BW853" s="16" t="n"/>
      <c r="BX853" s="16" t="n"/>
      <c r="BY853" s="16" t="n"/>
      <c r="BZ853" s="16" t="n"/>
      <c r="CA853" s="16" t="n"/>
      <c r="CB853" s="16" t="n"/>
      <c r="CC853" s="16" t="n"/>
      <c r="CD853" s="16" t="n"/>
      <c r="CE853" s="16" t="n"/>
      <c r="CF853" s="16" t="n"/>
      <c r="CG853" s="16" t="n"/>
      <c r="CH853" s="16" t="n"/>
      <c r="CI853" s="16" t="n"/>
      <c r="CJ853" s="16" t="n"/>
      <c r="CK853" s="16" t="n"/>
      <c r="CL853" s="16" t="n"/>
      <c r="CM853" s="16" t="n"/>
      <c r="CN853" s="16" t="n"/>
      <c r="CO853" s="16" t="n"/>
      <c r="CP853" s="16" t="n"/>
      <c r="CQ853" s="16" t="n"/>
      <c r="CR853" s="16" t="n"/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  <c r="DC853" s="16" t="n"/>
      <c r="DD853" s="16" t="n"/>
      <c r="DE853" s="16" t="n"/>
      <c r="DF853" s="16" t="n"/>
      <c r="DG853" s="16" t="n"/>
      <c r="DH853" s="16" t="n"/>
      <c r="DI853" s="16" t="n"/>
      <c r="DJ853" s="16" t="n"/>
      <c r="DK853" s="16" t="n"/>
      <c r="DL853" s="16" t="n"/>
      <c r="DM853" s="16" t="n"/>
      <c r="DN853" s="16" t="n"/>
      <c r="DO853" s="16" t="n"/>
      <c r="DP853" s="16" t="n"/>
      <c r="DQ853" s="16" t="n"/>
      <c r="DR853" s="16" t="n"/>
      <c r="DS853" s="16" t="n"/>
      <c r="DT853" s="16" t="n"/>
      <c r="DU853" s="16" t="n"/>
      <c r="DV853" s="16" t="n"/>
      <c r="DW853" s="16" t="n"/>
      <c r="DX853" s="16" t="n"/>
      <c r="DY853" s="16" t="n"/>
      <c r="DZ853" s="16" t="n"/>
      <c r="EA853" s="16" t="n"/>
      <c r="EB853" s="16" t="n"/>
      <c r="EC853" s="16" t="n"/>
      <c r="ED853" s="16" t="n"/>
      <c r="EE853" s="16" t="n"/>
      <c r="EF853" s="16" t="n"/>
      <c r="EG853" s="16" t="n"/>
      <c r="EH853" s="16" t="n"/>
      <c r="EI853" s="16" t="n"/>
      <c r="EJ853" s="16" t="n"/>
      <c r="EK853" s="16" t="n"/>
      <c r="EL853" s="16" t="n"/>
      <c r="EM853" s="16" t="n"/>
      <c r="EN853" s="16" t="n"/>
      <c r="EO853" s="16" t="n"/>
      <c r="EP853" s="16" t="n"/>
      <c r="EQ853" s="16" t="n"/>
      <c r="ER853" s="16" t="n"/>
      <c r="ES853" s="16" t="n"/>
      <c r="ET853" s="16" t="n"/>
      <c r="EU853" s="16" t="n"/>
      <c r="EV853" s="16" t="n"/>
      <c r="EW853" s="16" t="n"/>
      <c r="EX853" s="16" t="n"/>
      <c r="EY853" s="16" t="n"/>
      <c r="EZ853" s="16" t="n"/>
      <c r="FA853" s="16" t="n"/>
      <c r="FB853" s="16" t="n"/>
      <c r="FC853" s="16" t="n"/>
      <c r="FD853" s="16" t="n"/>
      <c r="FE853" s="16" t="n"/>
      <c r="FF853" s="16" t="n"/>
      <c r="FG853" s="16" t="n"/>
      <c r="FH853" s="16" t="n"/>
      <c r="FI853" s="16" t="n"/>
      <c r="FJ853" s="16" t="n"/>
      <c r="FK853" s="16" t="n"/>
      <c r="FL853" s="16" t="n"/>
      <c r="FM853" s="16" t="n"/>
      <c r="FN853" s="16" t="n"/>
      <c r="FO853" s="16" t="n"/>
      <c r="FP853" s="16" t="n"/>
      <c r="FQ853" s="16" t="n"/>
      <c r="FR853" s="16" t="n"/>
      <c r="FS853" s="16" t="n"/>
      <c r="FT853" s="16" t="n"/>
      <c r="FU853" s="16" t="n"/>
      <c r="FV853" s="16" t="n"/>
      <c r="FW853" s="16" t="n"/>
      <c r="FX853" s="16" t="n"/>
      <c r="FY853" s="16" t="n"/>
      <c r="FZ853" s="16" t="n"/>
      <c r="GA853" s="16" t="n"/>
      <c r="GB853" s="16" t="n"/>
      <c r="GC853" s="16" t="n"/>
      <c r="GD853" s="16" t="n"/>
      <c r="GE853" s="16" t="n"/>
      <c r="GF853" s="16" t="n"/>
      <c r="GG853" s="16" t="n"/>
      <c r="GH853" s="16" t="n"/>
      <c r="GI853" s="16" t="n"/>
      <c r="GJ853" s="16" t="n"/>
      <c r="GK853" s="16" t="n"/>
      <c r="GL853" s="16" t="n"/>
      <c r="GM853" s="16" t="n"/>
      <c r="GN853" s="16" t="n"/>
      <c r="GO853" s="16" t="n"/>
      <c r="GP853" s="16" t="n"/>
      <c r="GQ853" s="16" t="n"/>
      <c r="GR853" s="16" t="n"/>
      <c r="GS853" s="16" t="n"/>
      <c r="GT853" s="16" t="n"/>
      <c r="GU853" s="16" t="n"/>
      <c r="GV853" s="16" t="n"/>
      <c r="GW853" s="16" t="n"/>
      <c r="GX853" s="16" t="n"/>
      <c r="GY853" s="16" t="n"/>
      <c r="GZ853" s="16" t="n"/>
      <c r="HA853" s="16" t="n"/>
      <c r="HB853" s="16" t="n"/>
      <c r="HC853" s="16" t="n"/>
      <c r="HD853" s="16" t="n"/>
      <c r="HE853" s="16" t="n"/>
      <c r="HF853" s="16" t="n"/>
      <c r="HG853" s="16" t="n"/>
      <c r="HH853" s="16" t="n"/>
      <c r="HI853" s="16" t="n"/>
      <c r="HJ853" s="16" t="n"/>
      <c r="HK853" s="16" t="n"/>
      <c r="HL853" s="16" t="n"/>
    </row>
    <row r="854">
      <c r="A854" s="33" t="inlineStr">
        <is>
          <t>3 этап</t>
        </is>
      </c>
      <c r="B854" s="34" t="inlineStr">
        <is>
          <t>3.3.2</t>
        </is>
      </c>
      <c r="C854" s="35" t="inlineStr">
        <is>
          <t>Устройство монолитного железобетонного перекрытия здания Общежития</t>
        </is>
      </c>
      <c r="D854" s="36" t="inlineStr">
        <is>
          <t>м3</t>
        </is>
      </c>
      <c r="E854" s="144" t="n">
        <v>208.6</v>
      </c>
      <c r="F854" s="145" t="n">
        <v>80000</v>
      </c>
      <c r="G854" s="145" t="n">
        <v>16688000</v>
      </c>
      <c r="H854" s="10" t="inlineStr">
        <is>
          <t>По аналогу 3.2.2</t>
        </is>
      </c>
    </row>
    <row r="855">
      <c r="A855" s="33" t="inlineStr">
        <is>
          <t>3 этап</t>
        </is>
      </c>
      <c r="B855" s="34" t="inlineStr">
        <is>
          <t>3.3.2.1</t>
        </is>
      </c>
      <c r="C855" s="35" t="inlineStr">
        <is>
          <t>Армирование плиты перекрытия арматурой ø8А500С, отм. +6,590</t>
        </is>
      </c>
      <c r="D855" s="36" t="inlineStr">
        <is>
          <t>кг</t>
        </is>
      </c>
      <c r="E855" s="144" t="n">
        <v>7981.29</v>
      </c>
      <c r="F855" s="145" t="n">
        <v>100</v>
      </c>
      <c r="G855" s="145" t="n">
        <v>798129</v>
      </c>
      <c r="H855" s="10" t="inlineStr">
        <is>
          <t>Экспертная оценка</t>
        </is>
      </c>
    </row>
    <row r="856">
      <c r="A856" s="33" t="inlineStr">
        <is>
          <t>3 этап</t>
        </is>
      </c>
      <c r="B856" s="34" t="inlineStr">
        <is>
          <t>3.3.2.2</t>
        </is>
      </c>
      <c r="C856" s="35" t="inlineStr">
        <is>
          <t>Армирование плиты перекрытия арматурой ø8А500С, отм. +9,930</t>
        </is>
      </c>
      <c r="D856" s="36" t="inlineStr">
        <is>
          <t>кг</t>
        </is>
      </c>
      <c r="E856" s="144" t="n">
        <v>7982.29</v>
      </c>
      <c r="F856" s="145" t="n">
        <v>100</v>
      </c>
      <c r="G856" s="145" t="n">
        <v>798229</v>
      </c>
      <c r="H856" s="10" t="inlineStr">
        <is>
          <t>Экспертная оценка</t>
        </is>
      </c>
    </row>
    <row r="857">
      <c r="A857" s="33" t="inlineStr">
        <is>
          <t>3 этап</t>
        </is>
      </c>
      <c r="B857" s="34" t="inlineStr">
        <is>
          <t>3.3.6</t>
        </is>
      </c>
      <c r="C857" s="35" t="inlineStr">
        <is>
          <t>Устройство монолитного железобетонного перекрытия переходной Галереи</t>
        </is>
      </c>
      <c r="D857" s="36" t="inlineStr">
        <is>
          <t>м3</t>
        </is>
      </c>
      <c r="E857" s="144" t="n">
        <v>2.8</v>
      </c>
      <c r="F857" s="145" t="n">
        <v>80000</v>
      </c>
      <c r="G857" s="145" t="n">
        <v>224000</v>
      </c>
      <c r="H857" s="10" t="inlineStr">
        <is>
          <t>По аналогу 3.2.6</t>
        </is>
      </c>
    </row>
    <row r="858">
      <c r="A858" s="33" t="inlineStr">
        <is>
          <t>7 этап</t>
        </is>
      </c>
      <c r="B858" s="34" t="inlineStr">
        <is>
          <t>7.2.1.1</t>
        </is>
      </c>
      <c r="C858" s="35" t="inlineStr">
        <is>
          <t>Разработка грунта</t>
        </is>
      </c>
      <c r="D858" s="36" t="inlineStr">
        <is>
          <t>м3</t>
        </is>
      </c>
      <c r="E858" s="144" t="n">
        <v>887.7</v>
      </c>
      <c r="F858" s="145" t="n">
        <v>11800</v>
      </c>
      <c r="G858" s="145" t="n">
        <v>10474860</v>
      </c>
      <c r="H858" s="10" t="inlineStr">
        <is>
          <t>По аналогичным земляным работам</t>
        </is>
      </c>
    </row>
  </sheetData>
  <pageMargins left="0.7" right="0.7" top="0.75" bottom="0.75" header="0.3" footer="0.3"/>
  <pageSetup orientation="landscape" paperSize="8" scale="3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2022-10-26T09:31:51Z</dcterms:created>
  <dcterms:modified xmlns:dcterms="http://purl.org/dc/terms/" xmlns:xsi="http://www.w3.org/2001/XMLSchema-instance" xsi:type="dcterms:W3CDTF">2026-07-19T10:18:04Z</dcterms:modified>
  <cp:lastModifiedBy>Громыко Сергей Станиславович</cp:lastModifiedBy>
  <cp:lastPrinted>2026-04-03T12:27:57Z</cp:lastPrinted>
</cp:coreProperties>
</file>