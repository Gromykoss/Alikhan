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congroup-my.sharepoint.com/personal/gromyko_s_ibcon_ru/Documents/Рабочий стол/Киргизия/Сметы/"/>
    </mc:Choice>
  </mc:AlternateContent>
  <xr:revisionPtr revIDLastSave="190" documentId="13_ncr:1_{02539431-D17B-4F8A-A468-5950A4E859A0}" xr6:coauthVersionLast="47" xr6:coauthVersionMax="47" xr10:uidLastSave="{D8935BBC-6AA2-4397-8B19-94F3B6ABC846}"/>
  <bookViews>
    <workbookView xWindow="-108" yWindow="-108" windowWidth="23256" windowHeight="13896" xr2:uid="{00000000-000D-0000-FFFF-FFFF00000000}"/>
  </bookViews>
  <sheets>
    <sheet name="ВОР" sheetId="7" r:id="rId1"/>
  </sheets>
  <definedNames>
    <definedName name="_xlnm.Print_Titles" localSheetId="0">ВОР!#REF!</definedName>
    <definedName name="_xlnm.Print_Area" localSheetId="0">ВОР!$A$1:$E$853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0" i="7" l="1"/>
  <c r="E833" i="7"/>
  <c r="E824" i="7"/>
  <c r="E823" i="7"/>
  <c r="E822" i="7"/>
  <c r="E814" i="7"/>
  <c r="E813" i="7"/>
  <c r="E805" i="7"/>
  <c r="E806" i="7" s="1"/>
  <c r="E800" i="7"/>
  <c r="E798" i="7"/>
  <c r="E747" i="7"/>
  <c r="E590" i="7"/>
  <c r="E589" i="7"/>
  <c r="E585" i="7"/>
  <c r="E584" i="7"/>
  <c r="E583" i="7"/>
  <c r="E575" i="7"/>
  <c r="E571" i="7"/>
  <c r="E570" i="7"/>
  <c r="E569" i="7"/>
  <c r="E568" i="7"/>
  <c r="E567" i="7"/>
  <c r="E564" i="7"/>
  <c r="E563" i="7"/>
  <c r="E562" i="7"/>
  <c r="E561" i="7"/>
  <c r="E559" i="7"/>
  <c r="E555" i="7"/>
  <c r="E554" i="7"/>
  <c r="E553" i="7"/>
  <c r="E552" i="7"/>
  <c r="E551" i="7"/>
  <c r="E550" i="7"/>
  <c r="E547" i="7"/>
  <c r="E546" i="7"/>
  <c r="E545" i="7"/>
  <c r="E544" i="7"/>
  <c r="E543" i="7"/>
  <c r="E542" i="7"/>
  <c r="E541" i="7"/>
  <c r="E540" i="7"/>
  <c r="E539" i="7"/>
  <c r="E531" i="7"/>
  <c r="E529" i="7"/>
  <c r="E527" i="7"/>
  <c r="E526" i="7"/>
  <c r="E525" i="7"/>
  <c r="E524" i="7"/>
  <c r="E523" i="7"/>
  <c r="E522" i="7"/>
  <c r="E520" i="7"/>
  <c r="E519" i="7"/>
  <c r="E518" i="7"/>
  <c r="E517" i="7"/>
  <c r="E516" i="7"/>
  <c r="E515" i="7"/>
  <c r="E514" i="7"/>
  <c r="E509" i="7"/>
  <c r="E508" i="7"/>
  <c r="E507" i="7"/>
  <c r="E506" i="7"/>
  <c r="E505" i="7"/>
  <c r="E504" i="7"/>
  <c r="E503" i="7"/>
  <c r="E502" i="7"/>
  <c r="E501" i="7"/>
  <c r="E499" i="7"/>
  <c r="E498" i="7"/>
  <c r="E496" i="7"/>
  <c r="E493" i="7"/>
  <c r="E492" i="7"/>
  <c r="E565" i="7" l="1"/>
  <c r="E548" i="7"/>
  <c r="E117" i="7" l="1"/>
  <c r="E49" i="7" l="1"/>
</calcChain>
</file>

<file path=xl/sharedStrings.xml><?xml version="1.0" encoding="utf-8"?>
<sst xmlns="http://schemas.openxmlformats.org/spreadsheetml/2006/main" count="3067" uniqueCount="1252">
  <si>
    <t>Наружная теплосеть</t>
  </si>
  <si>
    <t>Наружные сети электроснабжения</t>
  </si>
  <si>
    <t>Благоустройство</t>
  </si>
  <si>
    <t>Ограждающие конструкции</t>
  </si>
  <si>
    <t>4.1</t>
  </si>
  <si>
    <t>4.2</t>
  </si>
  <si>
    <t>4.3</t>
  </si>
  <si>
    <t>4.4</t>
  </si>
  <si>
    <t xml:space="preserve">Кровля,  кровельные конструкции </t>
  </si>
  <si>
    <t>3.2</t>
  </si>
  <si>
    <t>ИТОГО 2 ЭТАП</t>
  </si>
  <si>
    <t xml:space="preserve"> 2 ЭТАП</t>
  </si>
  <si>
    <t>2 этап</t>
  </si>
  <si>
    <t>3 этап</t>
  </si>
  <si>
    <t>4 этап</t>
  </si>
  <si>
    <t>5 этап</t>
  </si>
  <si>
    <t>5.1</t>
  </si>
  <si>
    <t>5.2</t>
  </si>
  <si>
    <t>3.1</t>
  </si>
  <si>
    <t xml:space="preserve"> 3 ЭТАП</t>
  </si>
  <si>
    <t>6 этап</t>
  </si>
  <si>
    <t>ИТОГО 3 ЭТАП</t>
  </si>
  <si>
    <t xml:space="preserve"> 4 ЭТАП</t>
  </si>
  <si>
    <t xml:space="preserve"> 5 ЭТАП</t>
  </si>
  <si>
    <t xml:space="preserve"> 6 ЭТАП</t>
  </si>
  <si>
    <t>Демобилизация</t>
  </si>
  <si>
    <t>компл.</t>
  </si>
  <si>
    <t>М/каркас 1-х этажей зданий Общежития и АБК</t>
  </si>
  <si>
    <t>Перекрытия 1-х этажей зданий Общежития и АБК</t>
  </si>
  <si>
    <t>7 этап</t>
  </si>
  <si>
    <t xml:space="preserve"> 7 ЭТАП</t>
  </si>
  <si>
    <t>ИТОГО 7 ЭТАП</t>
  </si>
  <si>
    <t>2.3</t>
  </si>
  <si>
    <t>Обратная засыпка пазух котлована здания Общежития</t>
  </si>
  <si>
    <t>Обратная засыпка пазух котлована здания АБК</t>
  </si>
  <si>
    <t>м3</t>
  </si>
  <si>
    <t xml:space="preserve"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 </t>
  </si>
  <si>
    <t xml:space="preserve">Устройство монолитных цокольных стен здания Общежития: опалубочные работы, армирование, установка закладных деталей, бетонирование, гидроизоляция. </t>
  </si>
  <si>
    <t xml:space="preserve">Устройство монолитных цокольных стен здания АБК: опалубочные работы, армирование, установка закладных деталей, бетонирование, гидроизоляция. </t>
  </si>
  <si>
    <t>2.4</t>
  </si>
  <si>
    <t>Устройство грунтового основания под плиту пола 1 этажа здания Общежития до отм. -0.500</t>
  </si>
  <si>
    <t>Устройство грунтового основания под плиту пола 1 этажа здания АБК до отм. -0.500</t>
  </si>
  <si>
    <t>2.1.4</t>
  </si>
  <si>
    <t>2.1.5</t>
  </si>
  <si>
    <t>2.1.9</t>
  </si>
  <si>
    <t>2.1.10</t>
  </si>
  <si>
    <t>2.2.1</t>
  </si>
  <si>
    <t>2.2.3</t>
  </si>
  <si>
    <t>2.2.4</t>
  </si>
  <si>
    <t>2.2.5</t>
  </si>
  <si>
    <t>2.2.7</t>
  </si>
  <si>
    <t>2.2.8</t>
  </si>
  <si>
    <t xml:space="preserve"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 </t>
  </si>
  <si>
    <t xml:space="preserve"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 </t>
  </si>
  <si>
    <t>тн</t>
  </si>
  <si>
    <t xml:space="preserve">Устройство металлического каркаса переходной Галереи: изготовление, поставка на объект, монтаж  металлических конструкций, покраска  грунтовкой ГФ-021
</t>
  </si>
  <si>
    <t>2.3.1</t>
  </si>
  <si>
    <t>2.3.3</t>
  </si>
  <si>
    <t>Фундаменты здание АБК</t>
  </si>
  <si>
    <t>Фундаменты здание Общежития</t>
  </si>
  <si>
    <t>Земляные работы здание Общежития</t>
  </si>
  <si>
    <t>Металлический каракас 1 эт. здание Общежития</t>
  </si>
  <si>
    <t xml:space="preserve">Изготовление, поставка на объект, монтаж  металлических конструкций лестниц для здания АБК, покраска  грунтовкой ГФ-021
</t>
  </si>
  <si>
    <t>Металлический каракас 1 эт. здание АБК</t>
  </si>
  <si>
    <t>Металлический каракас переходная Галерея</t>
  </si>
  <si>
    <t>Устройство несъемной опалубки из профлиста Н-60-845 (ОЦ-01-БЦ) 0,8мм</t>
  </si>
  <si>
    <t>м2</t>
  </si>
  <si>
    <t>Перекрытие 1 эт. здание Общежития отм.+3.260</t>
  </si>
  <si>
    <t>2.4.1</t>
  </si>
  <si>
    <t xml:space="preserve">Устройство монолитного железобетонного перекрытия  здания Общежития: торцевая опалубка, армирование, бетонирование, </t>
  </si>
  <si>
    <t>Перекрытие 1 эт. здание АБК отм.+3.800</t>
  </si>
  <si>
    <t>Перекрытие (полы) здание Галереи отм.+3.260</t>
  </si>
  <si>
    <t>Устройство монолитного железобетонного перекрытия  переходгой Галереи: торцевая опалубка, армирование, бетонирование</t>
  </si>
  <si>
    <t>М/каркас 2-го и последующих этажей зданий Общежития и АБК</t>
  </si>
  <si>
    <t>Металлический каракас 2 эт. здание АБК</t>
  </si>
  <si>
    <t>Перекрытия 2-го и последующих этажей зданий Общежития и АБК</t>
  </si>
  <si>
    <t xml:space="preserve">Металлический каракас 2 и 3 эт. здание Общежития </t>
  </si>
  <si>
    <t>Перекрытие 2 и 3 эт. здание Общежития отм. +6.590; +9.930</t>
  </si>
  <si>
    <t>Перекрытие 2 эт. здание АБК отм.+7.810</t>
  </si>
  <si>
    <t xml:space="preserve">Устройство металлического каркаса 2-го этажа здания АБК: изготовление, поставка на объект, монтаж  металлических конструкций, покраска  грунтовкой ГФ-021
</t>
  </si>
  <si>
    <t xml:space="preserve">Устройство монолитного железобетонного перекрытия  здания АБК: торцевая опалубка, армирование, бетонирование, 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</si>
  <si>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</si>
  <si>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</si>
  <si>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</si>
  <si>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</si>
  <si>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</si>
  <si>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</si>
  <si>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</si>
  <si>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</si>
  <si>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3.2.4</t>
  </si>
  <si>
    <t>3.2.5</t>
  </si>
  <si>
    <t>3.2.6</t>
  </si>
  <si>
    <t xml:space="preserve">Устройство металлического каркаса 1-го этажа здания Общежития: изготовление, поставка на объект, монтаж  металлических конструкций, грунтовка ГФ-021
</t>
  </si>
  <si>
    <t xml:space="preserve">Изготовление, поставка на объект, монтаж  металлических конструкций лестниц для здания Общежития, грунтовка ГФ-021
</t>
  </si>
  <si>
    <t xml:space="preserve">Устройство металлического каркаса 1-го этажа здания АБК: изготовление, поставка на объект, монтаж  металлических конструкций, грунтовка ГФ-021
</t>
  </si>
  <si>
    <t xml:space="preserve">Устройство металлического каркаса 2-го и 3-го  этажа здания Общежития: изготовление, поставка на объект, монтаж  металлических конструкций, грунтовка ГФ-021
</t>
  </si>
  <si>
    <t>2.4.2</t>
  </si>
  <si>
    <t>2.4.3</t>
  </si>
  <si>
    <t>2.4.4</t>
  </si>
  <si>
    <t>Ограждающие конструкции здания Общежития</t>
  </si>
  <si>
    <t xml:space="preserve">Изготовление, поставка, погрузо-разгрузочные работы, монтаж сэндвич-панелей для фасадов здания Общежития 
</t>
  </si>
  <si>
    <t>п.м.</t>
  </si>
  <si>
    <t>Ограждающие конструкции здания АБК</t>
  </si>
  <si>
    <t xml:space="preserve">Изготовление, поставка, погрузо-разгрузочные работы, монтаж сэндвич-панелей для фасадов переходной галереи 
</t>
  </si>
  <si>
    <t>Ограждающие конструкции переходной Галереи</t>
  </si>
  <si>
    <t xml:space="preserve">Устройство ходовых мостиков в подкровельном пространстве здания Общежития </t>
  </si>
  <si>
    <t>Устройство карнизнызх свесов из металлического сайдинга</t>
  </si>
  <si>
    <t>Устройство вентиляционных кровельных тумб</t>
  </si>
  <si>
    <t>шт.</t>
  </si>
  <si>
    <t>Утепление чердачного перекрытия здания Общежития минераловатными плитами с устройством ветрозащитной мембраны</t>
  </si>
  <si>
    <t>Монтаж деревянной подсистемы и зашивка фронтонов здания Общежития профилированным листом</t>
  </si>
  <si>
    <t>Кровельные конструкции здания Общежития</t>
  </si>
  <si>
    <t>Изготовление, поставка и монтаж системы снегозадержания</t>
  </si>
  <si>
    <t>Кровельные конструкции здания АБК</t>
  </si>
  <si>
    <t>Утепление чердачного перекрытия здания АБК минераловатными плитами с устройством ветрозащитной мембраны</t>
  </si>
  <si>
    <t>Устройство ходовых мостиков в подкровельном пространстве здания АБК</t>
  </si>
  <si>
    <t>Монтаж деревянной подсистемы и зашивка фронтонов здания АБК профилированным листом</t>
  </si>
  <si>
    <t xml:space="preserve">Устройство и огнезащитная пропитка деревянной стропильной системы для здания АБК в т.ч. слуховые окна </t>
  </si>
  <si>
    <t xml:space="preserve">Устройство и огнезащитная пропитка деревянной стропильной системы для здания Общежития в т.ч. слуховые окна </t>
  </si>
  <si>
    <t>Утепление чердачного перекрытия Галереи минераловатными плитами с устройством ветрозащитной мембраны</t>
  </si>
  <si>
    <t xml:space="preserve">Поставка, погрузо-разгрузочные работы, монтаж кровельного профилированного листа для Галереи
</t>
  </si>
  <si>
    <t xml:space="preserve">Поставка, погрузо-разгрузочные работы, монтаж кровельного профилированного листа для здания Общежития (в т.ч. входные группы)
</t>
  </si>
  <si>
    <t>Поставка, погрузо-разгрузочные работы, монтаж кровельного профилированного листа для здания АБК
 (в т.ч. входные группы)</t>
  </si>
  <si>
    <t>Изготовление, поставка и монтаж оконных отливов</t>
  </si>
  <si>
    <t>Заполнение наружных оконных проемов</t>
  </si>
  <si>
    <t>Изготовление, поставка и монтаж наружных окон (аллюминиевый трехкамерный профиль теплой серии с термовставкой)</t>
  </si>
  <si>
    <t xml:space="preserve">Заполнение наружных дверных проемов </t>
  </si>
  <si>
    <t>Заполнение наружных дверных проемов здания Общежития</t>
  </si>
  <si>
    <t xml:space="preserve">Изготовление, поставка, монтаж конькового фасонного  элемента длякровли здания Общежития
</t>
  </si>
  <si>
    <t>Изготовление, поставка и монтаж наружных дверей 2100-1000 (Металлическая)</t>
  </si>
  <si>
    <t>Изготовление, поставка и монтаж наружных дверей 2300-1450 (металлическая противопожарная EI-45)</t>
  </si>
  <si>
    <t>Заполнение наружных дверных проемов здания АБК</t>
  </si>
  <si>
    <t>Изготовление, поставка и монтаж наружных дверей 2300-1000 (металлическая противопожарная EI-30)</t>
  </si>
  <si>
    <t>Изготовление, поставка и монтаж наружных дверей 2300-1450 (Металлическая)</t>
  </si>
  <si>
    <t>4.1.1</t>
  </si>
  <si>
    <t>4.1.2</t>
  </si>
  <si>
    <t>4.1.3</t>
  </si>
  <si>
    <t>4.1.4</t>
  </si>
  <si>
    <t>4.1.5</t>
  </si>
  <si>
    <t>4.1.6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</si>
  <si>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</si>
  <si>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</si>
  <si>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</si>
  <si>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</si>
  <si>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</si>
  <si>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</si>
  <si>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</si>
  <si>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</si>
  <si>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</si>
  <si>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</si>
  <si>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</si>
  <si>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</si>
  <si>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</si>
  <si>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</si>
  <si>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</si>
  <si>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</si>
  <si>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</si>
  <si>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</si>
  <si>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</si>
  <si>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</si>
  <si>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4.2.21</t>
  </si>
  <si>
    <t>4.2.22</t>
  </si>
  <si>
    <t>4.2.23</t>
  </si>
  <si>
    <t>4.2.24</t>
  </si>
  <si>
    <t>4.2.25</t>
  </si>
  <si>
    <t>4.2.26</t>
  </si>
  <si>
    <t>4.3.1</t>
  </si>
  <si>
    <t>4.3.2</t>
  </si>
  <si>
    <t>4.3.3</t>
  </si>
  <si>
    <t>4.3.4</t>
  </si>
  <si>
    <t>4.3.7</t>
  </si>
  <si>
    <t>4.3.8</t>
  </si>
  <si>
    <t>4.3.10</t>
  </si>
  <si>
    <t>4.3.11</t>
  </si>
  <si>
    <t>4.3.12</t>
  </si>
  <si>
    <t>6.1</t>
  </si>
  <si>
    <t>6.2</t>
  </si>
  <si>
    <t>6.3</t>
  </si>
  <si>
    <t>6.4</t>
  </si>
  <si>
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</si>
  <si>
    <t>5.3</t>
  </si>
  <si>
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</t>
  </si>
  <si>
    <t>6.1.1</t>
  </si>
  <si>
    <t>6.1.2</t>
  </si>
  <si>
    <t>6.1.3</t>
  </si>
  <si>
    <t>6.2.1</t>
  </si>
  <si>
    <t>6.2.2</t>
  </si>
  <si>
    <t>6.2.3</t>
  </si>
  <si>
    <t>Холодный и горячий водопровод, Противопожарный водопровод АБК</t>
  </si>
  <si>
    <t>м</t>
  </si>
  <si>
    <t>Канализация АБК</t>
  </si>
  <si>
    <t>м.п.</t>
  </si>
  <si>
    <t>Канализация Общежитие</t>
  </si>
  <si>
    <t>Отопление АБК</t>
  </si>
  <si>
    <t>Вентиляция Общежитие</t>
  </si>
  <si>
    <t>Вентиляция АБК</t>
  </si>
  <si>
    <t>Электроснабжение Общежитие</t>
  </si>
  <si>
    <t>Электроснабжение АБК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</si>
  <si>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</si>
  <si>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</si>
  <si>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</si>
  <si>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</si>
  <si>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</si>
  <si>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</si>
  <si>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</si>
  <si>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</si>
  <si>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5.2.1</t>
  </si>
  <si>
    <t>5.2.2</t>
  </si>
  <si>
    <t>5.2.3</t>
  </si>
  <si>
    <t>5.2.4</t>
  </si>
  <si>
    <t>5.2.5</t>
  </si>
  <si>
    <t>5.2.6</t>
  </si>
  <si>
    <t>5.2.7</t>
  </si>
  <si>
    <t>Холодный и горячий водопровод, 
Противопожарный водопровод Общежитие</t>
  </si>
  <si>
    <t>5.3.1</t>
  </si>
  <si>
    <t>5.3.2</t>
  </si>
  <si>
    <t>5.4</t>
  </si>
  <si>
    <t>5.4.1</t>
  </si>
  <si>
    <t>5.5</t>
  </si>
  <si>
    <t>5.5.1</t>
  </si>
  <si>
    <t>5.4.2</t>
  </si>
  <si>
    <t>5.5.2</t>
  </si>
  <si>
    <t>5.5.3</t>
  </si>
  <si>
    <t>5.6</t>
  </si>
  <si>
    <t>5.6.1</t>
  </si>
  <si>
    <t>5.6.2</t>
  </si>
  <si>
    <t>5.7</t>
  </si>
  <si>
    <t>5.7.1</t>
  </si>
  <si>
    <t>5.7.2</t>
  </si>
  <si>
    <t>5.7.3</t>
  </si>
  <si>
    <t>5.8</t>
  </si>
  <si>
    <t>5.8.1</t>
  </si>
  <si>
    <t>5.8.2</t>
  </si>
  <si>
    <t>5.9.1</t>
  </si>
  <si>
    <t>5.9.2</t>
  </si>
  <si>
    <t>5.9.3</t>
  </si>
  <si>
    <t>кг</t>
  </si>
  <si>
    <t>м/п</t>
  </si>
  <si>
    <t>Наружный водопровод В1, В2</t>
  </si>
  <si>
    <t>Колодцы В1,В2</t>
  </si>
  <si>
    <t>Наружная канализация К1</t>
  </si>
  <si>
    <t>Разработка грунта, устройство бетонной подготовки, монтаж лотков, камер</t>
  </si>
  <si>
    <t xml:space="preserve">Разработка грунта </t>
  </si>
  <si>
    <t>Обратная засыпка</t>
  </si>
  <si>
    <t>Устройство бетонной подготовки В 7.5 (лоток)</t>
  </si>
  <si>
    <t>Монтаж сборных ЖБ Серия 3.006.1-2.87 (лоток)</t>
  </si>
  <si>
    <t>Жб конструкции бетон В25 с к/а 26,26 кг/м3 (лоток)</t>
  </si>
  <si>
    <t>Опорные конструкции КМ</t>
  </si>
  <si>
    <t>Опоры неподвижные лобовые: Т3.02 - Т3.08</t>
  </si>
  <si>
    <t xml:space="preserve"> </t>
  </si>
  <si>
    <t>Устройство бетонной подготовки В 7,5 (камера)</t>
  </si>
  <si>
    <t>Монтаж сборных Ж/б (камера)</t>
  </si>
  <si>
    <t>Монтаж КМ (люки, стремянки) (камера) 2х2</t>
  </si>
  <si>
    <t>Жб конструкции бетон В15 с к/а 21,5 кг/м3 (камера)</t>
  </si>
  <si>
    <t>Молнтаж закладных изделий и сальников 14шт (камера)</t>
  </si>
  <si>
    <t>Монтаж трубопроводов и арматуры тепловой сети</t>
  </si>
  <si>
    <t>Монтаж труб ф 133х4</t>
  </si>
  <si>
    <t>Монтаж труб ф 108х4</t>
  </si>
  <si>
    <t>Монтаж труб ф 89х3,5</t>
  </si>
  <si>
    <t>Монтаж труб ф 76х3</t>
  </si>
  <si>
    <t>Монтаж труб ф 57х3</t>
  </si>
  <si>
    <t>Монтаж труб ф 40х3</t>
  </si>
  <si>
    <t>Монтаж труб ф 25х2,8</t>
  </si>
  <si>
    <t>Изоляция труб органо-силикатная АС-8а (ОС-51-03)/ четыре слоя с отвердителем /ТУ84-725-83</t>
  </si>
  <si>
    <t>Теплоизоляционное покрытие труб минераловатными матами  прошивными М100</t>
  </si>
  <si>
    <t>Монтаж стеклопластика РСТ ТУ 6-11-145-80</t>
  </si>
  <si>
    <t>Обертывание изолированных труб металической сеткой и штукатурка</t>
  </si>
  <si>
    <t xml:space="preserve">Опора неподвижная лобовая </t>
  </si>
  <si>
    <t>Опора скользящая</t>
  </si>
  <si>
    <t>Фасонные элементы</t>
  </si>
  <si>
    <t>Арматура (краны шаровые ф25-125 Р=2,5 Мпа</t>
  </si>
  <si>
    <t>Узел герметизации ввода трубопроводов тепловой сети</t>
  </si>
  <si>
    <t>Люк чугунный "Т" ф 700</t>
  </si>
  <si>
    <t>Узел управления №1 (отопление и вентиляция) АБК</t>
  </si>
  <si>
    <t>Узел управления №2 (ГВС) АБК</t>
  </si>
  <si>
    <t>Узел управления №3 (отопление) Общежитие</t>
  </si>
  <si>
    <t>Узел управления №4 (ГВС) Общежитие</t>
  </si>
  <si>
    <t>Монтаж выключателя автоматического ВА88-40 400 А</t>
  </si>
  <si>
    <t>Монтаж выключателя автоматического ВА88-40 315 А</t>
  </si>
  <si>
    <t xml:space="preserve">Демонтаж существующего забора </t>
  </si>
  <si>
    <t>Планировка територии, выведение в проектную отметку</t>
  </si>
  <si>
    <t>Покрытие Тип 1 (Щебеночное покрытие проездов и площадок</t>
  </si>
  <si>
    <t>Уплотнение грунта основания</t>
  </si>
  <si>
    <t>Песчано-щебеночная смесь 150мм 40/60</t>
  </si>
  <si>
    <t>Покрытие щебень фракционированный 20-40 мм с заклинкой-мелким щебнем, марка по прочности не менее 350 МПа, марка по дробимости М800, И-3, F50 по ГОСТ 32703-2014 h- 250мм</t>
  </si>
  <si>
    <t>Обочина щебень фракционированный, уложенный 150мм</t>
  </si>
  <si>
    <t>Покрытие Tип 11 из брусчатки с возможностью проезда</t>
  </si>
  <si>
    <t>Песчаная подушка 150мм</t>
  </si>
  <si>
    <t>Монтаж геотекстиль иглопробивной 200г/м2</t>
  </si>
  <si>
    <t>Бордюр из бортового камня БР 100.15.10 на бетонном основании</t>
  </si>
  <si>
    <t>Щебеночная подушка 20-40мм 200мм</t>
  </si>
  <si>
    <t>Песчаное основание укрепленное 10% цемента 40мм</t>
  </si>
  <si>
    <t>Монтаж бетонная плитка Б.1.К8 по ГОСТ 17608-2017 - 0,08</t>
  </si>
  <si>
    <t xml:space="preserve">Покрытие Tип 111 из брусчатки </t>
  </si>
  <si>
    <t>Щебеночное основание 220мм</t>
  </si>
  <si>
    <t>Бордюр из бортового камня БР 100.20.8 на бетонном основании</t>
  </si>
  <si>
    <t>Бетонная плитка Б.7.К6 по ГОСТ 17608-2017 - 0,06м.</t>
  </si>
  <si>
    <t>Отмостка Тип 1V</t>
  </si>
  <si>
    <t xml:space="preserve">Уплотненное основание </t>
  </si>
  <si>
    <t>Гидроиоляционный материал (ПВХ пленка)</t>
  </si>
  <si>
    <t>Основание из гравийной смеси 100мм</t>
  </si>
  <si>
    <t>Отмостка Бетон кл И15 армированный сеткой ф10 А111 200*200 80мм</t>
  </si>
  <si>
    <t>Укрепление откосов каменной наброской с выкладкой поверхности камнем</t>
  </si>
  <si>
    <t>Камень булыжный, ГОСТ 22132-76</t>
  </si>
  <si>
    <t>Водоотводные сооружения, озеленение, забор</t>
  </si>
  <si>
    <t>Лоток водоотводный бетонный 30.43.31 с решеткой</t>
  </si>
  <si>
    <t>Бетонная обойма В15</t>
  </si>
  <si>
    <t>Цементно-песчаная стяжка М100</t>
  </si>
  <si>
    <t>Подушка песчано-гравийная 100мм</t>
  </si>
  <si>
    <t>Арычный блок БА-3 БА-3 ГОСТ 24547-81</t>
  </si>
  <si>
    <t>Водопропускная труба d-500мм,ГОСТ 24547-2016</t>
  </si>
  <si>
    <t>Сборные телескопические лотки Б-6 (серия 3.503.1-66)</t>
  </si>
  <si>
    <t>Смотровой блок,перекрытый металлической решеткой</t>
  </si>
  <si>
    <t>Дождеприёмник чугунный ДБ ( ГОСТ 3634-2019)</t>
  </si>
  <si>
    <t>Бордюр из бортового камня БР 100.30.15 на бетонном основании</t>
  </si>
  <si>
    <t>Ель 7-12 лет</t>
  </si>
  <si>
    <t>Можжевельник 7-12 лет</t>
  </si>
  <si>
    <t>Туя западная 3-4 лет</t>
  </si>
  <si>
    <t>Жимолость 5-7 лет</t>
  </si>
  <si>
    <t>Туя западная снежноягодник</t>
  </si>
  <si>
    <t>Газонная трава (травосмесь мятлик луговой, овсяница красная, полевица обыкновенная) внесение растительног  слоя 200мм.</t>
  </si>
  <si>
    <t>Скамейка "Вдохновение"</t>
  </si>
  <si>
    <t>шт</t>
  </si>
  <si>
    <t>Урна со вставкой и подставкой для основания</t>
  </si>
  <si>
    <t>Навес над мусорными баками на 2 шт.</t>
  </si>
  <si>
    <t>Контейнер для ТБО"Евро"</t>
  </si>
  <si>
    <t>Противопожарный щит в комплекте</t>
  </si>
  <si>
    <t>Монтаж забора (15,73т, 65,2м3 фунд)</t>
  </si>
  <si>
    <t>6.3.1</t>
  </si>
  <si>
    <t>6.3.2</t>
  </si>
  <si>
    <t>6.3.3</t>
  </si>
  <si>
    <t>6.4.1</t>
  </si>
  <si>
    <t>6.4.2</t>
  </si>
  <si>
    <t>6.4.3</t>
  </si>
  <si>
    <t>Кровельные конструкции переходной Галереи</t>
  </si>
  <si>
    <t xml:space="preserve">Изготовление, поставка, монтаж конькового фасонного  элемента для кровли здания АБК
</t>
  </si>
  <si>
    <t xml:space="preserve">Изготовление, поставка, монтаж конькового фасонного  элемента для кровли Галереи
</t>
  </si>
  <si>
    <t xml:space="preserve">Изготовление, поставка, монтаж фасонных элементов для фасадов здания Общежития: нащельники и угловые фасонные элементы для сэндвич-панелей, наружные обрамления проемов, цокольные отливы
</t>
  </si>
  <si>
    <t xml:space="preserve">Изготовление, поставка, монтаж фасонных элементов для фасадов здания АБК: нащельники и угловые фасонные элементы для сэндвич-панелей, наружные обрамления проемов, цокольные отливы
</t>
  </si>
  <si>
    <t xml:space="preserve">Изготовление, поставка, монтаж фасонных элементов для фасадов здания Галереи: нащельники и угловые фасонные элементы для сэндвич-панелей, наружные обрамления проемов, цокольные отливы
</t>
  </si>
  <si>
    <t xml:space="preserve">Изготовление, поставка, погрузо-разгрузочные работы, монтаж сэндвич-панелей для фасадов здания АБК, в т.ч. герметик, метизы, уплотнительныая лента 
</t>
  </si>
  <si>
    <t xml:space="preserve">ИТОГО 4 ЭТАП </t>
  </si>
  <si>
    <t>Устройство армированной монолитной плиты пола 1 этажа с утеплением экструдированным пенополистиролом и гидроизоляцией ПВХ- пленкой</t>
  </si>
  <si>
    <t>Устройство стяжек из цементно-песчаного раствора М 150</t>
  </si>
  <si>
    <t>Устройство полов здания Общежития</t>
  </si>
  <si>
    <t>Укладка ламината промышленного 34 класса с подложкой и устроцством плинтуса МДФ</t>
  </si>
  <si>
    <t>Устройство напольного покрытия из ковролина</t>
  </si>
  <si>
    <t>Устройство покрытий из антистатического линолеума</t>
  </si>
  <si>
    <t xml:space="preserve">Укладка напольной плитки керамической поверхностью 600×600 мм в общих зонах </t>
  </si>
  <si>
    <t>Устройство спортивного резинового покрытия  в помещении спортзала</t>
  </si>
  <si>
    <t>Устройство полов здания АБК</t>
  </si>
  <si>
    <t>Устройство полов Галереи</t>
  </si>
  <si>
    <t>Утепление плиты пола Галереи</t>
  </si>
  <si>
    <t xml:space="preserve">Укладка напольной плитки керамической  600×600 мм в общих зонах </t>
  </si>
  <si>
    <t xml:space="preserve">Укладка напольной плитки керамической 600×600 мм в общих зонах </t>
  </si>
  <si>
    <t>Отделка стен здания Общежития</t>
  </si>
  <si>
    <t>Устройство обмазочной гидроизоляции стен и перегородок во влажных помещениях</t>
  </si>
  <si>
    <t>Устройство обмазочной гидроизоляции полов во влажных помещениях</t>
  </si>
  <si>
    <t>Отделка стен здания АБК</t>
  </si>
  <si>
    <t>комплекс</t>
  </si>
  <si>
    <t>Окраска видимых частей (не зашитых стеновыми и потолочными конструкциями) металлических конструкций эмалью ПФ 115 цвет RAL 7035</t>
  </si>
  <si>
    <t>Отделка стен Галереи</t>
  </si>
  <si>
    <t>Устройство огезащитноых покрытий металлических конструкций  здания Общежития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</si>
  <si>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90 мин. 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</si>
  <si>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60 мин. 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</si>
  <si>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45 мин. </t>
  </si>
  <si>
    <t>Устройство огезащитноых покрытий металлических конструкций  Галереи</t>
  </si>
  <si>
    <t xml:space="preserve">Устройство огезащитного покрытий металлических конструкций Галереи  с функцией финишного покрытия до предела огнестойкости 45 мин. </t>
  </si>
  <si>
    <t>Устройство огезащитноых покрытий металлических конструкций  здания АБК</t>
  </si>
  <si>
    <t xml:space="preserve">Устройство огезащитного покрытий металлических конструкций АБК  с функцией финишного покрытия до предела огнестойкости 45 мин. </t>
  </si>
  <si>
    <t>Устройство потолков здания Общежития</t>
  </si>
  <si>
    <t>Устройство потолков типа Армстронг 600×600 мм</t>
  </si>
  <si>
    <t>Устройство потолков здания АБК</t>
  </si>
  <si>
    <t>Устройство потолков из металлических перфорированных панелей 600х600мм в помещениях санузлов</t>
  </si>
  <si>
    <t>Подгоотовка  ГКЛ потолков к окраске:  проклейка швов, грунтовка, финишная шпаклевка</t>
  </si>
  <si>
    <t>5.10</t>
  </si>
  <si>
    <t>5.10.1</t>
  </si>
  <si>
    <t>5.10.1.1</t>
  </si>
  <si>
    <t>5.10.1.2</t>
  </si>
  <si>
    <t>5.10.1.3</t>
  </si>
  <si>
    <t>5.10.2</t>
  </si>
  <si>
    <t>5.10.2.1</t>
  </si>
  <si>
    <t>5.10.3</t>
  </si>
  <si>
    <t>5.10.3.1</t>
  </si>
  <si>
    <t>Устройство стяжек из цементно-песчаного раствора М 150 50 мм</t>
  </si>
  <si>
    <t>Устройство стяжек из цементно-песчаного раствора М 150 57 мм</t>
  </si>
  <si>
    <t>Самовыравнивающаяся смесь 65 мм</t>
  </si>
  <si>
    <t>Самовыравнивающаяся смесь 57 мм</t>
  </si>
  <si>
    <t>Самовыравнивающаяся смесь 30 мм (помещения и лестницы)</t>
  </si>
  <si>
    <t>Самовыравнивающаяся смесь 10 мм</t>
  </si>
  <si>
    <t>Устройство стяжек из цементно-песчаного раствора М 150 50-75 мм</t>
  </si>
  <si>
    <t>5.1.9</t>
  </si>
  <si>
    <t>Устройство стяжек из цементно-песчаного раствора М 150 50-65 мм</t>
  </si>
  <si>
    <t>5.1.10</t>
  </si>
  <si>
    <t>Бетонная стяжка 50 мм</t>
  </si>
  <si>
    <t>5.1.11</t>
  </si>
  <si>
    <t>Бетонная стяжка 50-75 мм</t>
  </si>
  <si>
    <t>5.1.12</t>
  </si>
  <si>
    <t>5.1.13</t>
  </si>
  <si>
    <t>5.1.14</t>
  </si>
  <si>
    <t>5.1.15</t>
  </si>
  <si>
    <t>Укладка напольной плитки керамической с шероховатой поверхностью 600×600 мм мокрые зоны с/у и душевые</t>
  </si>
  <si>
    <t>5.1.16</t>
  </si>
  <si>
    <t>Укладка напольной плитки керамической с шероховатой поверхностью 300×300 мм лестницы</t>
  </si>
  <si>
    <t>5.1.17</t>
  </si>
  <si>
    <t>5.1.18</t>
  </si>
  <si>
    <t>5.1.19</t>
  </si>
  <si>
    <t>5.1.20</t>
  </si>
  <si>
    <t>Покраска пола полимерной краской</t>
  </si>
  <si>
    <t>5.1.21</t>
  </si>
  <si>
    <t>Гранит с термообработкой серого цвета на клеевой основе (входные группы)</t>
  </si>
  <si>
    <t>Устройство стяжек из цементно-песчаного раствора М 150 уклонообразующая 80мм</t>
  </si>
  <si>
    <t>Устройство стяжек из цементно-песчаного раствора М 150 50мм</t>
  </si>
  <si>
    <t>Устройство стяжек из цементно-песчаного раствора М 150 50-55мм</t>
  </si>
  <si>
    <t>Устройство стяжек из цементно-песчаного раствора М 150 50-85мм</t>
  </si>
  <si>
    <t>5.2.8</t>
  </si>
  <si>
    <t>5.2.9</t>
  </si>
  <si>
    <t>Самовыравнивающаяся смесь 17 мм</t>
  </si>
  <si>
    <t>5.2.10</t>
  </si>
  <si>
    <t>5.2.11</t>
  </si>
  <si>
    <t>5.2.12</t>
  </si>
  <si>
    <t>5.2.13</t>
  </si>
  <si>
    <t>Укладка напольной плитки керамической с шероховатой поверхностью 600×600 мм в помещениях душевых и с/у</t>
  </si>
  <si>
    <t>5.2.14</t>
  </si>
  <si>
    <t>5.2.15</t>
  </si>
  <si>
    <t>5.2.16</t>
  </si>
  <si>
    <t>5.2.17</t>
  </si>
  <si>
    <t>5.2.18</t>
  </si>
  <si>
    <t>5.2.19</t>
  </si>
  <si>
    <t>Звукоизоляция 5мм</t>
  </si>
  <si>
    <t>5.2.20</t>
  </si>
  <si>
    <t>5.2.21</t>
  </si>
  <si>
    <t>Плавающий пол в венткамере Гидроизоляция, пенополистирол 50мм, стяжка 50 мм М150</t>
  </si>
  <si>
    <t>5.3.3</t>
  </si>
  <si>
    <t>Устройство конструкций ГКЛ тип 1 (облицовка с одной стороны)</t>
  </si>
  <si>
    <t>5.4.3</t>
  </si>
  <si>
    <t>Устройство конструкцийГКЛ перегородок с шумоизоляцией тип 2 профиль 100 мм</t>
  </si>
  <si>
    <t>5.4.4</t>
  </si>
  <si>
    <t>Устройство конструкцийГКЛ перегородок с шумоизоляцией тип 3 профиль 100 мм</t>
  </si>
  <si>
    <t>5.4.5</t>
  </si>
  <si>
    <t>Устройство конструкцийГКЛ перегородок с шумоизоляцией тип 4 профиль 100 мм</t>
  </si>
  <si>
    <t>м4</t>
  </si>
  <si>
    <t>5.4.6</t>
  </si>
  <si>
    <t>Устройство конструкций ГКЛВ перегородок во влажных зонах  тип 5 (облицовка с одной стороны)</t>
  </si>
  <si>
    <t>5.4.7</t>
  </si>
  <si>
    <t>Устройство конструкций ГКЛВ перегородок с шумоизоляцией тип 6 профиль 50 мм</t>
  </si>
  <si>
    <t>5.4.8</t>
  </si>
  <si>
    <t>Устройство конструкций ГКЛВ перегородок с шумоизоляцией тип 7 профиль 75 мм</t>
  </si>
  <si>
    <t>5.4.9</t>
  </si>
  <si>
    <t>Устройство конструкций ГКЛВ перегородок с шумоизоляцией тип 8 профиль 100 мм</t>
  </si>
  <si>
    <t>5.4.10</t>
  </si>
  <si>
    <t>Подгоотовка  ГКЛ перегородок и ГКЛ стен к штукатурке:  проклейка швов, грунтовка</t>
  </si>
  <si>
    <t>5.4.11</t>
  </si>
  <si>
    <t>Перегородка поликарбонат 16 мм, профиль из анодированного алюминия. с раздвижным открыванием.
(или аналог)</t>
  </si>
  <si>
    <t>5.4.12</t>
  </si>
  <si>
    <t>Штукатурка сухой смесью на гипсовой
основе –1-1.5 мм;
Выравнивающий финишный слой на гипсовой
основе – 1 мм;</t>
  </si>
  <si>
    <t>5.4.13</t>
  </si>
  <si>
    <t>Штукатурка швов сухой смесью на
цементной основе</t>
  </si>
  <si>
    <t>5.4.14</t>
  </si>
  <si>
    <t>Окраска  ГКЛ перегородок и ГКЛ стен акриловой краской в 2 слоя МОП ниже h=1,8м</t>
  </si>
  <si>
    <t>5.4.15</t>
  </si>
  <si>
    <t>Окраска  ГКЛ перегородок и ГКЛ стен водоэмульсионной  краской в 2 слоя МОП выше h=1,8м</t>
  </si>
  <si>
    <t>5.4.16</t>
  </si>
  <si>
    <t>Окраска  ГКЛ перегородок и ГКЛ стен водоэмульсионной краской в 2 слоя Жилые комнаты</t>
  </si>
  <si>
    <t>5.4.17</t>
  </si>
  <si>
    <t>5.4.18</t>
  </si>
  <si>
    <t>5.4.19</t>
  </si>
  <si>
    <t>Монтаж подоконников 1280х350</t>
  </si>
  <si>
    <t>5.5.4</t>
  </si>
  <si>
    <t>Устройство конструкцийГКЛ перегородок с шумоизоляцией тип 3 (5) профиль 100 мм</t>
  </si>
  <si>
    <t>5.5.5</t>
  </si>
  <si>
    <t>Устройство конструкций ГКЛВ перегородок во влажных зонах  тип 4 (облицовка с одной стороны)</t>
  </si>
  <si>
    <t>5.5.6</t>
  </si>
  <si>
    <t>Устройство конструкций ГКЛВ перегородок с шумоизоляцией тип 5 (7)  профиль 50 мм</t>
  </si>
  <si>
    <t>5.5.7</t>
  </si>
  <si>
    <t>5.5.8</t>
  </si>
  <si>
    <t>Перегородка поликарбонат 16 мм, профиль из анодированного алюминия. с раздвижным открыванием.
(или аналог) 2200 мм</t>
  </si>
  <si>
    <t>5.5.9</t>
  </si>
  <si>
    <t>5.5.10</t>
  </si>
  <si>
    <t>5.5.11</t>
  </si>
  <si>
    <t>5.5.12</t>
  </si>
  <si>
    <t>5.5.13</t>
  </si>
  <si>
    <t>5.5.14</t>
  </si>
  <si>
    <t>5.5.15</t>
  </si>
  <si>
    <t>Монтаж подоконников 1280х270</t>
  </si>
  <si>
    <t>5.6.3</t>
  </si>
  <si>
    <t>5.6.4</t>
  </si>
  <si>
    <t>5.6.5</t>
  </si>
  <si>
    <t>5.6.6</t>
  </si>
  <si>
    <t>5.6.7</t>
  </si>
  <si>
    <t>5.7.4</t>
  </si>
  <si>
    <t>5.7.5</t>
  </si>
  <si>
    <t>Окраска  ГКЛ потолков водоэмульсионной краской  в 2 слоя</t>
  </si>
  <si>
    <t>5.9</t>
  </si>
  <si>
    <t>Устройство потолков Галереи</t>
  </si>
  <si>
    <t>Установка межкомнатных дверей 2100х700 (МДФ), в т.ч. наличники, замки и фурнитура 3*, 3 (Л,П)</t>
  </si>
  <si>
    <t>Установка межкомнатных дверей 2100х900 (МДФ), в т.ч. наличники, замки и фурнитура  (Л, П) 2*, 2</t>
  </si>
  <si>
    <t>Установка межкомнатных дверей 2100х900 (МДФ), в т.ч. наличники, замки и фурнитура 2Р, 2*Р</t>
  </si>
  <si>
    <t>5.10.4</t>
  </si>
  <si>
    <t xml:space="preserve">Установка двери металической 2300х1450 П Внутренняя Противопожарная ЕI30  в т.ч. наличники, замки и фурнитура 4 </t>
  </si>
  <si>
    <t>5.10.5</t>
  </si>
  <si>
    <t>Установка двери металической 2300х900 Л Внутренняя Противопожарная ЕI30  в т.ч. наличники, замки и фурнитура 6</t>
  </si>
  <si>
    <t>5.10.6</t>
  </si>
  <si>
    <t>Установка двери металической 2300х900 П Внутренняя Противопожарная ЕI30  в т.ч. наличники, замки и фурнитура 7</t>
  </si>
  <si>
    <t>5.10.7</t>
  </si>
  <si>
    <t>5.10.8</t>
  </si>
  <si>
    <t>5.10.9</t>
  </si>
  <si>
    <t>5.11</t>
  </si>
  <si>
    <t>5.11.1</t>
  </si>
  <si>
    <t>Установка межкомнатных дверей 2100х900 П (ПВХ), в т.ч. наличники, замки и фурнитура 1</t>
  </si>
  <si>
    <t>5.11.2</t>
  </si>
  <si>
    <t>Установка межкомнатных дверей 2100х900 Л (ПВХ), в т.ч. наличники, замки и фурнитура 1*</t>
  </si>
  <si>
    <t>5.11.3</t>
  </si>
  <si>
    <t>Установка межкомнатных дверей 2100х800 П (ПВХ), в т.ч. наличники, замки и фурнитура 2</t>
  </si>
  <si>
    <t>5.11.4</t>
  </si>
  <si>
    <t>Установка межкомнатных дверей 2100х800 Л (ПВХ), в т.ч. наличники, замки и фурнитура 2*</t>
  </si>
  <si>
    <t>5.11.5</t>
  </si>
  <si>
    <t>Установка межкомнатных дверей 2100х1450 П (ПВХ), в т.ч. наличники, замки и фурнитура 3</t>
  </si>
  <si>
    <t>5.11.6</t>
  </si>
  <si>
    <t>Установка межкомнатных дверей 2100х1450 Л (ПВХ), в т.ч. наличники, замки и фурнитура 3*</t>
  </si>
  <si>
    <t>5.11.7</t>
  </si>
  <si>
    <t>Установка двери металической 2300х900 Л Внутренняя Противопожарная ЕI30  в т.ч. наличники, замки и фурнитура 7</t>
  </si>
  <si>
    <t>5.11.8</t>
  </si>
  <si>
    <t>Установка двери металической 2300х1450 П Внутренняя Противопожарная ЕI30  в т.ч. наличники, замки и фурнитура 8</t>
  </si>
  <si>
    <t>5.12</t>
  </si>
  <si>
    <t>Облицовка цоколя здания Общежития</t>
  </si>
  <si>
    <t>5.12.1</t>
  </si>
  <si>
    <t>Монтаж утеплителя 100мм 35кг/м3</t>
  </si>
  <si>
    <t>5.12.2</t>
  </si>
  <si>
    <t>Монтаж мембраны профилированной</t>
  </si>
  <si>
    <t>5.12.3</t>
  </si>
  <si>
    <t>Монтаж сайдинга металлического 0,7мм на П-образном профиле</t>
  </si>
  <si>
    <t>5.13</t>
  </si>
  <si>
    <t>Облицовка цоколя здания АБК</t>
  </si>
  <si>
    <t>5.13.1</t>
  </si>
  <si>
    <t>5.13.2</t>
  </si>
  <si>
    <t>5.13.3</t>
  </si>
  <si>
    <t>Устройсво бетонной подготовки для цокольных стен здания АБК</t>
  </si>
  <si>
    <t>Дополнительные работы: Погрузка, перевозка грунта с отм. +3500 до строительной площадки</t>
  </si>
  <si>
    <t>Доставка сэндвич-панелей</t>
  </si>
  <si>
    <t>рейс</t>
  </si>
  <si>
    <t>Саморезы, герметики, уплотнительные ленты</t>
  </si>
  <si>
    <t xml:space="preserve">Материалы водосточной системы </t>
  </si>
  <si>
    <t>Заполнение  оконных и дверных проемов здания Общежития</t>
  </si>
  <si>
    <t>Заполнение наружных оконных и дверных проемов здания АБК и Галереи</t>
  </si>
  <si>
    <t>Монтаж водосточной системы: желоба, трубы, воронки</t>
  </si>
  <si>
    <t>Прибор приемно-контрольный и управления охранно-пожарный на 3 кольцевых ШС ML-1233/N</t>
  </si>
  <si>
    <t>Прибор приемно-контрольный и управления охранно-пожарный на 4 кольцевых ШС ML-1234/N</t>
  </si>
  <si>
    <t>Адресный модуль SGC, выход TCP/IP ML-12011.C</t>
  </si>
  <si>
    <t>Модуль управления релейный, 8 выходов с изолятором КЗ ML-1318.SCI</t>
  </si>
  <si>
    <t>Извещатель пожарный комбинированный адресный (дым+тепло) ML-1140</t>
  </si>
  <si>
    <t>Адресный пожарный ручной извещатель, с изолятором КЗ ML-1731.SCI</t>
  </si>
  <si>
    <t>Адресный светозвуковой оповещатель, с изолятором КЗ ML-1430.SCI</t>
  </si>
  <si>
    <t>Импульсный блок питания, 10 aмпер ML-5110</t>
  </si>
  <si>
    <t>Аккумулятор Delta DTM 1207 12В 7А*ч Delta DTM 1207 12В 7А*ч</t>
  </si>
  <si>
    <t>Кабель для систем ОПС и СОУЭ огнестойкий, не поддерживающий горения, экранированный КПСЭнг(А)-FRHF 1х2х0,75</t>
  </si>
  <si>
    <t>Труба гофрированная ПВХ НГ Ø 16мм</t>
  </si>
  <si>
    <t>Площадка под стяжку прямой монтаж МФ 16х23 ЧЕРНАЯ / 100 шт.</t>
  </si>
  <si>
    <t>Пластиковые кабельные стяжки 8*300 нейлоновый / 100 шт.</t>
  </si>
  <si>
    <t>Дюбель-гвоздь (чопик) «Orion» 6*40 / 100 шт.</t>
  </si>
  <si>
    <t xml:space="preserve">уп </t>
  </si>
  <si>
    <t>Терминал распознавания лиц Hikvision DS-K1T671M</t>
  </si>
  <si>
    <t>Блок питания HIKVISION DS-K7M-AW100</t>
  </si>
  <si>
    <t>Замок электромагнитный DS-K4H250S</t>
  </si>
  <si>
    <t>Дверной доводчик Hikvision DS-K4DC105</t>
  </si>
  <si>
    <t>Кнопка выхода бесконтактная HIKVISION DS-K7P07</t>
  </si>
  <si>
    <t>СМК маленькие MC-38</t>
  </si>
  <si>
    <t>Коммутатор сетевой PoE HIKVISION DS-3E1510P-SI</t>
  </si>
  <si>
    <t>Коммутатор сетевой PoE HIKVISION DS-3E1518P-SI</t>
  </si>
  <si>
    <t>Процессор 12-го поколения Intel Core i5-12400</t>
  </si>
  <si>
    <t>Материнская плата с поддержкой DDR4 MSI B660</t>
  </si>
  <si>
    <t>Оперативная память DDR4 16GB PC-25600 (3200Mhz) LEXAR CL19</t>
  </si>
  <si>
    <t>Твердотельный накопитель SSD KINGSTON 1 ТБ NVMe SSD</t>
  </si>
  <si>
    <t>Блок питания 550 Вт 80+ Jump ATX ST-550</t>
  </si>
  <si>
    <t>Компьютерный корпус Mid-Tower INFINITE SPACE IS6-BK-3F2C3</t>
  </si>
  <si>
    <t>Кулер для процессора Cooler Master MasterAir MA612 Stealth</t>
  </si>
  <si>
    <t>Жесткий диск HDD 2TB Toshiba 5400rpm 128Mb</t>
  </si>
  <si>
    <t>Монитор Hikvision 27" D5027FN01</t>
  </si>
  <si>
    <t>Клавиатура+мышь набор Delux K6850U+M362BU</t>
  </si>
  <si>
    <t>Операционная система Microsoft Windows 11 Pro ML x64</t>
  </si>
  <si>
    <t>Программное обеспечение HIKVISION iVMS-4200 AC</t>
  </si>
  <si>
    <t>Труба гофрированная ПВХнг Д16</t>
  </si>
  <si>
    <t>Кабель витая пара, экранир. S/FTP, категория 6A, 4 пары 23 AWG, 4х2х0,56 мм, однопров.жилы, LSZH, нг(А)-HF, внутр. Hyperline SFTP4-C6A-S23-IN-LSZH-GY-500</t>
  </si>
  <si>
    <t>Кабель для систем ОПС и СОУЭ огнестойкий, не поддерживающий горения КПСЭнг(А)-FRHF 1х2х0,75</t>
  </si>
  <si>
    <t>Кабель для систем ОПС и СОУЭ огнестойкий, не поддерживающий горения КПСЭнг(А)-FRHF 1х2х0,50</t>
  </si>
  <si>
    <t>Сетевой видеорегистратор NVR HIKVISION DS-7764NI-M4</t>
  </si>
  <si>
    <t>HDD HIKVISION 12TB 512MB 7200rpm SATA 6Gbit/s</t>
  </si>
  <si>
    <t>Передатчик HDMI Extender DTECH DT-7043S 120m</t>
  </si>
  <si>
    <t>Приемник HDMI Extender DTECH DT-7043R 120m</t>
  </si>
  <si>
    <t>Монитор 55" HIKVISION DS-D5055UC-C 4K</t>
  </si>
  <si>
    <t>Коммутатор сетевой PoE HIKVISION DS-3E1552P-SI 48хPoE 1000Mb/s</t>
  </si>
  <si>
    <t>IP камера буллет HIKVISION 4mm 3840×2160 EXIR 80m IP67 mSD AcuSense</t>
  </si>
  <si>
    <t>IP камера купольная HIKVISION AcuSense Turret</t>
  </si>
  <si>
    <t>Кабельный органайзер Hyperline WMC-1U-H-2D-BK</t>
  </si>
  <si>
    <t>Кронштейн монтажный HIKVISION DS-1260ZJ</t>
  </si>
  <si>
    <t>Труба гофрированная ПВХ нг d=25мм с зондом (100м) IEK</t>
  </si>
  <si>
    <t>Кабель сетевой SHIP D175S-P Cat.6 FTP 30B PVC DS-1LN6UZC0 CAT-6</t>
  </si>
  <si>
    <t>Кабель однонаправленный HDMI - HDMI, 50 м</t>
  </si>
  <si>
    <t>уп.</t>
  </si>
  <si>
    <t>Кабель однонаправленный HDMI - HDMI, 10 м</t>
  </si>
  <si>
    <t>уп</t>
  </si>
  <si>
    <t>Шкаф напольный 19", 42U2055x800х1200 мм Hyperline TTBR-4282-DD-RAL9004</t>
  </si>
  <si>
    <t>Модуль вентиляторный Hyperline TRFA-WB-MICR-4F-RAL9004</t>
  </si>
  <si>
    <t>Полка выдвижная Hyperline TSS3-800-RAL9004</t>
  </si>
  <si>
    <t>Кабельный органайзер кольцевой Hyperline WMC-1U-H-2D-BK</t>
  </si>
  <si>
    <t>Патч-панель на 48 портов Hyperline PPHD-19-48-8P8C-C6-110D</t>
  </si>
  <si>
    <t>Компьютерная 2 портовая розетка cat.6 встроенного исполнения</t>
  </si>
  <si>
    <t>Компьютерная 1 портовая розетка cat.6 встроенного исполнения</t>
  </si>
  <si>
    <t>Компьютерная 1 портовая розетка cat.6 накладного исполнения</t>
  </si>
  <si>
    <t>Розетка 2 портовая cat.6 RJ-45/HDMI встроенного исполнения</t>
  </si>
  <si>
    <t>Напольный лючок для 2 портовой розетки RJ-45/HDMI</t>
  </si>
  <si>
    <t>Установочная коробка углубленная безгалогенная HF 68х62</t>
  </si>
  <si>
    <t>Кабель витая пара, экранир. S/FTP, общий экран оплетка, категория 6A, 4 пары 23 AWG, 4х2х0,56 мм, однопров.жилы, LSZH, нг(А)-HF, внутр.-40°C – +75°Hyperline SFTP4-C6A-S23-IN-LSZH-GY-500</t>
  </si>
  <si>
    <t>Лоток перфорированный металлический оцинкованный EKF Zn50х100х3м 0,7мм</t>
  </si>
  <si>
    <t>Лоток неперфорированный металлический оцинкованный EKF Zn50х200х3м 0,7мм</t>
  </si>
  <si>
    <t>Ответвитель Т-образный оцинкованный EKF Zn50х200 0,8мм</t>
  </si>
  <si>
    <t>Ответвитель Т-образный оцинкованный EKF Zn50х100 0,8мм</t>
  </si>
  <si>
    <t>Угол 90 град. горизонтальный оцинкованный EKF Zn90гр. 50х100 0,8мм</t>
  </si>
  <si>
    <t>Подвес С-образный оцинкованный EKF Zn100х180мм</t>
  </si>
  <si>
    <t>Подвес С-образный оцинкованный Zn200х180мм</t>
  </si>
  <si>
    <t>Угол 90 град. вертикальный внешний оцинкованный EKF Zn90гр. 50х100 0,8мм</t>
  </si>
  <si>
    <t>Угол 90 град. вертикальный внешний оцинкованный EKF Zn90гр. 50х200 0,8мм</t>
  </si>
  <si>
    <t>Трубы ПНДнг для защиты кабеля Д32*2.0</t>
  </si>
  <si>
    <t>Труба гофрированная ПВХ d=25мм с зондом (100м) IEK</t>
  </si>
  <si>
    <t>СКУД здания Общежития  и АБК</t>
  </si>
  <si>
    <t>Автоматическая пожарная сигнализация здания Общежития и АБК</t>
  </si>
  <si>
    <t>Система охранного видеонаблюдения здания Общежития и АБК</t>
  </si>
  <si>
    <t>Структурированные кабельные сети здания Общежития  и АБК</t>
  </si>
  <si>
    <t>6.4.4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</si>
  <si>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</si>
  <si>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</si>
  <si>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</si>
  <si>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</si>
  <si>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</si>
  <si>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</si>
  <si>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</si>
  <si>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</si>
  <si>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</si>
  <si>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</si>
  <si>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</si>
  <si>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</si>
  <si>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6.2.4</t>
  </si>
  <si>
    <t>6.2.12</t>
  </si>
  <si>
    <t>6.2.5</t>
  </si>
  <si>
    <t>6.2.6</t>
  </si>
  <si>
    <t>6.2.7</t>
  </si>
  <si>
    <t>6.2.8</t>
  </si>
  <si>
    <t>6.2.9</t>
  </si>
  <si>
    <t>6.2.10</t>
  </si>
  <si>
    <t>6.2.11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</si>
  <si>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</si>
  <si>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</si>
  <si>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</si>
  <si>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</si>
  <si>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</si>
  <si>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</si>
  <si>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</si>
  <si>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</si>
  <si>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</si>
  <si>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</si>
  <si>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</si>
  <si>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</si>
  <si>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</si>
  <si>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</si>
  <si>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</si>
  <si>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</si>
  <si>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6.3.6</t>
  </si>
  <si>
    <t>6.3.5</t>
  </si>
  <si>
    <t>6.3.4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</si>
  <si>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</si>
  <si>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</si>
  <si>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</si>
  <si>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</si>
  <si>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</si>
  <si>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</si>
  <si>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</si>
  <si>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</si>
  <si>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</si>
  <si>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</si>
  <si>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</si>
  <si>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</si>
  <si>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</si>
  <si>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</si>
  <si>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</si>
  <si>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</si>
  <si>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</si>
  <si>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</si>
  <si>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</si>
  <si>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</si>
  <si>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</si>
  <si>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</si>
  <si>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</si>
  <si>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6.4.16</t>
  </si>
  <si>
    <t>6.4.17</t>
  </si>
  <si>
    <t>6.4.18</t>
  </si>
  <si>
    <t>6.4.19</t>
  </si>
  <si>
    <t>6.4.20</t>
  </si>
  <si>
    <t>6.4.21</t>
  </si>
  <si>
    <t>6.4.22</t>
  </si>
  <si>
    <t>6.4.23</t>
  </si>
  <si>
    <t>6.4.24</t>
  </si>
  <si>
    <t>6.4.25</t>
  </si>
  <si>
    <t>6.4.26</t>
  </si>
  <si>
    <t>6.4.27</t>
  </si>
  <si>
    <t>1.1</t>
  </si>
  <si>
    <t>Разработка грунта для трубопроводов и колодцев, устройство основания, обратная засыпка с уплотнением</t>
  </si>
  <si>
    <t>Разработка грунта</t>
  </si>
  <si>
    <t>Устройство песчаного основания</t>
  </si>
  <si>
    <t>Обратная засыпка с уплотнением</t>
  </si>
  <si>
    <t>1.2</t>
  </si>
  <si>
    <t>Монтаж колодцев в комплекте и прокладка труб В1,В2</t>
  </si>
  <si>
    <t>Труба стальная электросварная Ø57х3 мм</t>
  </si>
  <si>
    <t>Труба стальная электросварная Ø89х4 мм</t>
  </si>
  <si>
    <t>Труба стальная электросварная Ø108х4 мм</t>
  </si>
  <si>
    <t>Футляр стальной  Ø273х4 мм</t>
  </si>
  <si>
    <t>Задвижка фланцевая  Ø100мм</t>
  </si>
  <si>
    <t>Задвижка фланцевая  Ø80мм</t>
  </si>
  <si>
    <t>Задвижка фланцевая  Ø50мм</t>
  </si>
  <si>
    <t>Люк водопроводный тяжелые</t>
  </si>
  <si>
    <t>Противопожарный гидрант</t>
  </si>
  <si>
    <t>Кран сливной ф25</t>
  </si>
  <si>
    <t>2.1</t>
  </si>
  <si>
    <t>2.2</t>
  </si>
  <si>
    <t>Монтаж колодцев в комплекте и прокладка труб К1</t>
  </si>
  <si>
    <t>Колодцы К1</t>
  </si>
  <si>
    <t>Трубы канализационные ПВХ  Ø110мм</t>
  </si>
  <si>
    <t>Трубы канализационные асбестоцементная  Ø150мм</t>
  </si>
  <si>
    <t>Трубы канализационные асбестоцементная  Ø200мм</t>
  </si>
  <si>
    <t>Люки канализационные тяжелые</t>
  </si>
  <si>
    <t>3</t>
  </si>
  <si>
    <t>Разработка траншеи, обратная засыпка</t>
  </si>
  <si>
    <t>Обратная засыпка просеянной землей или песком</t>
  </si>
  <si>
    <t>Монтаж сигнальной ленты rexant 150 mm 19-3015</t>
  </si>
  <si>
    <t>Монтаж труб асбестоцементных Д-200</t>
  </si>
  <si>
    <t>Монтаж кожуха А11-2011.51, 4 анкера</t>
  </si>
  <si>
    <t>Прокладка силового кабеля в траншее КЛ-0,4кВ АВВБ 3х150+1х70 мм</t>
  </si>
  <si>
    <t>Прокладка силового кабеля в траншее КЛ-0,4кВ АВВБ 3х185+1х95 мм</t>
  </si>
  <si>
    <t>Монтаж муфт кабельных концевых 4КВНТп-1-150/240</t>
  </si>
  <si>
    <t>Труба из полипропилена, армированные стекловолокном   ∅ 15</t>
  </si>
  <si>
    <t>Труба из полипропилена, армированные стекловолокном ∅ 20</t>
  </si>
  <si>
    <t>Труба из полипропилена, армированные стекловолокном  ∅ 25</t>
  </si>
  <si>
    <t>Труба из полипропилена, армированные стекловолокном ∅ 32</t>
  </si>
  <si>
    <t>Труба из полипропилена, армированные стекловолокном ∅ 40</t>
  </si>
  <si>
    <t>Труба стальная водогазопроводная  оцинкованная  ∅ 50*3,5</t>
  </si>
  <si>
    <t>Труба стальная электросварная    ∅ 57*3</t>
  </si>
  <si>
    <t>Труба стальная электросварная    ∅63*3,5</t>
  </si>
  <si>
    <t>Труба стальная электросварная    ∅76*3,5</t>
  </si>
  <si>
    <t>Труба стальная электросварная    ∅89*4</t>
  </si>
  <si>
    <t>Кран шаровый муфтовый  Ру 1.6МПа ∅20</t>
  </si>
  <si>
    <t>Кран шаровый муфтовый  Ру 1.6МПа ∅15</t>
  </si>
  <si>
    <t>Задвижка ∅80</t>
  </si>
  <si>
    <t>Гибкие металлизированные подводки ∅15</t>
  </si>
  <si>
    <t>Кран угловой для сантехники ∅15</t>
  </si>
  <si>
    <t>Труба стальная электросварная   ∅ 50</t>
  </si>
  <si>
    <t>м. пог</t>
  </si>
  <si>
    <t>Труба стальная электросварная   ∅ 57*3</t>
  </si>
  <si>
    <t>Труба стальная электросварная   ∅ 63,5*3</t>
  </si>
  <si>
    <t>Труба стальная электросварная   ∅ 76*3</t>
  </si>
  <si>
    <t>Труба стальная электросварная   ∅ 89*4</t>
  </si>
  <si>
    <t>Пожарный кран</t>
  </si>
  <si>
    <t>Труба стальная водогазопроводная  оцинкованная  ∅ 50х3,5</t>
  </si>
  <si>
    <t>Труба стальная водогазопроводная  оцинкованная  ∅ 63х3,5</t>
  </si>
  <si>
    <t>Труба стальная водогазопроводная  оцинкованная  ∅ 76х3,5</t>
  </si>
  <si>
    <t>Умывальник керамический</t>
  </si>
  <si>
    <t>комплект</t>
  </si>
  <si>
    <t>а)   сифон бутылочный пластмассовый</t>
  </si>
  <si>
    <t>б)   смеситель для умывальника СМ</t>
  </si>
  <si>
    <t>в)    кронштейны открытые чугунный малой модели Кр УОМ</t>
  </si>
  <si>
    <t>Унитаз керамический</t>
  </si>
  <si>
    <t>а)   Бачок смывной низкораспологаемый керамический</t>
  </si>
  <si>
    <t>б)    Гофра А97 гибкая подводка д/выпуска унитаза</t>
  </si>
  <si>
    <t>в)    Инсталяция для унитаза</t>
  </si>
  <si>
    <t>Мойка</t>
  </si>
  <si>
    <t>Писсуар</t>
  </si>
  <si>
    <t>Душевая</t>
  </si>
  <si>
    <t>Кран Маевского</t>
  </si>
  <si>
    <t>Ревизия ∅100</t>
  </si>
  <si>
    <t>Труба стальная водогазопроводная    ∅ 57)3</t>
  </si>
  <si>
    <t>Дренажный насос ГНОМ 10-10Т</t>
  </si>
  <si>
    <t>5.1.22</t>
  </si>
  <si>
    <t>5.1.23</t>
  </si>
  <si>
    <t>5.1.24</t>
  </si>
  <si>
    <t>5.1.25</t>
  </si>
  <si>
    <t>5.1.26</t>
  </si>
  <si>
    <t>5.1.27</t>
  </si>
  <si>
    <t>5.1.28</t>
  </si>
  <si>
    <t>5.1.29</t>
  </si>
  <si>
    <t>5.1.30</t>
  </si>
  <si>
    <t>5.1.31</t>
  </si>
  <si>
    <t>5.1.32</t>
  </si>
  <si>
    <t>5.1.33</t>
  </si>
  <si>
    <t>5.1.34</t>
  </si>
  <si>
    <t>5.1.35</t>
  </si>
  <si>
    <t>5.1.36</t>
  </si>
  <si>
    <t>5.1.37</t>
  </si>
  <si>
    <t>5.1.38</t>
  </si>
  <si>
    <t>5.1.39</t>
  </si>
  <si>
    <t>5.1.40</t>
  </si>
  <si>
    <t>5.1.41</t>
  </si>
  <si>
    <t>5.1.42</t>
  </si>
  <si>
    <t>5.1.43</t>
  </si>
  <si>
    <t>5.1.44</t>
  </si>
  <si>
    <t>5.1.45</t>
  </si>
  <si>
    <t>5.1.46</t>
  </si>
  <si>
    <t>5.1.47</t>
  </si>
  <si>
    <t>Задвижка стальная фланцевая Ду-50 Ру-16</t>
  </si>
  <si>
    <t>Кран шаровой латунный, муфтовый, рукоятка-бабочка д.15</t>
  </si>
  <si>
    <t>Гибкая подводка</t>
  </si>
  <si>
    <r>
      <rPr>
        <sz val="10"/>
        <color rgb="FF010101"/>
        <rFont val="Times New Roman"/>
        <family val="1"/>
        <charset val="204"/>
      </rPr>
      <t>Труба стальная электросварная</t>
    </r>
    <r>
      <rPr>
        <sz val="10"/>
        <rFont val="Times New Roman"/>
        <family val="1"/>
        <charset val="204"/>
      </rPr>
      <t xml:space="preserve"> 057х3.5</t>
    </r>
  </si>
  <si>
    <t>Труба PP-RCT серая армированная  алюминием Дн48</t>
  </si>
  <si>
    <t>Труба PP-RCT серая армированная  алюминием Дн 42,3</t>
  </si>
  <si>
    <t>Труба PP-RCT серая армированная  алюминием Дн 32</t>
  </si>
  <si>
    <t>Труба PP-RCT серая армированная  алюминием Дн26,8</t>
  </si>
  <si>
    <t>Труба PP-RCT серая армированная  алюминием Дн 21</t>
  </si>
  <si>
    <t>Труба PP-RCT серая армированная  алюминием Дн16х2,2</t>
  </si>
  <si>
    <t>Изоляция трубопроводов t=30мм</t>
  </si>
  <si>
    <t>Задвижка  Ду-100 с электроприводом ГЗ фланцевая, Ру=10 кгс/см2</t>
  </si>
  <si>
    <t>Кран стальной под приварку Ду-50 Ру-40 L=ЗООмм МАРШАЛ</t>
  </si>
  <si>
    <t>Вантуз автоматический однокамерный чугунный фланцевый Ду-50 Ру-10/16</t>
  </si>
  <si>
    <t>Пожарный кран 0  50 мм комплектно: производительность пожарной струи 2,6 л/сек, диаметр спрыска 16 мм, длина пожарного рукава - 20,0 м</t>
  </si>
  <si>
    <t>Труба стальная электросварная 108х4,0</t>
  </si>
  <si>
    <t>Труба стальная электросварная  57х3.5</t>
  </si>
  <si>
    <t>Кран стальной под приварку Ду-32 Ру-40 L=260мм МАРШАЛ</t>
  </si>
  <si>
    <r>
      <rPr>
        <sz val="11"/>
        <color rgb="FF010101"/>
        <rFont val="Times New Roman"/>
        <family val="1"/>
        <charset val="204"/>
      </rPr>
      <t>Кран стальной под приварку Ду-50 Ру-40 L=300мм МАРШАЛ</t>
    </r>
  </si>
  <si>
    <t>Кран латунный Ду-15 (1/2") Ру-40 ВР (ВН)  полнопроходной рычаг</t>
  </si>
  <si>
    <t>Кран для спуска воздуха</t>
  </si>
  <si>
    <t>5.2.22</t>
  </si>
  <si>
    <t>Смеситель с душевой сеткой на гибком шланге</t>
  </si>
  <si>
    <t>5.2.23</t>
  </si>
  <si>
    <t>Смеситель для умывальников и раковин</t>
  </si>
  <si>
    <t>5.2.24</t>
  </si>
  <si>
    <r>
      <rPr>
        <sz val="11"/>
        <color rgb="FF010101"/>
        <rFont val="Times New Roman"/>
        <family val="1"/>
        <charset val="204"/>
      </rPr>
      <t>Гибкая подводка</t>
    </r>
  </si>
  <si>
    <t>5.2.25</t>
  </si>
  <si>
    <t>Труба стальная водогазопроводная 57х3.5</t>
  </si>
  <si>
    <t>5.2.26</t>
  </si>
  <si>
    <t>Труба PP-RCT серая армированная алюминием Дн  48</t>
  </si>
  <si>
    <t>5.2.27</t>
  </si>
  <si>
    <t>Труба PP-RCT серая армированная алюминием 42.3</t>
  </si>
  <si>
    <t>5.2.28</t>
  </si>
  <si>
    <t>Труба PP-RCT серая армированная алюминием Дн  32</t>
  </si>
  <si>
    <t>5.2.29</t>
  </si>
  <si>
    <t>Труба PP-RCT серая армированная алюминием Дн 26.8</t>
  </si>
  <si>
    <t>5.2.30</t>
  </si>
  <si>
    <t>Труба PP-RCT серая армированная алюминием Дн 21</t>
  </si>
  <si>
    <t>5.2.31</t>
  </si>
  <si>
    <r>
      <rPr>
        <sz val="11"/>
        <color rgb="FF010101"/>
        <rFont val="Times New Roman"/>
        <family val="1"/>
        <charset val="204"/>
      </rPr>
      <t>Труба PP-RCT серая армированная алюминием Дн 16х2.2</t>
    </r>
  </si>
  <si>
    <t>5.2.32</t>
  </si>
  <si>
    <r>
      <rPr>
        <sz val="11"/>
        <color rgb="FF010101"/>
        <rFont val="Times New Roman"/>
        <family val="1"/>
        <charset val="204"/>
      </rPr>
      <t>Изоляция трубопроводов t=50мм</t>
    </r>
  </si>
  <si>
    <t>5.2.33</t>
  </si>
  <si>
    <t>Унитаз с  выпуском в комплекте с бачком</t>
  </si>
  <si>
    <t>5.2.34</t>
  </si>
  <si>
    <t>5.2.35</t>
  </si>
  <si>
    <t>Поддон душевой в комплекте</t>
  </si>
  <si>
    <t>Трубы пластиковая ПВХ канализационные ∅50</t>
  </si>
  <si>
    <t>Трубы пластиковая ПВХ канализационные ∅100</t>
  </si>
  <si>
    <t>Трубы пластиковая ПВХ канализационные ∅150</t>
  </si>
  <si>
    <t>5.3.4</t>
  </si>
  <si>
    <t>Прочистка ПНД в лючке Ⱦ100мм</t>
  </si>
  <si>
    <t>5.3.5</t>
  </si>
  <si>
    <t>Воздушный клапан ∅50мм</t>
  </si>
  <si>
    <t>5.3.6</t>
  </si>
  <si>
    <t>5.3.7</t>
  </si>
  <si>
    <t>Трап Ⱦ100</t>
  </si>
  <si>
    <t>Труба НПВХ (ПВХ) канализационная серая Дн 110х3,2 безнапорная</t>
  </si>
  <si>
    <t>Труба НПВХ (ПВХ) канализационная серая Дн 50х3,2 безнапорная</t>
  </si>
  <si>
    <t>Отопление Общежитие</t>
  </si>
  <si>
    <t>Сбросник воздуха</t>
  </si>
  <si>
    <t>Кран шаровый д. 32</t>
  </si>
  <si>
    <t>Кран шаровый д. 25</t>
  </si>
  <si>
    <t>Кран шаровый д. 20</t>
  </si>
  <si>
    <t>Клапан выпуска воздуха радиаторный   д. 15</t>
  </si>
  <si>
    <t>Клапан термостатическии прямой        д. 15</t>
  </si>
  <si>
    <t>Клапан термостатическии запорный       д. 15</t>
  </si>
  <si>
    <t>Головка термостатическая</t>
  </si>
  <si>
    <t>Pадиаторы чугунные - 14 секций</t>
  </si>
  <si>
    <t>Pадиаторы чугунные - 12  секций</t>
  </si>
  <si>
    <t>Pадиаторы чугунные - 10  секций</t>
  </si>
  <si>
    <t>Pадиаторы чугунные - 8  секций</t>
  </si>
  <si>
    <t>Pадиаторы чугунные - 6  секций</t>
  </si>
  <si>
    <t xml:space="preserve">Труба стальная водогазопроводная   76х3.5  </t>
  </si>
  <si>
    <t>Труба стальная водогазопроводная   57х3.5</t>
  </si>
  <si>
    <t>5.5.16</t>
  </si>
  <si>
    <t>Труба стальная водогазопроводная   40х3</t>
  </si>
  <si>
    <t>5.5.17</t>
  </si>
  <si>
    <t>Труба полипропиленовая   32х2.8</t>
  </si>
  <si>
    <t>5.5.18</t>
  </si>
  <si>
    <t>Труба полипропиленовая   25х2.8</t>
  </si>
  <si>
    <t>5.5.19</t>
  </si>
  <si>
    <t>Труба полипропиленовая   20х2</t>
  </si>
  <si>
    <t>5.5.20</t>
  </si>
  <si>
    <t>Трубчатая изоляция  Ду 25</t>
  </si>
  <si>
    <t>5.5.21</t>
  </si>
  <si>
    <t>Трубчатая изоляция  Ду 32</t>
  </si>
  <si>
    <t>5.5.22</t>
  </si>
  <si>
    <t>Трубчатая изоляция  Ду 40</t>
  </si>
  <si>
    <t>5.5.23</t>
  </si>
  <si>
    <t>Трубчатая изоляция  Ду 50</t>
  </si>
  <si>
    <t>5.5.24</t>
  </si>
  <si>
    <t>Трубчатая изоляция  Ду 76</t>
  </si>
  <si>
    <t>5.5.25</t>
  </si>
  <si>
    <t>Терморегулятор</t>
  </si>
  <si>
    <t>5.5.26</t>
  </si>
  <si>
    <t>Термодатчик</t>
  </si>
  <si>
    <t>Кран шаровый д. 21</t>
  </si>
  <si>
    <t>Клапан термостатический прямой д. 15</t>
  </si>
  <si>
    <t>Клапан выпуска воздуха радиаторный д. 15</t>
  </si>
  <si>
    <t>Разъемная муфта с внешней резьбой</t>
  </si>
  <si>
    <t>Отвод  90°</t>
  </si>
  <si>
    <t>5.6.8</t>
  </si>
  <si>
    <t>Т-образный тройник</t>
  </si>
  <si>
    <t>5.6.9</t>
  </si>
  <si>
    <t>Термостатический элемент</t>
  </si>
  <si>
    <t>5.6.10</t>
  </si>
  <si>
    <t>Радиаторы чугунные - 14  секций</t>
  </si>
  <si>
    <t>секц</t>
  </si>
  <si>
    <t>5.6.11</t>
  </si>
  <si>
    <t>Радиаторы чугунные - 12  секций</t>
  </si>
  <si>
    <t>5.6.12</t>
  </si>
  <si>
    <t>Радиаторы чугунные - 10 секций</t>
  </si>
  <si>
    <t>5.6.13</t>
  </si>
  <si>
    <t>Радиаторы чугунные - 9  секций</t>
  </si>
  <si>
    <t>5.6.14</t>
  </si>
  <si>
    <t>Радиаторы чугунные - 8  секций</t>
  </si>
  <si>
    <t>5.6.15</t>
  </si>
  <si>
    <t>Радиаторы чугунные -   6 секций</t>
  </si>
  <si>
    <t>5.6.16</t>
  </si>
  <si>
    <t>Труба полипропиленовая 20х2.8</t>
  </si>
  <si>
    <t>5.6.17</t>
  </si>
  <si>
    <t>Труба полипропиленовая 25х3.2</t>
  </si>
  <si>
    <t>5.6.18</t>
  </si>
  <si>
    <t xml:space="preserve">Труба полипропиленовая 32х3.2 </t>
  </si>
  <si>
    <t>5.6.19</t>
  </si>
  <si>
    <t>Труба стальная водогазопроводоная   40х3.5</t>
  </si>
  <si>
    <t>5.6.20</t>
  </si>
  <si>
    <t>Трубы электросварные  76х3.0</t>
  </si>
  <si>
    <t>Осевой вентилятор,   0,018 к8т</t>
  </si>
  <si>
    <t>Воздуховод из оцинк.  стали т. 0,5 мм 200х100</t>
  </si>
  <si>
    <t xml:space="preserve">Изовер т. 0.04    </t>
  </si>
  <si>
    <t>Вент  зонт</t>
  </si>
  <si>
    <t>5.7.6</t>
  </si>
  <si>
    <t>5.7.7</t>
  </si>
  <si>
    <t>5.7.8</t>
  </si>
  <si>
    <t>Переточная решетка</t>
  </si>
  <si>
    <t>Канальный вентилятор,  0.28 кВт</t>
  </si>
  <si>
    <t>Шумоглушитель L=600</t>
  </si>
  <si>
    <t>5.8.3</t>
  </si>
  <si>
    <t>Вод калорифер 12кВт</t>
  </si>
  <si>
    <t>5.8.4</t>
  </si>
  <si>
    <t>Фильтр-бокс</t>
  </si>
  <si>
    <t>5.8.5</t>
  </si>
  <si>
    <t>Сменная кассета для фильтр-бокса</t>
  </si>
  <si>
    <t>5.8.6</t>
  </si>
  <si>
    <t>Клапан обратный</t>
  </si>
  <si>
    <t>5.8.7</t>
  </si>
  <si>
    <t>Решетка вентиляционная</t>
  </si>
  <si>
    <t>5.8.8</t>
  </si>
  <si>
    <t xml:space="preserve">Решетка наружная </t>
  </si>
  <si>
    <t>5.8.9</t>
  </si>
  <si>
    <t xml:space="preserve">Воздуховод из тонколистовой оцинкованной стали б=0.5 мм, 250х200  </t>
  </si>
  <si>
    <t>мп</t>
  </si>
  <si>
    <t>5.8.10</t>
  </si>
  <si>
    <t>Теплоизоляция фольгированныя, б=0.05    м</t>
  </si>
  <si>
    <t>м 2</t>
  </si>
  <si>
    <t>5.8.11</t>
  </si>
  <si>
    <t>5.8.12</t>
  </si>
  <si>
    <t>5.8.13</t>
  </si>
  <si>
    <t>5.8.14</t>
  </si>
  <si>
    <t>5.8.15</t>
  </si>
  <si>
    <t>5.8.16</t>
  </si>
  <si>
    <t>5.8.17</t>
  </si>
  <si>
    <t>5.8.18</t>
  </si>
  <si>
    <t>5.8.19</t>
  </si>
  <si>
    <t>5.8.20</t>
  </si>
  <si>
    <t>5.8.21</t>
  </si>
  <si>
    <t>5.8.22</t>
  </si>
  <si>
    <t>5.8.23</t>
  </si>
  <si>
    <t>5.8.24</t>
  </si>
  <si>
    <t>5.8.25</t>
  </si>
  <si>
    <t>5.8.26</t>
  </si>
  <si>
    <t>5.8.27</t>
  </si>
  <si>
    <t>5.8.28</t>
  </si>
  <si>
    <t>5.8.29</t>
  </si>
  <si>
    <t>5.8.30</t>
  </si>
  <si>
    <t>5.8.31</t>
  </si>
  <si>
    <t>5.8.32</t>
  </si>
  <si>
    <t>5.8.33</t>
  </si>
  <si>
    <t>5.8.34</t>
  </si>
  <si>
    <t>5.8.35</t>
  </si>
  <si>
    <t>5.8.36</t>
  </si>
  <si>
    <t>5.8.37</t>
  </si>
  <si>
    <t>5.8.38</t>
  </si>
  <si>
    <t>5.8.39</t>
  </si>
  <si>
    <t xml:space="preserve">Воздуховод из тонколистовой оцинкованной стали б=0.5 мм, 200х400  </t>
  </si>
  <si>
    <t>5.8.40</t>
  </si>
  <si>
    <t xml:space="preserve">Воздуховод из тонколистовой оцинкованной стали б=0.5 мм, 400х200 </t>
  </si>
  <si>
    <t>5.8.41</t>
  </si>
  <si>
    <t>5.8.42</t>
  </si>
  <si>
    <t>5.8.43</t>
  </si>
  <si>
    <t>5.8.44</t>
  </si>
  <si>
    <t>5.8.45</t>
  </si>
  <si>
    <t>5.8.46</t>
  </si>
  <si>
    <t>5.8.47</t>
  </si>
  <si>
    <t>5.8.48</t>
  </si>
  <si>
    <t>5.8.49</t>
  </si>
  <si>
    <t>5.8.50</t>
  </si>
  <si>
    <t>5.8.51</t>
  </si>
  <si>
    <t>5.8.52</t>
  </si>
  <si>
    <t>5.8.53</t>
  </si>
  <si>
    <t>5.8.54</t>
  </si>
  <si>
    <t>5.8.55</t>
  </si>
  <si>
    <t>5.8.56</t>
  </si>
  <si>
    <t>5.8.57</t>
  </si>
  <si>
    <t>5.8.58</t>
  </si>
  <si>
    <t>5.8.59</t>
  </si>
  <si>
    <t>5.8.60</t>
  </si>
  <si>
    <t>5.8.61</t>
  </si>
  <si>
    <t>5.8.62</t>
  </si>
  <si>
    <t>5.8.63</t>
  </si>
  <si>
    <t>5.8.64</t>
  </si>
  <si>
    <t>Канальный вентилятор,  0.15 кВт</t>
  </si>
  <si>
    <t>5.8.65</t>
  </si>
  <si>
    <t>5.8.66</t>
  </si>
  <si>
    <t>5.8.67</t>
  </si>
  <si>
    <t>5.8.68</t>
  </si>
  <si>
    <t>Наружныи вентиляционный зонт составной</t>
  </si>
  <si>
    <t>5.8.69</t>
  </si>
  <si>
    <t>5.8.70</t>
  </si>
  <si>
    <t>Теплоизоляция фольгированныи, б=0.05м</t>
  </si>
  <si>
    <t>5.8.71</t>
  </si>
  <si>
    <t>Осевой вентилятор, 0.016 кВт</t>
  </si>
  <si>
    <t>5.8.72</t>
  </si>
  <si>
    <t>5.8.73</t>
  </si>
  <si>
    <t>Воздуховод из оцинк. стали покрытыи огнезащит. составом 0.5 д.150</t>
  </si>
  <si>
    <t>5.8.74</t>
  </si>
  <si>
    <t>5.8.75</t>
  </si>
  <si>
    <t>5.8.76</t>
  </si>
  <si>
    <t>5.8.77</t>
  </si>
  <si>
    <t>5.8.78</t>
  </si>
  <si>
    <t>Решетка вентиляционная 100х200</t>
  </si>
  <si>
    <t>5.8.79</t>
  </si>
  <si>
    <t>Решетка вентиляционная 150х200</t>
  </si>
  <si>
    <t>5.8.80</t>
  </si>
  <si>
    <t>Наружныи вентиляционный зонт составной 500х250</t>
  </si>
  <si>
    <t>5.8.81</t>
  </si>
  <si>
    <t>Воздуховод из тонколистовои оцинкованнои стали б=0.5 мм, 200х150</t>
  </si>
  <si>
    <t>5.8.82</t>
  </si>
  <si>
    <t>Воздуховод из тонколистовои оцинкованнои стали б=0.5 мм, 200х200</t>
  </si>
  <si>
    <t>5.8.83</t>
  </si>
  <si>
    <t>Воздуховод из тонколистовои оцинкованнои стали б=0.5 мм,  300х200</t>
  </si>
  <si>
    <t>5.8.84</t>
  </si>
  <si>
    <t>Воздуховод из тонколистовои оцинкованнои стали б=0.5 мм, 400х200</t>
  </si>
  <si>
    <t>5.8.85</t>
  </si>
  <si>
    <t>Воздуховод из тонколистовои оцинкованнои стали б=0.5 мм, 400х300</t>
  </si>
  <si>
    <t>5.8.86</t>
  </si>
  <si>
    <t>Воздуховод из тонколистовои оцинкованнои стали б=0.5 мм, 500х250</t>
  </si>
  <si>
    <t>5.8.87</t>
  </si>
  <si>
    <t>5.8.88</t>
  </si>
  <si>
    <t>Канальныи вентилятор, .=0.8  к8т</t>
  </si>
  <si>
    <t>5.8.89</t>
  </si>
  <si>
    <t>Шумоглушитель L=900</t>
  </si>
  <si>
    <t>5.8.90</t>
  </si>
  <si>
    <t>5.8.91</t>
  </si>
  <si>
    <t>5.8.92</t>
  </si>
  <si>
    <t>Наружныи вентиляционныи зонт составнои</t>
  </si>
  <si>
    <t>5.8.93</t>
  </si>
  <si>
    <t>Воздуховод из тонколистовои оцинкованнои стали б=0.5 мм, 200х100</t>
  </si>
  <si>
    <t>5.8.94</t>
  </si>
  <si>
    <t>5.8.95</t>
  </si>
  <si>
    <t>5.8.96</t>
  </si>
  <si>
    <t>Канальныи вентилятор .   87 кВт</t>
  </si>
  <si>
    <t>5.8.97</t>
  </si>
  <si>
    <t>5.8.98</t>
  </si>
  <si>
    <t>5.8.99</t>
  </si>
  <si>
    <t>5.8.100</t>
  </si>
  <si>
    <t>5.8.101</t>
  </si>
  <si>
    <t>5.8.102</t>
  </si>
  <si>
    <t>5.8.103</t>
  </si>
  <si>
    <t>Воздуховод из тонколистовои оцинкованнои стали б=0.5 мм, 500х300</t>
  </si>
  <si>
    <t>5.8.104</t>
  </si>
  <si>
    <t>5.8.105</t>
  </si>
  <si>
    <t>5.8.106</t>
  </si>
  <si>
    <t>5.8.107</t>
  </si>
  <si>
    <t>5.8.108</t>
  </si>
  <si>
    <t>5.8.109</t>
  </si>
  <si>
    <t>5.8.110</t>
  </si>
  <si>
    <t>5.8.111</t>
  </si>
  <si>
    <t>5.8.112</t>
  </si>
  <si>
    <t>5.8.113</t>
  </si>
  <si>
    <t>5.8.114</t>
  </si>
  <si>
    <t>Сплит-система 2.34 кВт</t>
  </si>
  <si>
    <t>ВРУ 1</t>
  </si>
  <si>
    <t>ШР1-ЩЗ6, ЩВ1-ЩВ4</t>
  </si>
  <si>
    <t>ИБП</t>
  </si>
  <si>
    <t>5.9.4</t>
  </si>
  <si>
    <t>ЩАО</t>
  </si>
  <si>
    <t>5.9.5</t>
  </si>
  <si>
    <t>Выключатель внутриный установки, одноклавишный, ном. ток 10А, (IP20).</t>
  </si>
  <si>
    <t>5.9.6</t>
  </si>
  <si>
    <t>Выключатель внутриный установки, двухклавишный, ном. ток 10А, (IP20).</t>
  </si>
  <si>
    <t>5.9.7</t>
  </si>
  <si>
    <t>Розетки внутренняя двухместная с заземляющим контактом</t>
  </si>
  <si>
    <t>5.9.8</t>
  </si>
  <si>
    <t>Розетки внутренняя одноместная с заземляющим контактом</t>
  </si>
  <si>
    <t>5.9.9</t>
  </si>
  <si>
    <t>Светильник потолочный, на 1 лампу с цоколем Е 27, IP4460Вт</t>
  </si>
  <si>
    <t>5.9.10</t>
  </si>
  <si>
    <t>Светильник потолочный,светодиодный мощностью 33Вт</t>
  </si>
  <si>
    <t>5.9.11</t>
  </si>
  <si>
    <t>Светильник потолочный,светодиодныймощностью18Вт</t>
  </si>
  <si>
    <t>5.9.12</t>
  </si>
  <si>
    <t>Датчики движения</t>
  </si>
  <si>
    <t>5.9.13</t>
  </si>
  <si>
    <t>Распределительные коробки</t>
  </si>
  <si>
    <t>5.9.14</t>
  </si>
  <si>
    <t>Соединение проводов</t>
  </si>
  <si>
    <t>5.9.15</t>
  </si>
  <si>
    <t>Провод медный изолированный, ГОСТ 6323-79, сечением: 1 х4 мм2</t>
  </si>
  <si>
    <t>5.9.16</t>
  </si>
  <si>
    <t>Кабель медный в двойной изоляции, ГОСТ 16442-80, сечением</t>
  </si>
  <si>
    <t>5.9.17</t>
  </si>
  <si>
    <t>5х16 мм2</t>
  </si>
  <si>
    <t>5.9.18</t>
  </si>
  <si>
    <t>3х1.5 мм2</t>
  </si>
  <si>
    <t>5.9.19</t>
  </si>
  <si>
    <t>3х2.5 мм2</t>
  </si>
  <si>
    <t>5.9.20</t>
  </si>
  <si>
    <t>5х10 мм2</t>
  </si>
  <si>
    <t>5.9.21</t>
  </si>
  <si>
    <t>3х4 мм2</t>
  </si>
  <si>
    <t>5.9.22</t>
  </si>
  <si>
    <t>5х6 мм2</t>
  </si>
  <si>
    <t>5.9.23</t>
  </si>
  <si>
    <t>5.9.24</t>
  </si>
  <si>
    <t>5.9.25</t>
  </si>
  <si>
    <t>3х6 мм2</t>
  </si>
  <si>
    <t>5.9.26</t>
  </si>
  <si>
    <t>5х4 мм2</t>
  </si>
  <si>
    <t>5.9.27</t>
  </si>
  <si>
    <t>1х4мм2</t>
  </si>
  <si>
    <t>5.9.28</t>
  </si>
  <si>
    <t>Труба гофрированная ПВХ20</t>
  </si>
  <si>
    <t>5.9.29</t>
  </si>
  <si>
    <t>Труба гофрированная ПВХ25</t>
  </si>
  <si>
    <t>5.9.30</t>
  </si>
  <si>
    <t>Система кабеленесущих конструкций.</t>
  </si>
  <si>
    <t>5.9.31</t>
  </si>
  <si>
    <t>Угол 90гр. Горизонтальный Лестничного лотка в комплекте
с соответствующим количеством соединительных метизов</t>
  </si>
  <si>
    <t>5.9.32</t>
  </si>
  <si>
    <t>Лоток неперфорированный (по 3 метра) с произвольно вводимым количеством соединительных метизов
и вариацией видов</t>
  </si>
  <si>
    <t>5.9.33</t>
  </si>
  <si>
    <t>Угол вертикальный изменяемый Лестничного лотка в комплекте
с соответствующим количеством соединительных метизов</t>
  </si>
  <si>
    <t>5.9.34</t>
  </si>
  <si>
    <t>Главная заземляющая шина с изоляторами,</t>
  </si>
  <si>
    <t>5.9.35</t>
  </si>
  <si>
    <t>Блок крепления</t>
  </si>
  <si>
    <t>5.9.36</t>
  </si>
  <si>
    <t>ст круг 10мм</t>
  </si>
  <si>
    <t>5.9.37</t>
  </si>
  <si>
    <t>Полоса металлическая 40х4</t>
  </si>
  <si>
    <t>5.9.38</t>
  </si>
  <si>
    <t>Ст уг 50х50х5 L=3м</t>
  </si>
  <si>
    <t>5.9.39</t>
  </si>
  <si>
    <t>Трубный хомут заземления МХ</t>
  </si>
  <si>
    <t>компл</t>
  </si>
  <si>
    <t>Щиты ЩР1-ШР4, ЩТ1, ЩТ2</t>
  </si>
  <si>
    <t>Щиты ЩА1, ЩА2, ЩАО</t>
  </si>
  <si>
    <t>Выключатель внутриный установки, переключатель, ном. ток 10А, (IP20).</t>
  </si>
  <si>
    <t>Розетка двухполюсная одноместная</t>
  </si>
  <si>
    <t>5.10.10</t>
  </si>
  <si>
    <t>5.10.11</t>
  </si>
  <si>
    <t>Розетка с пылевлагозащитой IP55</t>
  </si>
  <si>
    <t>5.10.12</t>
  </si>
  <si>
    <t>5.10.13</t>
  </si>
  <si>
    <t>Светильник потолочный,светодиодный мощностью33Вт</t>
  </si>
  <si>
    <t>5.10.14</t>
  </si>
  <si>
    <t>5.10.15</t>
  </si>
  <si>
    <t>5.10.16</t>
  </si>
  <si>
    <t>5.10.17</t>
  </si>
  <si>
    <t>упаковка</t>
  </si>
  <si>
    <t>5.10.18</t>
  </si>
  <si>
    <t>5.10.19</t>
  </si>
  <si>
    <t>5.10.20</t>
  </si>
  <si>
    <t>5.10.21</t>
  </si>
  <si>
    <t>5.10.22</t>
  </si>
  <si>
    <t>5.10.23</t>
  </si>
  <si>
    <t>5.10.24</t>
  </si>
  <si>
    <t>5.10.25</t>
  </si>
  <si>
    <t>5.10.26</t>
  </si>
  <si>
    <t>5.10.27</t>
  </si>
  <si>
    <t>5.10.28</t>
  </si>
  <si>
    <t>5х6мм2</t>
  </si>
  <si>
    <t>5.10.29</t>
  </si>
  <si>
    <t>5х25мм2</t>
  </si>
  <si>
    <t>5.10.30</t>
  </si>
  <si>
    <t>5.10.31</t>
  </si>
  <si>
    <t>3х4мм2</t>
  </si>
  <si>
    <t>5.10.32</t>
  </si>
  <si>
    <t>3х1.5мм2</t>
  </si>
  <si>
    <t>5.10.33</t>
  </si>
  <si>
    <t>Труба гофрированная ПФХ 20</t>
  </si>
  <si>
    <t>5.10.34</t>
  </si>
  <si>
    <t>Труба гофрированная ПФХ 25</t>
  </si>
  <si>
    <t>5.10.35</t>
  </si>
  <si>
    <t>5.10.36</t>
  </si>
  <si>
    <t>5.10.37</t>
  </si>
  <si>
    <t>5.10.38</t>
  </si>
  <si>
    <t>5.10.39</t>
  </si>
  <si>
    <t>5.10.40</t>
  </si>
  <si>
    <t>5.10.41</t>
  </si>
  <si>
    <t>Металлорукав нг</t>
  </si>
  <si>
    <t>5.10.42</t>
  </si>
  <si>
    <t>ПВХ РЗ-ЦП - 32д</t>
  </si>
  <si>
    <t>Устройство настенных покрытий из керамической плитка в санузлах и душевых</t>
  </si>
  <si>
    <t>Отделочные работы</t>
  </si>
  <si>
    <t>Устройство огезащитноых покрытий МК</t>
  </si>
  <si>
    <t>Заполнение внутренних проемов  здания АБК</t>
  </si>
  <si>
    <t>Заполнение внутренних проемов  здания Общежития</t>
  </si>
  <si>
    <t xml:space="preserve">Установка нагревательных матов теплого пола в помещениях санузлов </t>
  </si>
  <si>
    <t>Устройство потолочных конструкций из  ГКЛ в 1 слой</t>
  </si>
  <si>
    <t>ИТОГО 5 ЭТАП ОТДЕЛКА</t>
  </si>
  <si>
    <t xml:space="preserve">ИТОГО 5 ЭТАП </t>
  </si>
  <si>
    <t>ИТОГО 5 ЭТАП СЕТИ</t>
  </si>
  <si>
    <t>2.1.1</t>
  </si>
  <si>
    <t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t>
  </si>
  <si>
    <t>2.1.2</t>
  </si>
  <si>
    <t>Разработка грунта котлована здания Общежития с погрузкой, перемещением ик месту устройства оснований для фундаментов Общежития</t>
  </si>
  <si>
    <t>2.1.3</t>
  </si>
  <si>
    <t>Устройство грунтовых оснований для фундаментов эдания Общежития ниже отм. -2.700</t>
  </si>
  <si>
    <t>Земляные работы</t>
  </si>
  <si>
    <t>2.1.6</t>
  </si>
  <si>
    <t>Планировка мест предполагаемого строительства здания АБК, срезка, перемещение, погрузка, перевозка и складирование почвенно-растительного слоя</t>
  </si>
  <si>
    <t>2.1.7</t>
  </si>
  <si>
    <t>Разработка грунта котлованов здания АБК с погрузкой, перемещением к мету устройства оснований для фундаментов АБК</t>
  </si>
  <si>
    <t>2.1.8</t>
  </si>
  <si>
    <t>Устройство грунтовых оснований для фундаментов эдания АБК ниже отм. -2.700</t>
  </si>
  <si>
    <t>Земляные работы здание Галереи</t>
  </si>
  <si>
    <t>2.1.11</t>
  </si>
  <si>
    <t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t>
  </si>
  <si>
    <t>2.1.12</t>
  </si>
  <si>
    <t>Обратная засыпка привозным песком пазух котлована переходной Галереи</t>
  </si>
  <si>
    <t>Фундаменты</t>
  </si>
  <si>
    <t>Устройсво бетонной подготовки для фундаментов  и цокольных стен здания Общежития</t>
  </si>
  <si>
    <t>2.2.2</t>
  </si>
  <si>
    <t>2.2.6</t>
  </si>
  <si>
    <t xml:space="preserve"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 </t>
  </si>
  <si>
    <t>Фундаменты здание Галереи</t>
  </si>
  <si>
    <t>2.2.9</t>
  </si>
  <si>
    <t>Устройсво бетонной подготовки для фундаментов переходной Галереи</t>
  </si>
  <si>
    <t>2.2.10</t>
  </si>
  <si>
    <t xml:space="preserve"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 </t>
  </si>
  <si>
    <r>
      <rPr>
        <vertAlign val="subscript"/>
        <sz val="11"/>
        <rFont val="Times New Roman"/>
        <family val="1"/>
        <charset val="204"/>
      </rPr>
      <t xml:space="preserve">м </t>
    </r>
    <r>
      <rPr>
        <sz val="11"/>
        <rFont val="Times New Roman"/>
        <family val="1"/>
        <charset val="204"/>
      </rPr>
      <t>2</t>
    </r>
  </si>
  <si>
    <t xml:space="preserve">ИТОГО 6 ЭТАП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</si>
</sst>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* #,##0.00\ _₽_-;\-* #,##0.00\ _₽_-;_-* &quot;-&quot;??\ _₽_-;_-@_-"/>
    <numFmt numFmtId="169" formatCode="_-* #,##0.00_р_._-;\-* #,##0.00_р_._-;_-* &quot;-&quot;??_р_._-;_-@_-"/>
    <numFmt numFmtId="170" formatCode="_-* #,##0.000\ _₽_-;\-* #,##0.000\ _₽_-;_-* &quot;-&quot;??\ _₽_-;_-@_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i/>
      <sz val="11"/>
      <color rgb="FFC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10101"/>
      <name val="Times New Roman"/>
      <family val="1"/>
      <charset val="204"/>
    </font>
    <font>
      <sz val="11"/>
      <color rgb="FF010101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i/>
      <sz val="11"/>
      <color rgb="FFC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6" fillId="0" borderId="0">
      <protection locked="0"/>
    </xf>
    <xf numFmtId="0" fontId="6" fillId="0" borderId="0">
      <protection locked="0"/>
    </xf>
    <xf numFmtId="169" fontId="1" fillId="0" borderId="0" applyFont="0" applyFill="0" applyBorder="0" applyAlignment="0" applyProtection="0"/>
    <xf numFmtId="0" fontId="12" fillId="0" borderId="0">
      <alignment vertical="center"/>
    </xf>
    <xf numFmtId="169" fontId="13" fillId="0" borderId="0">
      <alignment vertical="top"/>
      <protection locked="0"/>
    </xf>
    <xf numFmtId="0" fontId="1" fillId="0" borderId="0"/>
  </cellStyleXfs>
  <cellXfs count="138">
    <xf numFmtId="0" fontId="0" fillId="0" borderId="0" xfId="0"/>
    <xf numFmtId="0" fontId="4" fillId="0" borderId="0" xfId="0" applyFont="1"/>
    <xf numFmtId="0" fontId="4" fillId="2" borderId="0" xfId="0" applyFont="1" applyFill="1"/>
    <xf numFmtId="0" fontId="9" fillId="3" borderId="0" xfId="0" applyFont="1" applyFill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3" borderId="0" xfId="0" applyFont="1" applyFill="1"/>
    <xf numFmtId="0" fontId="11" fillId="3" borderId="0" xfId="0" applyFont="1" applyFill="1"/>
    <xf numFmtId="165" fontId="2" fillId="0" borderId="1" xfId="1" applyFont="1" applyFill="1" applyBorder="1" applyAlignment="1">
      <alignment horizontal="center" vertical="top"/>
    </xf>
    <xf numFmtId="0" fontId="11" fillId="2" borderId="0" xfId="0" applyFont="1" applyFill="1"/>
    <xf numFmtId="0" fontId="9" fillId="2" borderId="0" xfId="0" applyFont="1" applyFill="1"/>
    <xf numFmtId="165" fontId="2" fillId="0" borderId="6" xfId="1" applyFont="1" applyFill="1" applyBorder="1" applyAlignment="1">
      <alignment horizontal="center" vertical="top"/>
    </xf>
    <xf numFmtId="165" fontId="2" fillId="0" borderId="5" xfId="1" applyFont="1" applyFill="1" applyBorder="1" applyAlignment="1">
      <alignment horizontal="center" vertical="top"/>
    </xf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3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3" borderId="0" xfId="0" applyFont="1" applyFill="1" applyAlignment="1">
      <alignment vertical="top"/>
    </xf>
    <xf numFmtId="165" fontId="15" fillId="0" borderId="1" xfId="1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/>
    </xf>
    <xf numFmtId="165" fontId="5" fillId="0" borderId="1" xfId="0" applyNumberFormat="1" applyFont="1" applyFill="1" applyBorder="1" applyAlignment="1">
      <alignment horizontal="center" vertical="top"/>
    </xf>
    <xf numFmtId="165" fontId="16" fillId="0" borderId="1" xfId="0" applyNumberFormat="1" applyFont="1" applyFill="1" applyBorder="1" applyAlignment="1">
      <alignment horizontal="right" vertical="top"/>
    </xf>
    <xf numFmtId="0" fontId="11" fillId="0" borderId="2" xfId="0" applyFont="1" applyFill="1" applyBorder="1" applyAlignment="1">
      <alignment horizontal="center" vertical="top"/>
    </xf>
    <xf numFmtId="49" fontId="8" fillId="0" borderId="1" xfId="0" applyNumberFormat="1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/>
    </xf>
    <xf numFmtId="165" fontId="8" fillId="0" borderId="6" xfId="0" applyNumberFormat="1" applyFont="1" applyFill="1" applyBorder="1" applyAlignment="1">
      <alignment horizontal="center" vertical="top"/>
    </xf>
    <xf numFmtId="165" fontId="8" fillId="0" borderId="1" xfId="0" applyNumberFormat="1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top" wrapText="1"/>
    </xf>
    <xf numFmtId="165" fontId="8" fillId="0" borderId="0" xfId="0" applyNumberFormat="1" applyFont="1" applyFill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/>
    </xf>
    <xf numFmtId="165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/>
    </xf>
    <xf numFmtId="165" fontId="4" fillId="0" borderId="1" xfId="0" applyNumberFormat="1" applyFont="1" applyFill="1" applyBorder="1" applyAlignment="1">
      <alignment horizontal="center" vertical="top"/>
    </xf>
    <xf numFmtId="0" fontId="18" fillId="0" borderId="2" xfId="0" applyFont="1" applyFill="1" applyBorder="1" applyAlignment="1">
      <alignment horizontal="center" vertical="top"/>
    </xf>
    <xf numFmtId="49" fontId="18" fillId="0" borderId="1" xfId="0" applyNumberFormat="1" applyFont="1" applyFill="1" applyBorder="1" applyAlignment="1">
      <alignment horizontal="center" vertical="top"/>
    </xf>
    <xf numFmtId="0" fontId="23" fillId="0" borderId="1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top"/>
    </xf>
    <xf numFmtId="165" fontId="23" fillId="0" borderId="1" xfId="0" applyNumberFormat="1" applyFont="1" applyFill="1" applyBorder="1" applyAlignment="1">
      <alignment horizontal="center" vertical="top"/>
    </xf>
    <xf numFmtId="0" fontId="17" fillId="0" borderId="2" xfId="0" applyFont="1" applyFill="1" applyBorder="1" applyAlignment="1">
      <alignment horizontal="center" vertical="top"/>
    </xf>
    <xf numFmtId="49" fontId="17" fillId="0" borderId="1" xfId="0" applyNumberFormat="1" applyFont="1" applyFill="1" applyBorder="1" applyAlignment="1">
      <alignment horizontal="center" vertical="top"/>
    </xf>
    <xf numFmtId="0" fontId="23" fillId="0" borderId="0" xfId="0" applyFont="1" applyFill="1" applyAlignment="1">
      <alignment horizontal="left" vertical="top" wrapText="1"/>
    </xf>
    <xf numFmtId="0" fontId="11" fillId="0" borderId="2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/>
    </xf>
    <xf numFmtId="170" fontId="2" fillId="0" borderId="1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165" fontId="3" fillId="0" borderId="1" xfId="0" applyNumberFormat="1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165" fontId="5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5" fontId="8" fillId="0" borderId="1" xfId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65" fontId="8" fillId="0" borderId="1" xfId="1" applyFont="1" applyFill="1" applyBorder="1" applyAlignment="1">
      <alignment horizontal="center" vertical="top"/>
    </xf>
    <xf numFmtId="165" fontId="15" fillId="0" borderId="1" xfId="0" applyNumberFormat="1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4" fontId="7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vertical="top" wrapText="1"/>
    </xf>
    <xf numFmtId="4" fontId="4" fillId="0" borderId="1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top"/>
    </xf>
    <xf numFmtId="0" fontId="19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21" fillId="0" borderId="1" xfId="0" applyFont="1" applyFill="1" applyBorder="1" applyAlignment="1">
      <alignment horizontal="left" vertical="top" wrapText="1"/>
    </xf>
    <xf numFmtId="4" fontId="4" fillId="0" borderId="1" xfId="0" applyNumberFormat="1" applyFont="1" applyFill="1" applyBorder="1" applyAlignment="1">
      <alignment horizontal="center" vertical="top"/>
    </xf>
    <xf numFmtId="4" fontId="2" fillId="0" borderId="1" xfId="0" applyNumberFormat="1" applyFont="1" applyFill="1" applyBorder="1" applyAlignment="1">
      <alignment horizontal="center" vertical="top" wrapText="1"/>
    </xf>
    <xf numFmtId="4" fontId="7" fillId="0" borderId="7" xfId="0" applyNumberFormat="1" applyFont="1" applyFill="1" applyBorder="1" applyAlignment="1">
      <alignment horizontal="center" vertical="top" shrinkToFit="1"/>
    </xf>
    <xf numFmtId="4" fontId="7" fillId="0" borderId="0" xfId="0" applyNumberFormat="1" applyFont="1" applyFill="1" applyAlignment="1">
      <alignment horizontal="center" vertical="top" shrinkToFit="1"/>
    </xf>
    <xf numFmtId="49" fontId="2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/>
    <xf numFmtId="165" fontId="5" fillId="0" borderId="0" xfId="0" applyNumberFormat="1" applyFont="1" applyFill="1" applyAlignment="1">
      <alignment horizontal="center" vertical="top"/>
    </xf>
    <xf numFmtId="4" fontId="19" fillId="0" borderId="6" xfId="0" applyNumberFormat="1" applyFont="1" applyFill="1" applyBorder="1" applyAlignment="1">
      <alignment horizontal="center" vertical="top" wrapText="1"/>
    </xf>
    <xf numFmtId="4" fontId="11" fillId="0" borderId="6" xfId="0" applyNumberFormat="1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/>
    </xf>
    <xf numFmtId="165" fontId="2" fillId="0" borderId="6" xfId="0" applyNumberFormat="1" applyFont="1" applyFill="1" applyBorder="1" applyAlignment="1">
      <alignment horizontal="center" vertical="top"/>
    </xf>
    <xf numFmtId="0" fontId="8" fillId="0" borderId="2" xfId="0" applyFont="1" applyFill="1" applyBorder="1" applyAlignment="1">
      <alignment horizontal="center"/>
    </xf>
    <xf numFmtId="165" fontId="2" fillId="0" borderId="8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49" fontId="8" fillId="0" borderId="3" xfId="0" applyNumberFormat="1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49" fontId="8" fillId="0" borderId="4" xfId="0" applyNumberFormat="1" applyFont="1" applyFill="1" applyBorder="1" applyAlignment="1">
      <alignment horizontal="center" vertical="top"/>
    </xf>
    <xf numFmtId="0" fontId="3" fillId="0" borderId="1" xfId="0" applyFont="1" applyFill="1" applyBorder="1"/>
    <xf numFmtId="3" fontId="3" fillId="0" borderId="1" xfId="0" applyNumberFormat="1" applyFont="1" applyFill="1" applyBorder="1" applyAlignment="1">
      <alignment horizontal="center"/>
    </xf>
    <xf numFmtId="165" fontId="2" fillId="0" borderId="6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top" wrapText="1"/>
    </xf>
    <xf numFmtId="165" fontId="8" fillId="0" borderId="0" xfId="1" applyFont="1" applyFill="1" applyBorder="1" applyAlignment="1">
      <alignment horizontal="center"/>
    </xf>
    <xf numFmtId="2" fontId="4" fillId="0" borderId="6" xfId="0" applyNumberFormat="1" applyFont="1" applyFill="1" applyBorder="1" applyAlignment="1">
      <alignment horizontal="center" vertical="top"/>
    </xf>
    <xf numFmtId="0" fontId="9" fillId="0" borderId="0" xfId="0" applyFont="1" applyFill="1"/>
    <xf numFmtId="2" fontId="9" fillId="0" borderId="6" xfId="0" applyNumberFormat="1" applyFont="1" applyFill="1" applyBorder="1" applyAlignment="1">
      <alignment horizontal="center" vertical="top"/>
    </xf>
    <xf numFmtId="2" fontId="11" fillId="0" borderId="6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2" fontId="5" fillId="0" borderId="6" xfId="0" applyNumberFormat="1" applyFont="1" applyFill="1" applyBorder="1" applyAlignment="1">
      <alignment horizontal="center" vertical="top"/>
    </xf>
    <xf numFmtId="2" fontId="2" fillId="0" borderId="6" xfId="1" applyNumberFormat="1" applyFont="1" applyFill="1" applyBorder="1" applyAlignment="1">
      <alignment horizontal="center" vertical="top"/>
    </xf>
    <xf numFmtId="2" fontId="2" fillId="0" borderId="6" xfId="0" applyNumberFormat="1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left" vertical="top" wrapText="1"/>
    </xf>
    <xf numFmtId="2" fontId="15" fillId="0" borderId="6" xfId="0" applyNumberFormat="1" applyFont="1" applyFill="1" applyBorder="1" applyAlignment="1">
      <alignment horizontal="center" vertical="top"/>
    </xf>
    <xf numFmtId="0" fontId="8" fillId="0" borderId="1" xfId="2" applyFont="1" applyFill="1" applyBorder="1" applyAlignment="1">
      <alignment horizontal="left" vertical="top" wrapText="1"/>
    </xf>
    <xf numFmtId="165" fontId="16" fillId="0" borderId="1" xfId="0" applyNumberFormat="1" applyFont="1" applyFill="1" applyBorder="1" applyAlignment="1">
      <alignment horizontal="center" vertical="top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</cellXfs>
  <cellStyles count="10">
    <cellStyle name="Обычный" xfId="0" builtinId="0"/>
    <cellStyle name="Обычный 14" xfId="2" xr:uid="{00000000-0005-0000-0000-000001000000}"/>
    <cellStyle name="Обычный 14 2" xfId="9" xr:uid="{00000000-0005-0000-0000-000002000000}"/>
    <cellStyle name="Обычный 14 3" xfId="5" xr:uid="{00000000-0005-0000-0000-000003000000}"/>
    <cellStyle name="Обычный 3" xfId="4" xr:uid="{00000000-0005-0000-0000-000004000000}"/>
    <cellStyle name="Обычный 4" xfId="7" xr:uid="{00000000-0005-0000-0000-000005000000}"/>
    <cellStyle name="Финансовый" xfId="1" builtinId="3"/>
    <cellStyle name="Финансовый 2" xfId="8" xr:uid="{00000000-0005-0000-0000-000007000000}"/>
    <cellStyle name="Финансовый 2 2 4" xfId="3" xr:uid="{00000000-0005-0000-0000-000008000000}"/>
    <cellStyle name="Финансовый 3" xfId="6" xr:uid="{00000000-0005-0000-0000-000009000000}"/>
  </cellStyles>
  <dxfs count="0"/>
  <tableStyles count="0" defaultTableStyle="TableStyleMedium2" defaultPivotStyle="PivotStyleLight16"/>
  <colors>
    <mruColors>
      <color rgb="FFFEE6FB"/>
      <color rgb="FF000000"/>
      <color rgb="FFFFFFE5"/>
      <color rgb="FFE8E5D8"/>
      <color rgb="FFFFFFFF"/>
      <color rgb="FFEFEFFF"/>
      <color rgb="FFFFFF9F"/>
      <color rgb="FFFFCC66"/>
      <color rgb="FFFFE9BD"/>
      <color rgb="FFD2F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L853"/>
  <sheetViews>
    <sheetView tabSelected="1" zoomScale="90" zoomScaleNormal="90" zoomScaleSheetLayoutView="80" workbookViewId="0">
      <pane ySplit="1" topLeftCell="A2" activePane="bottomLeft" state="frozen"/>
      <selection pane="bottomLeft" sqref="A1:E1048576"/>
    </sheetView>
  </sheetViews>
  <sheetFormatPr defaultColWidth="9.109375" defaultRowHeight="13.8" x14ac:dyDescent="0.25"/>
  <cols>
    <col min="1" max="1" width="9.109375" style="136"/>
    <col min="2" max="2" width="9.109375" style="137"/>
    <col min="3" max="3" width="52.88671875" style="136" customWidth="1"/>
    <col min="4" max="5" width="18" style="136" customWidth="1"/>
    <col min="6" max="16384" width="9.109375" style="1"/>
  </cols>
  <sheetData>
    <row r="1" spans="1:220" s="3" customFormat="1" ht="16.8" customHeight="1" x14ac:dyDescent="0.25">
      <c r="A1" s="21" t="s">
        <v>12</v>
      </c>
      <c r="B1" s="22">
        <v>2</v>
      </c>
      <c r="C1" s="23" t="s">
        <v>11</v>
      </c>
      <c r="D1" s="24"/>
      <c r="E1" s="25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</row>
    <row r="2" spans="1:220" s="5" customFormat="1" ht="19.8" customHeight="1" x14ac:dyDescent="0.3">
      <c r="A2" s="26" t="s">
        <v>12</v>
      </c>
      <c r="B2" s="27" t="s">
        <v>721</v>
      </c>
      <c r="C2" s="28" t="s">
        <v>1228</v>
      </c>
      <c r="D2" s="29"/>
      <c r="E2" s="3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20" s="5" customFormat="1" ht="14.4" x14ac:dyDescent="0.3">
      <c r="A3" s="22"/>
      <c r="B3" s="27"/>
      <c r="C3" s="31" t="s">
        <v>60</v>
      </c>
      <c r="D3" s="32"/>
      <c r="E3" s="3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20" s="5" customFormat="1" ht="41.4" x14ac:dyDescent="0.3">
      <c r="A4" s="33" t="s">
        <v>12</v>
      </c>
      <c r="B4" s="34" t="s">
        <v>1222</v>
      </c>
      <c r="C4" s="35" t="s">
        <v>1223</v>
      </c>
      <c r="D4" s="36" t="s">
        <v>35</v>
      </c>
      <c r="E4" s="37">
        <v>1007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20" s="5" customFormat="1" ht="41.4" x14ac:dyDescent="0.3">
      <c r="A5" s="33" t="s">
        <v>12</v>
      </c>
      <c r="B5" s="34" t="s">
        <v>1224</v>
      </c>
      <c r="C5" s="38" t="s">
        <v>1225</v>
      </c>
      <c r="D5" s="36" t="s">
        <v>35</v>
      </c>
      <c r="E5" s="37">
        <v>3877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20" s="5" customFormat="1" ht="27.6" x14ac:dyDescent="0.3">
      <c r="A6" s="33" t="s">
        <v>12</v>
      </c>
      <c r="B6" s="34" t="s">
        <v>1226</v>
      </c>
      <c r="C6" s="38" t="s">
        <v>1227</v>
      </c>
      <c r="D6" s="36" t="s">
        <v>35</v>
      </c>
      <c r="E6" s="37">
        <v>1136.51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20" s="5" customFormat="1" ht="21" customHeight="1" x14ac:dyDescent="0.3">
      <c r="A7" s="33" t="s">
        <v>12</v>
      </c>
      <c r="B7" s="34" t="s">
        <v>42</v>
      </c>
      <c r="C7" s="38" t="s">
        <v>33</v>
      </c>
      <c r="D7" s="36" t="s">
        <v>35</v>
      </c>
      <c r="E7" s="37">
        <v>1151.82</v>
      </c>
    </row>
    <row r="8" spans="1:220" s="5" customFormat="1" ht="32.4" customHeight="1" x14ac:dyDescent="0.3">
      <c r="A8" s="33" t="s">
        <v>12</v>
      </c>
      <c r="B8" s="34" t="s">
        <v>43</v>
      </c>
      <c r="C8" s="35" t="s">
        <v>40</v>
      </c>
      <c r="D8" s="39" t="s">
        <v>35</v>
      </c>
      <c r="E8" s="40">
        <v>1767.15</v>
      </c>
    </row>
    <row r="9" spans="1:220" s="5" customFormat="1" ht="32.4" customHeight="1" x14ac:dyDescent="0.3">
      <c r="A9" s="41"/>
      <c r="B9" s="42"/>
      <c r="C9" s="43" t="s">
        <v>538</v>
      </c>
      <c r="D9" s="44" t="s">
        <v>35</v>
      </c>
      <c r="E9" s="45">
        <v>2918.97</v>
      </c>
    </row>
    <row r="10" spans="1:220" s="5" customFormat="1" ht="44.4" customHeight="1" x14ac:dyDescent="0.3">
      <c r="A10" s="33" t="s">
        <v>12</v>
      </c>
      <c r="B10" s="34" t="s">
        <v>1229</v>
      </c>
      <c r="C10" s="35" t="s">
        <v>1230</v>
      </c>
      <c r="D10" s="36" t="s">
        <v>35</v>
      </c>
      <c r="E10" s="37">
        <v>847.12</v>
      </c>
    </row>
    <row r="11" spans="1:220" s="5" customFormat="1" ht="45.6" customHeight="1" x14ac:dyDescent="0.3">
      <c r="A11" s="33" t="s">
        <v>12</v>
      </c>
      <c r="B11" s="34" t="s">
        <v>1231</v>
      </c>
      <c r="C11" s="38" t="s">
        <v>1232</v>
      </c>
      <c r="D11" s="36" t="s">
        <v>35</v>
      </c>
      <c r="E11" s="37">
        <v>2051</v>
      </c>
    </row>
    <row r="12" spans="1:220" s="5" customFormat="1" ht="31.8" customHeight="1" x14ac:dyDescent="0.3">
      <c r="A12" s="33" t="s">
        <v>12</v>
      </c>
      <c r="B12" s="34" t="s">
        <v>1233</v>
      </c>
      <c r="C12" s="38" t="s">
        <v>1234</v>
      </c>
      <c r="D12" s="36" t="s">
        <v>35</v>
      </c>
      <c r="E12" s="37">
        <v>383.38</v>
      </c>
    </row>
    <row r="13" spans="1:220" s="5" customFormat="1" ht="20.399999999999999" customHeight="1" x14ac:dyDescent="0.3">
      <c r="A13" s="33" t="s">
        <v>12</v>
      </c>
      <c r="B13" s="34" t="s">
        <v>44</v>
      </c>
      <c r="C13" s="38" t="s">
        <v>34</v>
      </c>
      <c r="D13" s="36" t="s">
        <v>35</v>
      </c>
      <c r="E13" s="37">
        <v>1069.2</v>
      </c>
    </row>
    <row r="14" spans="1:220" s="5" customFormat="1" ht="31.8" customHeight="1" x14ac:dyDescent="0.3">
      <c r="A14" s="33" t="s">
        <v>12</v>
      </c>
      <c r="B14" s="34" t="s">
        <v>45</v>
      </c>
      <c r="C14" s="35" t="s">
        <v>41</v>
      </c>
      <c r="D14" s="39" t="s">
        <v>35</v>
      </c>
      <c r="E14" s="40">
        <v>1360.8</v>
      </c>
    </row>
    <row r="15" spans="1:220" s="5" customFormat="1" ht="31.8" customHeight="1" x14ac:dyDescent="0.3">
      <c r="A15" s="46"/>
      <c r="B15" s="47"/>
      <c r="C15" s="48" t="s">
        <v>538</v>
      </c>
      <c r="D15" s="44" t="s">
        <v>35</v>
      </c>
      <c r="E15" s="45">
        <v>2430</v>
      </c>
    </row>
    <row r="16" spans="1:220" s="5" customFormat="1" ht="16.8" customHeight="1" x14ac:dyDescent="0.3">
      <c r="A16" s="33"/>
      <c r="B16" s="34"/>
      <c r="C16" s="31" t="s">
        <v>1235</v>
      </c>
      <c r="D16" s="39"/>
      <c r="E16" s="39"/>
    </row>
    <row r="17" spans="1:5" s="5" customFormat="1" ht="63" customHeight="1" x14ac:dyDescent="0.3">
      <c r="A17" s="33" t="s">
        <v>12</v>
      </c>
      <c r="B17" s="34" t="s">
        <v>1236</v>
      </c>
      <c r="C17" s="38" t="s">
        <v>1237</v>
      </c>
      <c r="D17" s="36" t="s">
        <v>35</v>
      </c>
      <c r="E17" s="37">
        <v>73.5</v>
      </c>
    </row>
    <row r="18" spans="1:5" s="5" customFormat="1" ht="31.8" customHeight="1" x14ac:dyDescent="0.3">
      <c r="A18" s="33" t="s">
        <v>12</v>
      </c>
      <c r="B18" s="34" t="s">
        <v>1238</v>
      </c>
      <c r="C18" s="38" t="s">
        <v>1239</v>
      </c>
      <c r="D18" s="36" t="s">
        <v>35</v>
      </c>
      <c r="E18" s="37">
        <v>70</v>
      </c>
    </row>
    <row r="19" spans="1:5" s="5" customFormat="1" ht="17.399999999999999" customHeight="1" x14ac:dyDescent="0.3">
      <c r="A19" s="26" t="s">
        <v>12</v>
      </c>
      <c r="B19" s="27" t="s">
        <v>722</v>
      </c>
      <c r="C19" s="28" t="s">
        <v>1240</v>
      </c>
      <c r="D19" s="37"/>
      <c r="E19" s="37"/>
    </row>
    <row r="20" spans="1:5" s="5" customFormat="1" ht="16.8" customHeight="1" x14ac:dyDescent="0.3">
      <c r="A20" s="49"/>
      <c r="B20" s="50"/>
      <c r="C20" s="31" t="s">
        <v>59</v>
      </c>
      <c r="D20" s="51"/>
      <c r="E20" s="51"/>
    </row>
    <row r="21" spans="1:5" s="5" customFormat="1" ht="31.8" customHeight="1" x14ac:dyDescent="0.3">
      <c r="A21" s="33" t="s">
        <v>12</v>
      </c>
      <c r="B21" s="34" t="s">
        <v>46</v>
      </c>
      <c r="C21" s="38" t="s">
        <v>1241</v>
      </c>
      <c r="D21" s="36" t="s">
        <v>35</v>
      </c>
      <c r="E21" s="37">
        <v>42.4</v>
      </c>
    </row>
    <row r="22" spans="1:5" s="5" customFormat="1" ht="44.4" customHeight="1" x14ac:dyDescent="0.3">
      <c r="A22" s="33" t="s">
        <v>12</v>
      </c>
      <c r="B22" s="34" t="s">
        <v>1242</v>
      </c>
      <c r="C22" s="38" t="s">
        <v>36</v>
      </c>
      <c r="D22" s="36" t="s">
        <v>35</v>
      </c>
      <c r="E22" s="37">
        <v>212.6</v>
      </c>
    </row>
    <row r="23" spans="1:5" s="5" customFormat="1" ht="47.4" customHeight="1" x14ac:dyDescent="0.3">
      <c r="A23" s="33" t="s">
        <v>12</v>
      </c>
      <c r="B23" s="34" t="s">
        <v>47</v>
      </c>
      <c r="C23" s="38" t="s">
        <v>37</v>
      </c>
      <c r="D23" s="36" t="s">
        <v>35</v>
      </c>
      <c r="E23" s="37">
        <v>40.799999999999997</v>
      </c>
    </row>
    <row r="24" spans="1:5" s="5" customFormat="1" ht="60.6" customHeight="1" x14ac:dyDescent="0.3">
      <c r="A24" s="33" t="s">
        <v>12</v>
      </c>
      <c r="B24" s="34" t="s">
        <v>48</v>
      </c>
      <c r="C24" s="38" t="s">
        <v>52</v>
      </c>
      <c r="D24" s="36" t="s">
        <v>35</v>
      </c>
      <c r="E24" s="37">
        <v>10.8</v>
      </c>
    </row>
    <row r="25" spans="1:5" s="5" customFormat="1" ht="16.2" customHeight="1" x14ac:dyDescent="0.3">
      <c r="A25" s="33" t="s">
        <v>12</v>
      </c>
      <c r="B25" s="34"/>
      <c r="C25" s="52" t="s">
        <v>58</v>
      </c>
      <c r="D25" s="36"/>
      <c r="E25" s="37"/>
    </row>
    <row r="26" spans="1:5" s="5" customFormat="1" ht="31.8" customHeight="1" x14ac:dyDescent="0.3">
      <c r="A26" s="33" t="s">
        <v>12</v>
      </c>
      <c r="B26" s="34" t="s">
        <v>49</v>
      </c>
      <c r="C26" s="38" t="s">
        <v>537</v>
      </c>
      <c r="D26" s="36" t="s">
        <v>35</v>
      </c>
      <c r="E26" s="37">
        <v>30.2</v>
      </c>
    </row>
    <row r="27" spans="1:5" s="5" customFormat="1" ht="31.8" customHeight="1" x14ac:dyDescent="0.3">
      <c r="A27" s="33" t="s">
        <v>12</v>
      </c>
      <c r="B27" s="34" t="s">
        <v>1243</v>
      </c>
      <c r="C27" s="38" t="s">
        <v>1244</v>
      </c>
      <c r="D27" s="36" t="s">
        <v>35</v>
      </c>
      <c r="E27" s="37">
        <v>199.8</v>
      </c>
    </row>
    <row r="28" spans="1:5" s="5" customFormat="1" ht="45.6" customHeight="1" x14ac:dyDescent="0.3">
      <c r="A28" s="33" t="s">
        <v>12</v>
      </c>
      <c r="B28" s="34" t="s">
        <v>50</v>
      </c>
      <c r="C28" s="38" t="s">
        <v>38</v>
      </c>
      <c r="D28" s="36" t="s">
        <v>35</v>
      </c>
      <c r="E28" s="37">
        <v>37.4</v>
      </c>
    </row>
    <row r="29" spans="1:5" s="5" customFormat="1" ht="57" customHeight="1" x14ac:dyDescent="0.3">
      <c r="A29" s="33" t="s">
        <v>12</v>
      </c>
      <c r="B29" s="34" t="s">
        <v>51</v>
      </c>
      <c r="C29" s="38" t="s">
        <v>53</v>
      </c>
      <c r="D29" s="36" t="s">
        <v>35</v>
      </c>
      <c r="E29" s="37">
        <v>16.100000000000001</v>
      </c>
    </row>
    <row r="30" spans="1:5" s="14" customFormat="1" ht="15" customHeight="1" x14ac:dyDescent="0.3">
      <c r="A30" s="33" t="s">
        <v>12</v>
      </c>
      <c r="B30" s="34"/>
      <c r="C30" s="53" t="s">
        <v>1245</v>
      </c>
      <c r="D30" s="39"/>
      <c r="E30" s="40"/>
    </row>
    <row r="31" spans="1:5" s="14" customFormat="1" ht="33.6" customHeight="1" x14ac:dyDescent="0.3">
      <c r="A31" s="33" t="s">
        <v>12</v>
      </c>
      <c r="B31" s="34" t="s">
        <v>1246</v>
      </c>
      <c r="C31" s="38" t="s">
        <v>1247</v>
      </c>
      <c r="D31" s="36" t="s">
        <v>35</v>
      </c>
      <c r="E31" s="37">
        <v>1.6</v>
      </c>
    </row>
    <row r="32" spans="1:5" s="14" customFormat="1" ht="48" customHeight="1" x14ac:dyDescent="0.3">
      <c r="A32" s="33" t="s">
        <v>12</v>
      </c>
      <c r="B32" s="34" t="s">
        <v>1248</v>
      </c>
      <c r="C32" s="38" t="s">
        <v>1249</v>
      </c>
      <c r="D32" s="36" t="s">
        <v>35</v>
      </c>
      <c r="E32" s="37">
        <v>12.4</v>
      </c>
    </row>
    <row r="33" spans="1:220" s="14" customFormat="1" ht="16.2" customHeight="1" x14ac:dyDescent="0.3">
      <c r="A33" s="26" t="s">
        <v>12</v>
      </c>
      <c r="B33" s="27" t="s">
        <v>32</v>
      </c>
      <c r="C33" s="28" t="s">
        <v>27</v>
      </c>
      <c r="D33" s="54" t="s">
        <v>26</v>
      </c>
      <c r="E33" s="30">
        <v>1</v>
      </c>
    </row>
    <row r="34" spans="1:220" s="14" customFormat="1" ht="16.2" customHeight="1" x14ac:dyDescent="0.3">
      <c r="A34" s="33" t="s">
        <v>12</v>
      </c>
      <c r="B34" s="27"/>
      <c r="C34" s="52" t="s">
        <v>61</v>
      </c>
      <c r="D34" s="54"/>
      <c r="E34" s="30"/>
    </row>
    <row r="35" spans="1:220" s="15" customFormat="1" ht="46.2" customHeight="1" x14ac:dyDescent="0.3">
      <c r="A35" s="33" t="s">
        <v>12</v>
      </c>
      <c r="B35" s="34" t="s">
        <v>56</v>
      </c>
      <c r="C35" s="38" t="s">
        <v>92</v>
      </c>
      <c r="D35" s="36" t="s">
        <v>54</v>
      </c>
      <c r="E35" s="55">
        <v>69.5</v>
      </c>
    </row>
    <row r="36" spans="1:220" s="15" customFormat="1" ht="16.8" customHeight="1" x14ac:dyDescent="0.3">
      <c r="A36" s="33" t="s">
        <v>12</v>
      </c>
      <c r="B36" s="27"/>
      <c r="C36" s="52" t="s">
        <v>63</v>
      </c>
      <c r="D36" s="54"/>
      <c r="E36" s="30"/>
    </row>
    <row r="37" spans="1:220" s="15" customFormat="1" ht="46.8" customHeight="1" x14ac:dyDescent="0.3">
      <c r="A37" s="33" t="s">
        <v>12</v>
      </c>
      <c r="B37" s="34" t="s">
        <v>57</v>
      </c>
      <c r="C37" s="38" t="s">
        <v>94</v>
      </c>
      <c r="D37" s="36" t="s">
        <v>54</v>
      </c>
      <c r="E37" s="55">
        <v>51.179000000000002</v>
      </c>
    </row>
    <row r="38" spans="1:220" s="14" customFormat="1" ht="14.4" x14ac:dyDescent="0.3">
      <c r="A38" s="26" t="s">
        <v>12</v>
      </c>
      <c r="B38" s="27" t="s">
        <v>39</v>
      </c>
      <c r="C38" s="28" t="s">
        <v>28</v>
      </c>
      <c r="D38" s="54" t="s">
        <v>26</v>
      </c>
      <c r="E38" s="30">
        <v>1</v>
      </c>
    </row>
    <row r="39" spans="1:220" s="5" customFormat="1" ht="14.4" x14ac:dyDescent="0.3">
      <c r="A39" s="33" t="s">
        <v>12</v>
      </c>
      <c r="B39" s="27"/>
      <c r="C39" s="52" t="s">
        <v>67</v>
      </c>
      <c r="D39" s="54"/>
      <c r="E39" s="30"/>
    </row>
    <row r="40" spans="1:220" ht="31.8" customHeight="1" x14ac:dyDescent="0.25">
      <c r="A40" s="33" t="s">
        <v>12</v>
      </c>
      <c r="B40" s="34" t="s">
        <v>68</v>
      </c>
      <c r="C40" s="38" t="s">
        <v>65</v>
      </c>
      <c r="D40" s="36" t="s">
        <v>66</v>
      </c>
      <c r="E40" s="37">
        <v>873.57</v>
      </c>
    </row>
    <row r="41" spans="1:220" ht="46.2" customHeight="1" x14ac:dyDescent="0.25">
      <c r="A41" s="33" t="s">
        <v>12</v>
      </c>
      <c r="B41" s="34" t="s">
        <v>96</v>
      </c>
      <c r="C41" s="38" t="s">
        <v>69</v>
      </c>
      <c r="D41" s="36" t="s">
        <v>35</v>
      </c>
      <c r="E41" s="37">
        <v>104.3</v>
      </c>
    </row>
    <row r="42" spans="1:220" ht="14.4" x14ac:dyDescent="0.25">
      <c r="A42" s="33" t="s">
        <v>12</v>
      </c>
      <c r="B42" s="34"/>
      <c r="C42" s="52" t="s">
        <v>70</v>
      </c>
      <c r="D42" s="54"/>
      <c r="E42" s="30"/>
    </row>
    <row r="43" spans="1:220" ht="31.2" customHeight="1" x14ac:dyDescent="0.25">
      <c r="A43" s="33" t="s">
        <v>12</v>
      </c>
      <c r="B43" s="34" t="s">
        <v>97</v>
      </c>
      <c r="C43" s="38" t="s">
        <v>65</v>
      </c>
      <c r="D43" s="36" t="s">
        <v>66</v>
      </c>
      <c r="E43" s="37">
        <v>624.91999999999996</v>
      </c>
    </row>
    <row r="44" spans="1:220" ht="45" customHeight="1" x14ac:dyDescent="0.25">
      <c r="A44" s="33" t="s">
        <v>12</v>
      </c>
      <c r="B44" s="34" t="s">
        <v>98</v>
      </c>
      <c r="C44" s="38" t="s">
        <v>80</v>
      </c>
      <c r="D44" s="36" t="s">
        <v>35</v>
      </c>
      <c r="E44" s="37">
        <v>75.5</v>
      </c>
    </row>
    <row r="45" spans="1:220" s="17" customFormat="1" ht="24" customHeight="1" x14ac:dyDescent="0.3">
      <c r="A45" s="56"/>
      <c r="B45" s="36"/>
      <c r="C45" s="57" t="s">
        <v>10</v>
      </c>
      <c r="D45" s="58"/>
      <c r="E45" s="58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</row>
    <row r="46" spans="1:220" s="19" customFormat="1" ht="21" customHeight="1" x14ac:dyDescent="0.3">
      <c r="A46" s="59" t="s">
        <v>13</v>
      </c>
      <c r="B46" s="39">
        <v>3</v>
      </c>
      <c r="C46" s="23" t="s">
        <v>19</v>
      </c>
      <c r="D46" s="24"/>
      <c r="E46" s="2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</row>
    <row r="47" spans="1:220" s="5" customFormat="1" ht="31.8" customHeight="1" x14ac:dyDescent="0.3">
      <c r="A47" s="26" t="s">
        <v>13</v>
      </c>
      <c r="B47" s="27" t="s">
        <v>18</v>
      </c>
      <c r="C47" s="60" t="s">
        <v>73</v>
      </c>
      <c r="D47" s="54"/>
      <c r="E47" s="30"/>
    </row>
    <row r="48" spans="1:220" s="5" customFormat="1" ht="14.4" x14ac:dyDescent="0.3">
      <c r="A48" s="33" t="s">
        <v>13</v>
      </c>
      <c r="B48" s="50"/>
      <c r="C48" s="53" t="s">
        <v>76</v>
      </c>
      <c r="D48" s="30"/>
      <c r="E48" s="30"/>
    </row>
    <row r="49" spans="1:5" s="5" customFormat="1" ht="48.6" customHeight="1" x14ac:dyDescent="0.3">
      <c r="A49" s="33" t="s">
        <v>13</v>
      </c>
      <c r="B49" s="34" t="s">
        <v>81</v>
      </c>
      <c r="C49" s="38" t="s">
        <v>95</v>
      </c>
      <c r="D49" s="36" t="s">
        <v>54</v>
      </c>
      <c r="E49" s="37">
        <f>206.944-E35</f>
        <v>137.44399999999999</v>
      </c>
    </row>
    <row r="50" spans="1:5" s="5" customFormat="1" ht="46.8" customHeight="1" x14ac:dyDescent="0.3">
      <c r="A50" s="33" t="s">
        <v>13</v>
      </c>
      <c r="B50" s="34" t="s">
        <v>82</v>
      </c>
      <c r="C50" s="35" t="s">
        <v>93</v>
      </c>
      <c r="D50" s="36" t="s">
        <v>54</v>
      </c>
      <c r="E50" s="37">
        <v>2.4140000000000001</v>
      </c>
    </row>
    <row r="51" spans="1:5" s="5" customFormat="1" ht="14.4" x14ac:dyDescent="0.3">
      <c r="A51" s="33" t="s">
        <v>13</v>
      </c>
      <c r="B51" s="34"/>
      <c r="C51" s="53" t="s">
        <v>74</v>
      </c>
      <c r="D51" s="54"/>
      <c r="E51" s="30"/>
    </row>
    <row r="52" spans="1:5" s="5" customFormat="1" ht="48.6" customHeight="1" x14ac:dyDescent="0.3">
      <c r="A52" s="33" t="s">
        <v>13</v>
      </c>
      <c r="B52" s="34" t="s">
        <v>83</v>
      </c>
      <c r="C52" s="35" t="s">
        <v>79</v>
      </c>
      <c r="D52" s="36" t="s">
        <v>54</v>
      </c>
      <c r="E52" s="37">
        <v>54.85</v>
      </c>
    </row>
    <row r="53" spans="1:5" s="5" customFormat="1" ht="45.6" customHeight="1" x14ac:dyDescent="0.3">
      <c r="A53" s="33" t="s">
        <v>13</v>
      </c>
      <c r="B53" s="34" t="s">
        <v>84</v>
      </c>
      <c r="C53" s="35" t="s">
        <v>62</v>
      </c>
      <c r="D53" s="36" t="s">
        <v>54</v>
      </c>
      <c r="E53" s="37">
        <v>0.95899999999999996</v>
      </c>
    </row>
    <row r="54" spans="1:5" s="5" customFormat="1" ht="14.4" x14ac:dyDescent="0.3">
      <c r="A54" s="33" t="s">
        <v>13</v>
      </c>
      <c r="B54" s="34"/>
      <c r="C54" s="53" t="s">
        <v>64</v>
      </c>
      <c r="D54" s="54"/>
      <c r="E54" s="30"/>
    </row>
    <row r="55" spans="1:5" s="5" customFormat="1" ht="48.6" customHeight="1" x14ac:dyDescent="0.3">
      <c r="A55" s="61" t="s">
        <v>13</v>
      </c>
      <c r="B55" s="34" t="s">
        <v>85</v>
      </c>
      <c r="C55" s="38" t="s">
        <v>55</v>
      </c>
      <c r="D55" s="36" t="s">
        <v>54</v>
      </c>
      <c r="E55" s="37">
        <v>6.9960000000000004</v>
      </c>
    </row>
    <row r="56" spans="1:5" s="5" customFormat="1" ht="28.8" x14ac:dyDescent="0.3">
      <c r="A56" s="33" t="s">
        <v>13</v>
      </c>
      <c r="B56" s="27" t="s">
        <v>9</v>
      </c>
      <c r="C56" s="60" t="s">
        <v>75</v>
      </c>
      <c r="D56" s="54"/>
      <c r="E56" s="30"/>
    </row>
    <row r="57" spans="1:5" s="5" customFormat="1" ht="28.8" x14ac:dyDescent="0.3">
      <c r="A57" s="33" t="s">
        <v>13</v>
      </c>
      <c r="B57" s="50"/>
      <c r="C57" s="53" t="s">
        <v>77</v>
      </c>
      <c r="D57" s="54"/>
      <c r="E57" s="30"/>
    </row>
    <row r="58" spans="1:5" s="5" customFormat="1" ht="27.6" x14ac:dyDescent="0.3">
      <c r="A58" s="33" t="s">
        <v>13</v>
      </c>
      <c r="B58" s="50" t="s">
        <v>86</v>
      </c>
      <c r="C58" s="35" t="s">
        <v>65</v>
      </c>
      <c r="D58" s="36" t="s">
        <v>66</v>
      </c>
      <c r="E58" s="37">
        <v>1775.82</v>
      </c>
    </row>
    <row r="59" spans="1:5" s="5" customFormat="1" ht="41.4" x14ac:dyDescent="0.3">
      <c r="A59" s="33" t="s">
        <v>13</v>
      </c>
      <c r="B59" s="50" t="s">
        <v>87</v>
      </c>
      <c r="C59" s="35" t="s">
        <v>69</v>
      </c>
      <c r="D59" s="36" t="s">
        <v>35</v>
      </c>
      <c r="E59" s="37">
        <v>208.6</v>
      </c>
    </row>
    <row r="60" spans="1:5" s="5" customFormat="1" ht="14.4" x14ac:dyDescent="0.3">
      <c r="A60" s="33" t="s">
        <v>13</v>
      </c>
      <c r="B60" s="50"/>
      <c r="C60" s="53" t="s">
        <v>78</v>
      </c>
      <c r="D60" s="54"/>
      <c r="E60" s="30"/>
    </row>
    <row r="61" spans="1:5" s="5" customFormat="1" ht="27.6" x14ac:dyDescent="0.3">
      <c r="A61" s="33" t="s">
        <v>13</v>
      </c>
      <c r="B61" s="50" t="s">
        <v>88</v>
      </c>
      <c r="C61" s="35" t="s">
        <v>65</v>
      </c>
      <c r="D61" s="36" t="s">
        <v>66</v>
      </c>
      <c r="E61" s="37">
        <v>651.58000000000004</v>
      </c>
    </row>
    <row r="62" spans="1:5" s="5" customFormat="1" ht="41.4" x14ac:dyDescent="0.3">
      <c r="A62" s="33" t="s">
        <v>13</v>
      </c>
      <c r="B62" s="50" t="s">
        <v>89</v>
      </c>
      <c r="C62" s="35" t="s">
        <v>80</v>
      </c>
      <c r="D62" s="36" t="s">
        <v>35</v>
      </c>
      <c r="E62" s="37">
        <v>79.3</v>
      </c>
    </row>
    <row r="63" spans="1:5" s="5" customFormat="1" ht="16.2" customHeight="1" x14ac:dyDescent="0.3">
      <c r="A63" s="33" t="s">
        <v>13</v>
      </c>
      <c r="B63" s="50"/>
      <c r="C63" s="53" t="s">
        <v>71</v>
      </c>
      <c r="D63" s="54"/>
      <c r="E63" s="30"/>
    </row>
    <row r="64" spans="1:5" s="5" customFormat="1" ht="29.4" customHeight="1" x14ac:dyDescent="0.3">
      <c r="A64" s="33" t="s">
        <v>13</v>
      </c>
      <c r="B64" s="50" t="s">
        <v>90</v>
      </c>
      <c r="C64" s="35" t="s">
        <v>65</v>
      </c>
      <c r="D64" s="36" t="s">
        <v>66</v>
      </c>
      <c r="E64" s="37">
        <v>23.9</v>
      </c>
    </row>
    <row r="65" spans="1:220" s="5" customFormat="1" ht="46.8" customHeight="1" x14ac:dyDescent="0.3">
      <c r="A65" s="33" t="s">
        <v>13</v>
      </c>
      <c r="B65" s="50" t="s">
        <v>91</v>
      </c>
      <c r="C65" s="35" t="s">
        <v>72</v>
      </c>
      <c r="D65" s="36" t="s">
        <v>35</v>
      </c>
      <c r="E65" s="37">
        <v>2.8</v>
      </c>
    </row>
    <row r="66" spans="1:220" s="7" customFormat="1" ht="25.2" customHeight="1" x14ac:dyDescent="0.25">
      <c r="A66" s="56" t="s">
        <v>13</v>
      </c>
      <c r="B66" s="36"/>
      <c r="C66" s="57" t="s">
        <v>21</v>
      </c>
      <c r="D66" s="58"/>
      <c r="E66" s="5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</row>
    <row r="67" spans="1:220" s="2" customFormat="1" x14ac:dyDescent="0.25">
      <c r="A67" s="62" t="s">
        <v>14</v>
      </c>
      <c r="B67" s="63">
        <v>4</v>
      </c>
      <c r="C67" s="64" t="s">
        <v>22</v>
      </c>
      <c r="D67" s="65"/>
      <c r="E67" s="6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</row>
    <row r="68" spans="1:220" s="5" customFormat="1" ht="14.4" x14ac:dyDescent="0.3">
      <c r="A68" s="49" t="s">
        <v>14</v>
      </c>
      <c r="B68" s="50" t="s">
        <v>4</v>
      </c>
      <c r="C68" s="66" t="s">
        <v>3</v>
      </c>
      <c r="D68" s="67"/>
      <c r="E68" s="67"/>
    </row>
    <row r="69" spans="1:220" s="5" customFormat="1" ht="14.4" x14ac:dyDescent="0.3">
      <c r="A69" s="33" t="s">
        <v>14</v>
      </c>
      <c r="B69" s="50"/>
      <c r="C69" s="53" t="s">
        <v>99</v>
      </c>
      <c r="D69" s="30"/>
      <c r="E69" s="30"/>
    </row>
    <row r="70" spans="1:220" s="5" customFormat="1" ht="34.799999999999997" customHeight="1" x14ac:dyDescent="0.3">
      <c r="A70" s="33" t="s">
        <v>14</v>
      </c>
      <c r="B70" s="34" t="s">
        <v>134</v>
      </c>
      <c r="C70" s="38" t="s">
        <v>100</v>
      </c>
      <c r="D70" s="36" t="s">
        <v>66</v>
      </c>
      <c r="E70" s="37">
        <v>1258.8</v>
      </c>
    </row>
    <row r="71" spans="1:220" s="5" customFormat="1" ht="63" customHeight="1" x14ac:dyDescent="0.3">
      <c r="A71" s="33" t="s">
        <v>14</v>
      </c>
      <c r="B71" s="34" t="s">
        <v>135</v>
      </c>
      <c r="C71" s="38" t="s">
        <v>337</v>
      </c>
      <c r="D71" s="36" t="s">
        <v>101</v>
      </c>
      <c r="E71" s="37">
        <v>955.34</v>
      </c>
    </row>
    <row r="72" spans="1:220" s="5" customFormat="1" ht="14.4" x14ac:dyDescent="0.3">
      <c r="A72" s="33" t="s">
        <v>14</v>
      </c>
      <c r="B72" s="50"/>
      <c r="C72" s="53" t="s">
        <v>102</v>
      </c>
      <c r="D72" s="54"/>
      <c r="E72" s="30"/>
    </row>
    <row r="73" spans="1:220" s="5" customFormat="1" ht="43.2" customHeight="1" x14ac:dyDescent="0.3">
      <c r="A73" s="33" t="s">
        <v>14</v>
      </c>
      <c r="B73" s="34" t="s">
        <v>136</v>
      </c>
      <c r="C73" s="38" t="s">
        <v>340</v>
      </c>
      <c r="D73" s="36" t="s">
        <v>66</v>
      </c>
      <c r="E73" s="37">
        <v>864.13</v>
      </c>
    </row>
    <row r="74" spans="1:220" s="5" customFormat="1" ht="57" customHeight="1" x14ac:dyDescent="0.3">
      <c r="A74" s="33" t="s">
        <v>14</v>
      </c>
      <c r="B74" s="34" t="s">
        <v>137</v>
      </c>
      <c r="C74" s="38" t="s">
        <v>338</v>
      </c>
      <c r="D74" s="36" t="s">
        <v>101</v>
      </c>
      <c r="E74" s="37">
        <v>645</v>
      </c>
    </row>
    <row r="75" spans="1:220" s="5" customFormat="1" ht="14.4" x14ac:dyDescent="0.3">
      <c r="A75" s="33" t="s">
        <v>14</v>
      </c>
      <c r="B75" s="50"/>
      <c r="C75" s="53" t="s">
        <v>104</v>
      </c>
      <c r="D75" s="54"/>
      <c r="E75" s="30"/>
    </row>
    <row r="76" spans="1:220" s="5" customFormat="1" ht="33.6" customHeight="1" x14ac:dyDescent="0.3">
      <c r="A76" s="33" t="s">
        <v>14</v>
      </c>
      <c r="B76" s="34" t="s">
        <v>138</v>
      </c>
      <c r="C76" s="38" t="s">
        <v>103</v>
      </c>
      <c r="D76" s="36" t="s">
        <v>66</v>
      </c>
      <c r="E76" s="37">
        <v>47.66</v>
      </c>
    </row>
    <row r="77" spans="1:220" s="5" customFormat="1" ht="61.2" customHeight="1" x14ac:dyDescent="0.3">
      <c r="A77" s="33" t="s">
        <v>14</v>
      </c>
      <c r="B77" s="34" t="s">
        <v>139</v>
      </c>
      <c r="C77" s="38" t="s">
        <v>339</v>
      </c>
      <c r="D77" s="36" t="s">
        <v>101</v>
      </c>
      <c r="E77" s="37">
        <v>158.9</v>
      </c>
    </row>
    <row r="78" spans="1:220" s="5" customFormat="1" ht="16.2" customHeight="1" x14ac:dyDescent="0.3">
      <c r="A78" s="33"/>
      <c r="B78" s="34"/>
      <c r="C78" s="38" t="s">
        <v>541</v>
      </c>
      <c r="D78" s="36"/>
      <c r="E78" s="37"/>
    </row>
    <row r="79" spans="1:220" s="5" customFormat="1" ht="17.399999999999999" customHeight="1" x14ac:dyDescent="0.3">
      <c r="A79" s="33"/>
      <c r="B79" s="34"/>
      <c r="C79" s="38" t="s">
        <v>539</v>
      </c>
      <c r="D79" s="36" t="s">
        <v>540</v>
      </c>
      <c r="E79" s="37">
        <v>12</v>
      </c>
    </row>
    <row r="80" spans="1:220" s="5" customFormat="1" ht="16.8" customHeight="1" x14ac:dyDescent="0.3">
      <c r="A80" s="49" t="s">
        <v>14</v>
      </c>
      <c r="B80" s="50" t="s">
        <v>5</v>
      </c>
      <c r="C80" s="66" t="s">
        <v>8</v>
      </c>
      <c r="D80" s="68" t="s">
        <v>26</v>
      </c>
      <c r="E80" s="69">
        <v>1</v>
      </c>
    </row>
    <row r="81" spans="1:5" s="5" customFormat="1" ht="16.8" customHeight="1" x14ac:dyDescent="0.3">
      <c r="A81" s="33" t="s">
        <v>14</v>
      </c>
      <c r="B81" s="50"/>
      <c r="C81" s="53" t="s">
        <v>111</v>
      </c>
      <c r="D81" s="54"/>
      <c r="E81" s="30"/>
    </row>
    <row r="82" spans="1:5" s="5" customFormat="1" ht="42.6" customHeight="1" x14ac:dyDescent="0.3">
      <c r="A82" s="33" t="s">
        <v>14</v>
      </c>
      <c r="B82" s="34" t="s">
        <v>140</v>
      </c>
      <c r="C82" s="38" t="s">
        <v>118</v>
      </c>
      <c r="D82" s="39" t="s">
        <v>35</v>
      </c>
      <c r="E82" s="9">
        <v>43.6</v>
      </c>
    </row>
    <row r="83" spans="1:5" s="5" customFormat="1" ht="46.2" customHeight="1" x14ac:dyDescent="0.3">
      <c r="A83" s="33" t="s">
        <v>14</v>
      </c>
      <c r="B83" s="34" t="s">
        <v>141</v>
      </c>
      <c r="C83" s="38" t="s">
        <v>109</v>
      </c>
      <c r="D83" s="39" t="s">
        <v>66</v>
      </c>
      <c r="E83" s="9">
        <v>1127.6600000000001</v>
      </c>
    </row>
    <row r="84" spans="1:5" s="5" customFormat="1" ht="36.6" customHeight="1" x14ac:dyDescent="0.3">
      <c r="A84" s="33" t="s">
        <v>14</v>
      </c>
      <c r="B84" s="34" t="s">
        <v>142</v>
      </c>
      <c r="C84" s="38" t="s">
        <v>105</v>
      </c>
      <c r="D84" s="39" t="s">
        <v>191</v>
      </c>
      <c r="E84" s="20">
        <v>108</v>
      </c>
    </row>
    <row r="85" spans="1:5" s="5" customFormat="1" ht="45" customHeight="1" x14ac:dyDescent="0.3">
      <c r="A85" s="33" t="s">
        <v>14</v>
      </c>
      <c r="B85" s="34" t="s">
        <v>143</v>
      </c>
      <c r="C85" s="38" t="s">
        <v>121</v>
      </c>
      <c r="D85" s="36" t="s">
        <v>66</v>
      </c>
      <c r="E85" s="37">
        <v>1204.3399999999999</v>
      </c>
    </row>
    <row r="86" spans="1:5" s="5" customFormat="1" ht="33" customHeight="1" x14ac:dyDescent="0.3">
      <c r="A86" s="33" t="s">
        <v>14</v>
      </c>
      <c r="B86" s="34" t="s">
        <v>144</v>
      </c>
      <c r="C86" s="38" t="s">
        <v>128</v>
      </c>
      <c r="D86" s="39" t="s">
        <v>101</v>
      </c>
      <c r="E86" s="70">
        <v>55</v>
      </c>
    </row>
    <row r="87" spans="1:5" s="5" customFormat="1" ht="35.4" customHeight="1" x14ac:dyDescent="0.3">
      <c r="A87" s="33" t="s">
        <v>14</v>
      </c>
      <c r="B87" s="34" t="s">
        <v>145</v>
      </c>
      <c r="C87" s="38" t="s">
        <v>110</v>
      </c>
      <c r="D87" s="36" t="s">
        <v>66</v>
      </c>
      <c r="E87" s="70">
        <v>40.700000000000003</v>
      </c>
    </row>
    <row r="88" spans="1:5" s="5" customFormat="1" ht="27.6" customHeight="1" x14ac:dyDescent="0.3">
      <c r="A88" s="33" t="s">
        <v>14</v>
      </c>
      <c r="B88" s="34" t="s">
        <v>146</v>
      </c>
      <c r="C88" s="38" t="s">
        <v>106</v>
      </c>
      <c r="D88" s="39" t="s">
        <v>101</v>
      </c>
      <c r="E88" s="40">
        <v>112.2</v>
      </c>
    </row>
    <row r="89" spans="1:5" s="5" customFormat="1" ht="19.2" customHeight="1" x14ac:dyDescent="0.3">
      <c r="A89" s="33" t="s">
        <v>14</v>
      </c>
      <c r="B89" s="34" t="s">
        <v>147</v>
      </c>
      <c r="C89" s="38" t="s">
        <v>107</v>
      </c>
      <c r="D89" s="39" t="s">
        <v>108</v>
      </c>
      <c r="E89" s="40">
        <v>18</v>
      </c>
    </row>
    <row r="90" spans="1:5" s="5" customFormat="1" ht="27.6" x14ac:dyDescent="0.3">
      <c r="A90" s="33" t="s">
        <v>14</v>
      </c>
      <c r="B90" s="34" t="s">
        <v>148</v>
      </c>
      <c r="C90" s="38" t="s">
        <v>112</v>
      </c>
      <c r="D90" s="39" t="s">
        <v>101</v>
      </c>
      <c r="E90" s="40">
        <v>120</v>
      </c>
    </row>
    <row r="91" spans="1:5" s="5" customFormat="1" ht="20.399999999999999" customHeight="1" x14ac:dyDescent="0.3">
      <c r="A91" s="33" t="s">
        <v>14</v>
      </c>
      <c r="B91" s="34" t="s">
        <v>149</v>
      </c>
      <c r="C91" s="38" t="s">
        <v>545</v>
      </c>
      <c r="D91" s="39" t="s">
        <v>101</v>
      </c>
      <c r="E91" s="40">
        <v>188</v>
      </c>
    </row>
    <row r="92" spans="1:5" s="5" customFormat="1" ht="15" customHeight="1" x14ac:dyDescent="0.3">
      <c r="A92" s="33" t="s">
        <v>14</v>
      </c>
      <c r="B92" s="50"/>
      <c r="C92" s="53" t="s">
        <v>113</v>
      </c>
      <c r="D92" s="54"/>
      <c r="E92" s="30"/>
    </row>
    <row r="93" spans="1:5" s="5" customFormat="1" ht="46.2" customHeight="1" x14ac:dyDescent="0.3">
      <c r="A93" s="33" t="s">
        <v>14</v>
      </c>
      <c r="B93" s="34" t="s">
        <v>150</v>
      </c>
      <c r="C93" s="38" t="s">
        <v>117</v>
      </c>
      <c r="D93" s="39" t="s">
        <v>35</v>
      </c>
      <c r="E93" s="9">
        <v>34.5</v>
      </c>
    </row>
    <row r="94" spans="1:5" s="5" customFormat="1" ht="42" customHeight="1" x14ac:dyDescent="0.3">
      <c r="A94" s="33" t="s">
        <v>14</v>
      </c>
      <c r="B94" s="34" t="s">
        <v>151</v>
      </c>
      <c r="C94" s="38" t="s">
        <v>114</v>
      </c>
      <c r="D94" s="39" t="s">
        <v>66</v>
      </c>
      <c r="E94" s="9">
        <v>695.8</v>
      </c>
    </row>
    <row r="95" spans="1:5" s="5" customFormat="1" ht="34.200000000000003" customHeight="1" x14ac:dyDescent="0.3">
      <c r="A95" s="33" t="s">
        <v>14</v>
      </c>
      <c r="B95" s="34" t="s">
        <v>152</v>
      </c>
      <c r="C95" s="38" t="s">
        <v>115</v>
      </c>
      <c r="D95" s="71" t="s">
        <v>191</v>
      </c>
      <c r="E95" s="20">
        <v>106</v>
      </c>
    </row>
    <row r="96" spans="1:5" s="5" customFormat="1" ht="43.8" customHeight="1" x14ac:dyDescent="0.3">
      <c r="A96" s="33" t="s">
        <v>14</v>
      </c>
      <c r="B96" s="34" t="s">
        <v>153</v>
      </c>
      <c r="C96" s="38" t="s">
        <v>122</v>
      </c>
      <c r="D96" s="36" t="s">
        <v>66</v>
      </c>
      <c r="E96" s="37">
        <v>952.35</v>
      </c>
    </row>
    <row r="97" spans="1:220" s="5" customFormat="1" ht="34.200000000000003" customHeight="1" x14ac:dyDescent="0.3">
      <c r="A97" s="33" t="s">
        <v>14</v>
      </c>
      <c r="B97" s="34" t="s">
        <v>154</v>
      </c>
      <c r="C97" s="38" t="s">
        <v>335</v>
      </c>
      <c r="D97" s="39" t="s">
        <v>101</v>
      </c>
      <c r="E97" s="70">
        <v>55</v>
      </c>
    </row>
    <row r="98" spans="1:220" s="5" customFormat="1" ht="34.200000000000003" customHeight="1" x14ac:dyDescent="0.3">
      <c r="A98" s="33" t="s">
        <v>14</v>
      </c>
      <c r="B98" s="34" t="s">
        <v>155</v>
      </c>
      <c r="C98" s="38" t="s">
        <v>116</v>
      </c>
      <c r="D98" s="36" t="s">
        <v>66</v>
      </c>
      <c r="E98" s="37">
        <v>44.3</v>
      </c>
    </row>
    <row r="99" spans="1:220" s="5" customFormat="1" ht="28.8" customHeight="1" x14ac:dyDescent="0.3">
      <c r="A99" s="33" t="s">
        <v>14</v>
      </c>
      <c r="B99" s="34" t="s">
        <v>156</v>
      </c>
      <c r="C99" s="38" t="s">
        <v>106</v>
      </c>
      <c r="D99" s="39" t="s">
        <v>101</v>
      </c>
      <c r="E99" s="40">
        <v>115</v>
      </c>
    </row>
    <row r="100" spans="1:220" s="5" customFormat="1" ht="16.8" customHeight="1" x14ac:dyDescent="0.3">
      <c r="A100" s="33" t="s">
        <v>14</v>
      </c>
      <c r="B100" s="34" t="s">
        <v>157</v>
      </c>
      <c r="C100" s="38" t="s">
        <v>107</v>
      </c>
      <c r="D100" s="39" t="s">
        <v>108</v>
      </c>
      <c r="E100" s="40">
        <v>7</v>
      </c>
    </row>
    <row r="101" spans="1:220" s="5" customFormat="1" ht="31.2" customHeight="1" x14ac:dyDescent="0.3">
      <c r="A101" s="33" t="s">
        <v>14</v>
      </c>
      <c r="B101" s="34" t="s">
        <v>158</v>
      </c>
      <c r="C101" s="38" t="s">
        <v>112</v>
      </c>
      <c r="D101" s="39" t="s">
        <v>101</v>
      </c>
      <c r="E101" s="40">
        <v>114</v>
      </c>
    </row>
    <row r="102" spans="1:220" s="5" customFormat="1" ht="22.2" customHeight="1" x14ac:dyDescent="0.3">
      <c r="A102" s="33" t="s">
        <v>14</v>
      </c>
      <c r="B102" s="34" t="s">
        <v>159</v>
      </c>
      <c r="C102" s="38" t="s">
        <v>545</v>
      </c>
      <c r="D102" s="39" t="s">
        <v>101</v>
      </c>
      <c r="E102" s="40">
        <v>182</v>
      </c>
    </row>
    <row r="103" spans="1:220" s="5" customFormat="1" ht="16.2" customHeight="1" x14ac:dyDescent="0.3">
      <c r="A103" s="33" t="s">
        <v>14</v>
      </c>
      <c r="B103" s="50"/>
      <c r="C103" s="53" t="s">
        <v>334</v>
      </c>
      <c r="D103" s="54"/>
      <c r="E103" s="30"/>
    </row>
    <row r="104" spans="1:220" s="5" customFormat="1" ht="40.200000000000003" customHeight="1" x14ac:dyDescent="0.3">
      <c r="A104" s="33" t="s">
        <v>14</v>
      </c>
      <c r="B104" s="34" t="s">
        <v>160</v>
      </c>
      <c r="C104" s="38" t="s">
        <v>119</v>
      </c>
      <c r="D104" s="39" t="s">
        <v>66</v>
      </c>
      <c r="E104" s="9">
        <v>45</v>
      </c>
    </row>
    <row r="105" spans="1:220" s="5" customFormat="1" ht="34.200000000000003" customHeight="1" x14ac:dyDescent="0.3">
      <c r="A105" s="33" t="s">
        <v>14</v>
      </c>
      <c r="B105" s="34" t="s">
        <v>161</v>
      </c>
      <c r="C105" s="38" t="s">
        <v>120</v>
      </c>
      <c r="D105" s="36" t="s">
        <v>66</v>
      </c>
      <c r="E105" s="37">
        <v>45</v>
      </c>
    </row>
    <row r="106" spans="1:220" s="5" customFormat="1" ht="33.6" customHeight="1" x14ac:dyDescent="0.3">
      <c r="A106" s="33" t="s">
        <v>14</v>
      </c>
      <c r="B106" s="34" t="s">
        <v>162</v>
      </c>
      <c r="C106" s="38" t="s">
        <v>336</v>
      </c>
      <c r="D106" s="39" t="s">
        <v>101</v>
      </c>
      <c r="E106" s="40">
        <v>7.9</v>
      </c>
    </row>
    <row r="107" spans="1:220" s="5" customFormat="1" ht="16.8" customHeight="1" x14ac:dyDescent="0.3">
      <c r="A107" s="33" t="s">
        <v>14</v>
      </c>
      <c r="B107" s="34" t="s">
        <v>163</v>
      </c>
      <c r="C107" s="38" t="s">
        <v>106</v>
      </c>
      <c r="D107" s="39" t="s">
        <v>101</v>
      </c>
      <c r="E107" s="40">
        <v>18</v>
      </c>
    </row>
    <row r="108" spans="1:220" s="5" customFormat="1" ht="29.4" customHeight="1" x14ac:dyDescent="0.3">
      <c r="A108" s="33" t="s">
        <v>14</v>
      </c>
      <c r="B108" s="34" t="s">
        <v>164</v>
      </c>
      <c r="C108" s="38" t="s">
        <v>112</v>
      </c>
      <c r="D108" s="39" t="s">
        <v>101</v>
      </c>
      <c r="E108" s="40">
        <v>12</v>
      </c>
    </row>
    <row r="109" spans="1:220" s="5" customFormat="1" ht="14.4" x14ac:dyDescent="0.3">
      <c r="A109" s="33" t="s">
        <v>14</v>
      </c>
      <c r="B109" s="34" t="s">
        <v>165</v>
      </c>
      <c r="C109" s="38" t="s">
        <v>545</v>
      </c>
      <c r="D109" s="39" t="s">
        <v>101</v>
      </c>
      <c r="E109" s="40">
        <v>38</v>
      </c>
    </row>
    <row r="110" spans="1:220" s="5" customFormat="1" ht="18" customHeight="1" x14ac:dyDescent="0.3">
      <c r="A110" s="59"/>
      <c r="B110" s="72"/>
      <c r="C110" s="73" t="s">
        <v>542</v>
      </c>
      <c r="D110" s="21"/>
      <c r="E110" s="24"/>
    </row>
    <row r="111" spans="1:220" s="8" customFormat="1" ht="16.8" customHeight="1" x14ac:dyDescent="0.3">
      <c r="A111" s="26" t="s">
        <v>14</v>
      </c>
      <c r="B111" s="27" t="s">
        <v>6</v>
      </c>
      <c r="C111" s="28" t="s">
        <v>124</v>
      </c>
      <c r="D111" s="54" t="s">
        <v>26</v>
      </c>
      <c r="E111" s="69">
        <v>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</row>
    <row r="112" spans="1:220" s="8" customFormat="1" ht="28.8" x14ac:dyDescent="0.3">
      <c r="A112" s="33" t="s">
        <v>14</v>
      </c>
      <c r="B112" s="27"/>
      <c r="C112" s="53" t="s">
        <v>543</v>
      </c>
      <c r="D112" s="54"/>
      <c r="E112" s="3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</row>
    <row r="113" spans="1:220" s="8" customFormat="1" ht="47.4" customHeight="1" x14ac:dyDescent="0.3">
      <c r="A113" s="39" t="s">
        <v>14</v>
      </c>
      <c r="B113" s="34" t="s">
        <v>166</v>
      </c>
      <c r="C113" s="38" t="s">
        <v>125</v>
      </c>
      <c r="D113" s="39" t="s">
        <v>66</v>
      </c>
      <c r="E113" s="9">
        <v>187.2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</row>
    <row r="114" spans="1:220" s="8" customFormat="1" ht="19.2" customHeight="1" x14ac:dyDescent="0.3">
      <c r="A114" s="39" t="s">
        <v>14</v>
      </c>
      <c r="B114" s="34" t="s">
        <v>167</v>
      </c>
      <c r="C114" s="38" t="s">
        <v>123</v>
      </c>
      <c r="D114" s="39" t="s">
        <v>101</v>
      </c>
      <c r="E114" s="9">
        <v>115.44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</row>
    <row r="115" spans="1:220" s="8" customFormat="1" ht="28.8" x14ac:dyDescent="0.3">
      <c r="A115" s="22" t="s">
        <v>14</v>
      </c>
      <c r="B115" s="27"/>
      <c r="C115" s="31" t="s">
        <v>544</v>
      </c>
      <c r="D115" s="54"/>
      <c r="E115" s="3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</row>
    <row r="116" spans="1:220" s="8" customFormat="1" ht="41.4" x14ac:dyDescent="0.3">
      <c r="A116" s="39" t="s">
        <v>14</v>
      </c>
      <c r="B116" s="34" t="s">
        <v>168</v>
      </c>
      <c r="C116" s="38" t="s">
        <v>125</v>
      </c>
      <c r="D116" s="39" t="s">
        <v>66</v>
      </c>
      <c r="E116" s="9">
        <v>113.4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</row>
    <row r="117" spans="1:220" s="8" customFormat="1" ht="14.4" x14ac:dyDescent="0.3">
      <c r="A117" s="39" t="s">
        <v>14</v>
      </c>
      <c r="B117" s="34" t="s">
        <v>169</v>
      </c>
      <c r="C117" s="38" t="s">
        <v>123</v>
      </c>
      <c r="D117" s="39" t="s">
        <v>101</v>
      </c>
      <c r="E117" s="9">
        <f>68.8+6.7</f>
        <v>75.5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</row>
    <row r="118" spans="1:220" s="8" customFormat="1" ht="14.4" customHeight="1" x14ac:dyDescent="0.3">
      <c r="A118" s="26" t="s">
        <v>14</v>
      </c>
      <c r="B118" s="27" t="s">
        <v>7</v>
      </c>
      <c r="C118" s="28" t="s">
        <v>126</v>
      </c>
      <c r="D118" s="54" t="s">
        <v>26</v>
      </c>
      <c r="E118" s="69">
        <v>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</row>
    <row r="119" spans="1:220" s="8" customFormat="1" ht="28.8" x14ac:dyDescent="0.3">
      <c r="A119" s="33" t="s">
        <v>14</v>
      </c>
      <c r="B119" s="27"/>
      <c r="C119" s="53" t="s">
        <v>127</v>
      </c>
      <c r="D119" s="54"/>
      <c r="E119" s="3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</row>
    <row r="120" spans="1:220" s="8" customFormat="1" ht="27.6" x14ac:dyDescent="0.3">
      <c r="A120" s="39" t="s">
        <v>14</v>
      </c>
      <c r="B120" s="74" t="s">
        <v>170</v>
      </c>
      <c r="C120" s="38" t="s">
        <v>133</v>
      </c>
      <c r="D120" s="39" t="s">
        <v>108</v>
      </c>
      <c r="E120" s="9">
        <v>4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</row>
    <row r="121" spans="1:220" s="8" customFormat="1" ht="27.6" x14ac:dyDescent="0.3">
      <c r="A121" s="39" t="s">
        <v>14</v>
      </c>
      <c r="B121" s="74" t="s">
        <v>171</v>
      </c>
      <c r="C121" s="38" t="s">
        <v>132</v>
      </c>
      <c r="D121" s="39" t="s">
        <v>108</v>
      </c>
      <c r="E121" s="9">
        <v>1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</row>
    <row r="122" spans="1:220" s="8" customFormat="1" ht="14.4" x14ac:dyDescent="0.3">
      <c r="A122" s="33" t="s">
        <v>14</v>
      </c>
      <c r="B122" s="34"/>
      <c r="C122" s="53" t="s">
        <v>131</v>
      </c>
      <c r="D122" s="54"/>
      <c r="E122" s="3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</row>
    <row r="123" spans="1:220" s="8" customFormat="1" ht="27.6" x14ac:dyDescent="0.3">
      <c r="A123" s="39" t="s">
        <v>14</v>
      </c>
      <c r="B123" s="74" t="s">
        <v>172</v>
      </c>
      <c r="C123" s="38" t="s">
        <v>129</v>
      </c>
      <c r="D123" s="39" t="s">
        <v>108</v>
      </c>
      <c r="E123" s="9">
        <v>1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</row>
    <row r="124" spans="1:220" s="8" customFormat="1" ht="30.6" customHeight="1" x14ac:dyDescent="0.3">
      <c r="A124" s="39" t="s">
        <v>14</v>
      </c>
      <c r="B124" s="74" t="s">
        <v>173</v>
      </c>
      <c r="C124" s="38" t="s">
        <v>130</v>
      </c>
      <c r="D124" s="39" t="s">
        <v>108</v>
      </c>
      <c r="E124" s="9">
        <v>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</row>
    <row r="125" spans="1:220" s="8" customFormat="1" ht="30.6" customHeight="1" x14ac:dyDescent="0.3">
      <c r="A125" s="39" t="s">
        <v>14</v>
      </c>
      <c r="B125" s="74" t="s">
        <v>174</v>
      </c>
      <c r="C125" s="38" t="s">
        <v>132</v>
      </c>
      <c r="D125" s="39" t="s">
        <v>108</v>
      </c>
      <c r="E125" s="9">
        <v>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</row>
    <row r="126" spans="1:220" s="8" customFormat="1" ht="24" customHeight="1" x14ac:dyDescent="0.3">
      <c r="A126" s="75"/>
      <c r="B126" s="76"/>
      <c r="C126" s="57" t="s">
        <v>341</v>
      </c>
      <c r="D126" s="77"/>
      <c r="E126" s="3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</row>
    <row r="127" spans="1:220" s="3" customFormat="1" ht="16.8" customHeight="1" x14ac:dyDescent="0.25">
      <c r="A127" s="62" t="s">
        <v>15</v>
      </c>
      <c r="B127" s="63"/>
      <c r="C127" s="23" t="s">
        <v>23</v>
      </c>
      <c r="D127" s="24"/>
      <c r="E127" s="2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</row>
    <row r="128" spans="1:220" s="5" customFormat="1" ht="28.8" x14ac:dyDescent="0.3">
      <c r="A128" s="78" t="s">
        <v>15</v>
      </c>
      <c r="B128" s="27" t="s">
        <v>16</v>
      </c>
      <c r="C128" s="60" t="s">
        <v>188</v>
      </c>
      <c r="D128" s="54" t="s">
        <v>26</v>
      </c>
      <c r="E128" s="69">
        <v>1</v>
      </c>
    </row>
    <row r="129" spans="1:5" s="10" customFormat="1" ht="27.6" x14ac:dyDescent="0.3">
      <c r="A129" s="78"/>
      <c r="B129" s="74" t="s">
        <v>198</v>
      </c>
      <c r="C129" s="79" t="s">
        <v>738</v>
      </c>
      <c r="D129" s="80" t="s">
        <v>189</v>
      </c>
      <c r="E129" s="81">
        <v>260</v>
      </c>
    </row>
    <row r="130" spans="1:5" s="10" customFormat="1" ht="27.6" x14ac:dyDescent="0.3">
      <c r="A130" s="78"/>
      <c r="B130" s="74" t="s">
        <v>199</v>
      </c>
      <c r="C130" s="79" t="s">
        <v>739</v>
      </c>
      <c r="D130" s="80" t="s">
        <v>189</v>
      </c>
      <c r="E130" s="81">
        <v>17</v>
      </c>
    </row>
    <row r="131" spans="1:5" s="10" customFormat="1" ht="27.6" x14ac:dyDescent="0.3">
      <c r="A131" s="78"/>
      <c r="B131" s="74" t="s">
        <v>200</v>
      </c>
      <c r="C131" s="79" t="s">
        <v>740</v>
      </c>
      <c r="D131" s="80" t="s">
        <v>189</v>
      </c>
      <c r="E131" s="81">
        <v>9</v>
      </c>
    </row>
    <row r="132" spans="1:5" s="10" customFormat="1" ht="27.6" x14ac:dyDescent="0.3">
      <c r="A132" s="78"/>
      <c r="B132" s="74" t="s">
        <v>201</v>
      </c>
      <c r="C132" s="79" t="s">
        <v>741</v>
      </c>
      <c r="D132" s="80" t="s">
        <v>189</v>
      </c>
      <c r="E132" s="81">
        <v>28</v>
      </c>
    </row>
    <row r="133" spans="1:5" s="10" customFormat="1" ht="27.6" x14ac:dyDescent="0.3">
      <c r="A133" s="78"/>
      <c r="B133" s="74" t="s">
        <v>202</v>
      </c>
      <c r="C133" s="79" t="s">
        <v>742</v>
      </c>
      <c r="D133" s="82" t="s">
        <v>189</v>
      </c>
      <c r="E133" s="81">
        <v>3</v>
      </c>
    </row>
    <row r="134" spans="1:5" s="10" customFormat="1" ht="27.6" x14ac:dyDescent="0.3">
      <c r="A134" s="78"/>
      <c r="B134" s="74" t="s">
        <v>203</v>
      </c>
      <c r="C134" s="79" t="s">
        <v>743</v>
      </c>
      <c r="D134" s="80" t="s">
        <v>189</v>
      </c>
      <c r="E134" s="81">
        <v>1</v>
      </c>
    </row>
    <row r="135" spans="1:5" s="10" customFormat="1" ht="14.4" x14ac:dyDescent="0.3">
      <c r="A135" s="78"/>
      <c r="B135" s="74" t="s">
        <v>204</v>
      </c>
      <c r="C135" s="79" t="s">
        <v>744</v>
      </c>
      <c r="D135" s="80" t="s">
        <v>189</v>
      </c>
      <c r="E135" s="81">
        <v>4</v>
      </c>
    </row>
    <row r="136" spans="1:5" s="10" customFormat="1" ht="14.4" x14ac:dyDescent="0.3">
      <c r="A136" s="78"/>
      <c r="B136" s="74" t="s">
        <v>205</v>
      </c>
      <c r="C136" s="79" t="s">
        <v>745</v>
      </c>
      <c r="D136" s="80" t="s">
        <v>189</v>
      </c>
      <c r="E136" s="81">
        <v>4</v>
      </c>
    </row>
    <row r="137" spans="1:5" s="10" customFormat="1" ht="14.4" x14ac:dyDescent="0.3">
      <c r="A137" s="78"/>
      <c r="B137" s="74" t="s">
        <v>391</v>
      </c>
      <c r="C137" s="79" t="s">
        <v>746</v>
      </c>
      <c r="D137" s="80" t="s">
        <v>189</v>
      </c>
      <c r="E137" s="81">
        <v>20</v>
      </c>
    </row>
    <row r="138" spans="1:5" s="10" customFormat="1" ht="14.4" x14ac:dyDescent="0.3">
      <c r="A138" s="78"/>
      <c r="B138" s="74" t="s">
        <v>393</v>
      </c>
      <c r="C138" s="79" t="s">
        <v>747</v>
      </c>
      <c r="D138" s="80" t="s">
        <v>189</v>
      </c>
      <c r="E138" s="81">
        <v>12</v>
      </c>
    </row>
    <row r="139" spans="1:5" s="10" customFormat="1" ht="14.4" x14ac:dyDescent="0.3">
      <c r="A139" s="78"/>
      <c r="B139" s="74" t="s">
        <v>395</v>
      </c>
      <c r="C139" s="79" t="s">
        <v>748</v>
      </c>
      <c r="D139" s="80" t="s">
        <v>108</v>
      </c>
      <c r="E139" s="81">
        <v>2</v>
      </c>
    </row>
    <row r="140" spans="1:5" s="10" customFormat="1" ht="14.4" x14ac:dyDescent="0.3">
      <c r="A140" s="78"/>
      <c r="B140" s="74" t="s">
        <v>397</v>
      </c>
      <c r="C140" s="79" t="s">
        <v>749</v>
      </c>
      <c r="D140" s="80" t="s">
        <v>108</v>
      </c>
      <c r="E140" s="81">
        <v>3</v>
      </c>
    </row>
    <row r="141" spans="1:5" s="10" customFormat="1" ht="14.4" x14ac:dyDescent="0.3">
      <c r="A141" s="78"/>
      <c r="B141" s="74" t="s">
        <v>398</v>
      </c>
      <c r="C141" s="79" t="s">
        <v>750</v>
      </c>
      <c r="D141" s="80" t="s">
        <v>108</v>
      </c>
      <c r="E141" s="81">
        <v>1</v>
      </c>
    </row>
    <row r="142" spans="1:5" s="10" customFormat="1" ht="14.4" x14ac:dyDescent="0.3">
      <c r="A142" s="78"/>
      <c r="B142" s="74" t="s">
        <v>399</v>
      </c>
      <c r="C142" s="79" t="s">
        <v>751</v>
      </c>
      <c r="D142" s="80" t="s">
        <v>108</v>
      </c>
      <c r="E142" s="81">
        <v>68</v>
      </c>
    </row>
    <row r="143" spans="1:5" s="10" customFormat="1" ht="14.4" x14ac:dyDescent="0.3">
      <c r="A143" s="78"/>
      <c r="B143" s="74" t="s">
        <v>400</v>
      </c>
      <c r="C143" s="79" t="s">
        <v>752</v>
      </c>
      <c r="D143" s="80" t="s">
        <v>108</v>
      </c>
      <c r="E143" s="81">
        <v>45</v>
      </c>
    </row>
    <row r="144" spans="1:5" s="10" customFormat="1" ht="14.4" x14ac:dyDescent="0.3">
      <c r="A144" s="78"/>
      <c r="B144" s="74" t="s">
        <v>402</v>
      </c>
      <c r="C144" s="83" t="s">
        <v>753</v>
      </c>
      <c r="D144" s="39" t="s">
        <v>754</v>
      </c>
      <c r="E144" s="84">
        <v>5</v>
      </c>
    </row>
    <row r="145" spans="1:5" s="10" customFormat="1" ht="14.4" x14ac:dyDescent="0.3">
      <c r="A145" s="78"/>
      <c r="B145" s="74" t="s">
        <v>404</v>
      </c>
      <c r="C145" s="83" t="s">
        <v>755</v>
      </c>
      <c r="D145" s="39" t="s">
        <v>754</v>
      </c>
      <c r="E145" s="84">
        <v>16</v>
      </c>
    </row>
    <row r="146" spans="1:5" s="10" customFormat="1" ht="14.4" x14ac:dyDescent="0.3">
      <c r="A146" s="78"/>
      <c r="B146" s="74" t="s">
        <v>405</v>
      </c>
      <c r="C146" s="83" t="s">
        <v>756</v>
      </c>
      <c r="D146" s="39" t="s">
        <v>754</v>
      </c>
      <c r="E146" s="84">
        <v>24</v>
      </c>
    </row>
    <row r="147" spans="1:5" s="10" customFormat="1" ht="14.4" x14ac:dyDescent="0.3">
      <c r="A147" s="78"/>
      <c r="B147" s="74" t="s">
        <v>406</v>
      </c>
      <c r="C147" s="83" t="s">
        <v>757</v>
      </c>
      <c r="D147" s="39" t="s">
        <v>754</v>
      </c>
      <c r="E147" s="84">
        <v>28</v>
      </c>
    </row>
    <row r="148" spans="1:5" s="10" customFormat="1" ht="14.4" x14ac:dyDescent="0.3">
      <c r="A148" s="78"/>
      <c r="B148" s="74" t="s">
        <v>407</v>
      </c>
      <c r="C148" s="83" t="s">
        <v>758</v>
      </c>
      <c r="D148" s="39" t="s">
        <v>754</v>
      </c>
      <c r="E148" s="84">
        <v>7</v>
      </c>
    </row>
    <row r="149" spans="1:5" s="10" customFormat="1" ht="14.4" x14ac:dyDescent="0.3">
      <c r="A149" s="78"/>
      <c r="B149" s="74" t="s">
        <v>409</v>
      </c>
      <c r="C149" s="83" t="s">
        <v>759</v>
      </c>
      <c r="D149" s="39" t="s">
        <v>108</v>
      </c>
      <c r="E149" s="84">
        <v>4</v>
      </c>
    </row>
    <row r="150" spans="1:5" s="10" customFormat="1" ht="27.6" x14ac:dyDescent="0.3">
      <c r="A150" s="78"/>
      <c r="B150" s="74" t="s">
        <v>779</v>
      </c>
      <c r="C150" s="79" t="s">
        <v>738</v>
      </c>
      <c r="D150" s="39" t="s">
        <v>754</v>
      </c>
      <c r="E150" s="84">
        <v>185</v>
      </c>
    </row>
    <row r="151" spans="1:5" s="10" customFormat="1" ht="27.6" x14ac:dyDescent="0.3">
      <c r="A151" s="78"/>
      <c r="B151" s="74" t="s">
        <v>780</v>
      </c>
      <c r="C151" s="79" t="s">
        <v>739</v>
      </c>
      <c r="D151" s="39" t="s">
        <v>754</v>
      </c>
      <c r="E151" s="84">
        <v>21</v>
      </c>
    </row>
    <row r="152" spans="1:5" s="10" customFormat="1" ht="27.6" x14ac:dyDescent="0.3">
      <c r="A152" s="78"/>
      <c r="B152" s="74" t="s">
        <v>781</v>
      </c>
      <c r="C152" s="79" t="s">
        <v>740</v>
      </c>
      <c r="D152" s="39" t="s">
        <v>754</v>
      </c>
      <c r="E152" s="84">
        <v>31</v>
      </c>
    </row>
    <row r="153" spans="1:5" s="10" customFormat="1" ht="27.6" x14ac:dyDescent="0.3">
      <c r="A153" s="78"/>
      <c r="B153" s="74" t="s">
        <v>782</v>
      </c>
      <c r="C153" s="79" t="s">
        <v>741</v>
      </c>
      <c r="D153" s="39" t="s">
        <v>754</v>
      </c>
      <c r="E153" s="84">
        <v>21</v>
      </c>
    </row>
    <row r="154" spans="1:5" s="10" customFormat="1" ht="27.6" x14ac:dyDescent="0.3">
      <c r="A154" s="78"/>
      <c r="B154" s="74" t="s">
        <v>783</v>
      </c>
      <c r="C154" s="79" t="s">
        <v>742</v>
      </c>
      <c r="D154" s="39" t="s">
        <v>754</v>
      </c>
      <c r="E154" s="84">
        <v>32</v>
      </c>
    </row>
    <row r="155" spans="1:5" s="10" customFormat="1" ht="27.6" x14ac:dyDescent="0.3">
      <c r="A155" s="78"/>
      <c r="B155" s="74" t="s">
        <v>784</v>
      </c>
      <c r="C155" s="79" t="s">
        <v>760</v>
      </c>
      <c r="D155" s="39" t="s">
        <v>754</v>
      </c>
      <c r="E155" s="84">
        <v>33</v>
      </c>
    </row>
    <row r="156" spans="1:5" s="10" customFormat="1" ht="27.6" x14ac:dyDescent="0.3">
      <c r="A156" s="78"/>
      <c r="B156" s="74" t="s">
        <v>785</v>
      </c>
      <c r="C156" s="79" t="s">
        <v>761</v>
      </c>
      <c r="D156" s="39" t="s">
        <v>754</v>
      </c>
      <c r="E156" s="84">
        <v>17</v>
      </c>
    </row>
    <row r="157" spans="1:5" s="10" customFormat="1" ht="27.6" x14ac:dyDescent="0.3">
      <c r="A157" s="78"/>
      <c r="B157" s="74" t="s">
        <v>786</v>
      </c>
      <c r="C157" s="79" t="s">
        <v>762</v>
      </c>
      <c r="D157" s="39" t="s">
        <v>754</v>
      </c>
      <c r="E157" s="84">
        <v>17</v>
      </c>
    </row>
    <row r="158" spans="1:5" s="10" customFormat="1" ht="14.4" x14ac:dyDescent="0.3">
      <c r="A158" s="78"/>
      <c r="B158" s="74" t="s">
        <v>787</v>
      </c>
      <c r="C158" s="79" t="s">
        <v>748</v>
      </c>
      <c r="D158" s="39" t="s">
        <v>108</v>
      </c>
      <c r="E158" s="84">
        <v>3</v>
      </c>
    </row>
    <row r="159" spans="1:5" s="10" customFormat="1" ht="14.4" x14ac:dyDescent="0.3">
      <c r="A159" s="78"/>
      <c r="B159" s="74" t="s">
        <v>788</v>
      </c>
      <c r="C159" s="79" t="s">
        <v>749</v>
      </c>
      <c r="D159" s="39" t="s">
        <v>108</v>
      </c>
      <c r="E159" s="84">
        <v>6</v>
      </c>
    </row>
    <row r="160" spans="1:5" s="10" customFormat="1" ht="14.4" x14ac:dyDescent="0.3">
      <c r="A160" s="78"/>
      <c r="B160" s="74" t="s">
        <v>789</v>
      </c>
      <c r="C160" s="79" t="s">
        <v>751</v>
      </c>
      <c r="D160" s="39" t="s">
        <v>108</v>
      </c>
      <c r="E160" s="84">
        <v>57</v>
      </c>
    </row>
    <row r="161" spans="1:5" s="10" customFormat="1" ht="14.4" x14ac:dyDescent="0.3">
      <c r="A161" s="78"/>
      <c r="B161" s="74" t="s">
        <v>790</v>
      </c>
      <c r="C161" s="83" t="s">
        <v>763</v>
      </c>
      <c r="D161" s="39" t="s">
        <v>764</v>
      </c>
      <c r="E161" s="84">
        <v>16</v>
      </c>
    </row>
    <row r="162" spans="1:5" s="10" customFormat="1" ht="14.4" x14ac:dyDescent="0.3">
      <c r="A162" s="78"/>
      <c r="B162" s="74" t="s">
        <v>791</v>
      </c>
      <c r="C162" s="83" t="s">
        <v>765</v>
      </c>
      <c r="D162" s="39" t="s">
        <v>108</v>
      </c>
      <c r="E162" s="84">
        <v>16</v>
      </c>
    </row>
    <row r="163" spans="1:5" s="10" customFormat="1" ht="14.4" x14ac:dyDescent="0.3">
      <c r="A163" s="78"/>
      <c r="B163" s="74" t="s">
        <v>792</v>
      </c>
      <c r="C163" s="83" t="s">
        <v>766</v>
      </c>
      <c r="D163" s="39" t="s">
        <v>108</v>
      </c>
      <c r="E163" s="84">
        <v>16</v>
      </c>
    </row>
    <row r="164" spans="1:5" s="10" customFormat="1" ht="14.4" x14ac:dyDescent="0.3">
      <c r="A164" s="78"/>
      <c r="B164" s="74" t="s">
        <v>793</v>
      </c>
      <c r="C164" s="83" t="s">
        <v>767</v>
      </c>
      <c r="D164" s="39" t="s">
        <v>108</v>
      </c>
      <c r="E164" s="84">
        <v>16</v>
      </c>
    </row>
    <row r="165" spans="1:5" s="10" customFormat="1" ht="14.4" x14ac:dyDescent="0.3">
      <c r="A165" s="78"/>
      <c r="B165" s="74" t="s">
        <v>794</v>
      </c>
      <c r="C165" s="83" t="s">
        <v>768</v>
      </c>
      <c r="D165" s="39" t="s">
        <v>764</v>
      </c>
      <c r="E165" s="84">
        <v>7</v>
      </c>
    </row>
    <row r="166" spans="1:5" s="10" customFormat="1" ht="14.4" x14ac:dyDescent="0.3">
      <c r="A166" s="78"/>
      <c r="B166" s="74" t="s">
        <v>795</v>
      </c>
      <c r="C166" s="83" t="s">
        <v>769</v>
      </c>
      <c r="D166" s="39" t="s">
        <v>108</v>
      </c>
      <c r="E166" s="84">
        <v>7</v>
      </c>
    </row>
    <row r="167" spans="1:5" s="5" customFormat="1" ht="14.4" x14ac:dyDescent="0.3">
      <c r="A167" s="78"/>
      <c r="B167" s="74" t="s">
        <v>796</v>
      </c>
      <c r="C167" s="83" t="s">
        <v>770</v>
      </c>
      <c r="D167" s="39" t="s">
        <v>108</v>
      </c>
      <c r="E167" s="84">
        <v>7</v>
      </c>
    </row>
    <row r="168" spans="1:5" s="5" customFormat="1" ht="14.4" x14ac:dyDescent="0.3">
      <c r="A168" s="78"/>
      <c r="B168" s="74" t="s">
        <v>797</v>
      </c>
      <c r="C168" s="83" t="s">
        <v>771</v>
      </c>
      <c r="D168" s="39" t="s">
        <v>108</v>
      </c>
      <c r="E168" s="84">
        <v>7</v>
      </c>
    </row>
    <row r="169" spans="1:5" s="5" customFormat="1" ht="14.4" x14ac:dyDescent="0.3">
      <c r="A169" s="78"/>
      <c r="B169" s="74" t="s">
        <v>798</v>
      </c>
      <c r="C169" s="83" t="s">
        <v>772</v>
      </c>
      <c r="D169" s="39" t="s">
        <v>108</v>
      </c>
      <c r="E169" s="84">
        <v>2</v>
      </c>
    </row>
    <row r="170" spans="1:5" s="5" customFormat="1" ht="14.4" x14ac:dyDescent="0.3">
      <c r="A170" s="78"/>
      <c r="B170" s="74" t="s">
        <v>799</v>
      </c>
      <c r="C170" s="83" t="s">
        <v>773</v>
      </c>
      <c r="D170" s="39" t="s">
        <v>108</v>
      </c>
      <c r="E170" s="84">
        <v>2</v>
      </c>
    </row>
    <row r="171" spans="1:5" s="5" customFormat="1" ht="14.4" x14ac:dyDescent="0.3">
      <c r="A171" s="78"/>
      <c r="B171" s="74" t="s">
        <v>800</v>
      </c>
      <c r="C171" s="83" t="s">
        <v>774</v>
      </c>
      <c r="D171" s="39" t="s">
        <v>108</v>
      </c>
      <c r="E171" s="84">
        <v>39</v>
      </c>
    </row>
    <row r="172" spans="1:5" s="5" customFormat="1" ht="14.4" x14ac:dyDescent="0.3">
      <c r="A172" s="78"/>
      <c r="B172" s="74" t="s">
        <v>801</v>
      </c>
      <c r="C172" s="83" t="s">
        <v>775</v>
      </c>
      <c r="D172" s="39" t="s">
        <v>108</v>
      </c>
      <c r="E172" s="84">
        <v>7</v>
      </c>
    </row>
    <row r="173" spans="1:5" s="5" customFormat="1" ht="14.4" x14ac:dyDescent="0.3">
      <c r="A173" s="78"/>
      <c r="B173" s="74" t="s">
        <v>802</v>
      </c>
      <c r="C173" s="83" t="s">
        <v>776</v>
      </c>
      <c r="D173" s="39" t="s">
        <v>108</v>
      </c>
      <c r="E173" s="84">
        <v>4</v>
      </c>
    </row>
    <row r="174" spans="1:5" s="5" customFormat="1" ht="14.4" x14ac:dyDescent="0.3">
      <c r="A174" s="78"/>
      <c r="B174" s="74" t="s">
        <v>803</v>
      </c>
      <c r="C174" s="83" t="s">
        <v>777</v>
      </c>
      <c r="D174" s="39" t="s">
        <v>189</v>
      </c>
      <c r="E174" s="84">
        <v>10</v>
      </c>
    </row>
    <row r="175" spans="1:5" s="5" customFormat="1" ht="14.4" x14ac:dyDescent="0.3">
      <c r="A175" s="78"/>
      <c r="B175" s="74" t="s">
        <v>804</v>
      </c>
      <c r="C175" s="83" t="s">
        <v>778</v>
      </c>
      <c r="D175" s="39" t="s">
        <v>108</v>
      </c>
      <c r="E175" s="84">
        <v>2</v>
      </c>
    </row>
    <row r="176" spans="1:5" s="5" customFormat="1" ht="28.8" x14ac:dyDescent="0.3">
      <c r="A176" s="26" t="s">
        <v>15</v>
      </c>
      <c r="B176" s="27" t="s">
        <v>17</v>
      </c>
      <c r="C176" s="60" t="s">
        <v>213</v>
      </c>
      <c r="D176" s="54" t="s">
        <v>26</v>
      </c>
      <c r="E176" s="69">
        <v>1</v>
      </c>
    </row>
    <row r="177" spans="1:5" s="5" customFormat="1" ht="14.4" x14ac:dyDescent="0.3">
      <c r="A177" s="85" t="s">
        <v>15</v>
      </c>
      <c r="B177" s="74" t="s">
        <v>206</v>
      </c>
      <c r="C177" s="86" t="s">
        <v>805</v>
      </c>
      <c r="D177" s="39" t="s">
        <v>322</v>
      </c>
      <c r="E177" s="84">
        <v>1</v>
      </c>
    </row>
    <row r="178" spans="1:5" s="5" customFormat="1" ht="14.4" x14ac:dyDescent="0.3">
      <c r="A178" s="85" t="s">
        <v>15</v>
      </c>
      <c r="B178" s="74" t="s">
        <v>207</v>
      </c>
      <c r="C178" s="86" t="s">
        <v>806</v>
      </c>
      <c r="D178" s="39" t="s">
        <v>322</v>
      </c>
      <c r="E178" s="84">
        <v>223</v>
      </c>
    </row>
    <row r="179" spans="1:5" s="5" customFormat="1" ht="14.4" x14ac:dyDescent="0.3">
      <c r="A179" s="85" t="s">
        <v>15</v>
      </c>
      <c r="B179" s="74" t="s">
        <v>208</v>
      </c>
      <c r="C179" s="86" t="s">
        <v>807</v>
      </c>
      <c r="D179" s="39" t="s">
        <v>322</v>
      </c>
      <c r="E179" s="84">
        <v>213</v>
      </c>
    </row>
    <row r="180" spans="1:5" s="5" customFormat="1" ht="14.4" x14ac:dyDescent="0.3">
      <c r="A180" s="85" t="s">
        <v>15</v>
      </c>
      <c r="B180" s="74" t="s">
        <v>209</v>
      </c>
      <c r="C180" s="87" t="s">
        <v>808</v>
      </c>
      <c r="D180" s="39" t="s">
        <v>754</v>
      </c>
      <c r="E180" s="84">
        <v>31</v>
      </c>
    </row>
    <row r="181" spans="1:5" s="5" customFormat="1" ht="14.4" x14ac:dyDescent="0.3">
      <c r="A181" s="85" t="s">
        <v>15</v>
      </c>
      <c r="B181" s="74" t="s">
        <v>210</v>
      </c>
      <c r="C181" s="86" t="s">
        <v>809</v>
      </c>
      <c r="D181" s="39" t="s">
        <v>754</v>
      </c>
      <c r="E181" s="84">
        <v>23</v>
      </c>
    </row>
    <row r="182" spans="1:5" s="5" customFormat="1" ht="14.4" x14ac:dyDescent="0.3">
      <c r="A182" s="85" t="s">
        <v>15</v>
      </c>
      <c r="B182" s="74" t="s">
        <v>211</v>
      </c>
      <c r="C182" s="86" t="s">
        <v>810</v>
      </c>
      <c r="D182" s="39" t="s">
        <v>754</v>
      </c>
      <c r="E182" s="84">
        <v>14</v>
      </c>
    </row>
    <row r="183" spans="1:5" s="5" customFormat="1" ht="14.4" x14ac:dyDescent="0.3">
      <c r="A183" s="85" t="s">
        <v>15</v>
      </c>
      <c r="B183" s="74" t="s">
        <v>212</v>
      </c>
      <c r="C183" s="86" t="s">
        <v>811</v>
      </c>
      <c r="D183" s="39" t="s">
        <v>754</v>
      </c>
      <c r="E183" s="84">
        <v>25</v>
      </c>
    </row>
    <row r="184" spans="1:5" s="5" customFormat="1" ht="14.4" x14ac:dyDescent="0.3">
      <c r="A184" s="85" t="s">
        <v>15</v>
      </c>
      <c r="B184" s="74" t="s">
        <v>415</v>
      </c>
      <c r="C184" s="86" t="s">
        <v>812</v>
      </c>
      <c r="D184" s="39" t="s">
        <v>754</v>
      </c>
      <c r="E184" s="84">
        <v>56</v>
      </c>
    </row>
    <row r="185" spans="1:5" s="5" customFormat="1" ht="14.4" x14ac:dyDescent="0.3">
      <c r="A185" s="85" t="s">
        <v>15</v>
      </c>
      <c r="B185" s="74" t="s">
        <v>416</v>
      </c>
      <c r="C185" s="86" t="s">
        <v>813</v>
      </c>
      <c r="D185" s="39" t="s">
        <v>754</v>
      </c>
      <c r="E185" s="84">
        <v>45</v>
      </c>
    </row>
    <row r="186" spans="1:5" s="5" customFormat="1" ht="14.4" x14ac:dyDescent="0.3">
      <c r="A186" s="85" t="s">
        <v>15</v>
      </c>
      <c r="B186" s="74" t="s">
        <v>418</v>
      </c>
      <c r="C186" s="86" t="s">
        <v>814</v>
      </c>
      <c r="D186" s="39" t="s">
        <v>754</v>
      </c>
      <c r="E186" s="84">
        <v>200</v>
      </c>
    </row>
    <row r="187" spans="1:5" s="5" customFormat="1" ht="14.4" x14ac:dyDescent="0.3">
      <c r="A187" s="85" t="s">
        <v>15</v>
      </c>
      <c r="B187" s="74" t="s">
        <v>419</v>
      </c>
      <c r="C187" s="88" t="s">
        <v>815</v>
      </c>
      <c r="D187" s="39" t="s">
        <v>754</v>
      </c>
      <c r="E187" s="84">
        <v>400</v>
      </c>
    </row>
    <row r="188" spans="1:5" s="5" customFormat="1" ht="14.4" x14ac:dyDescent="0.3">
      <c r="A188" s="85" t="s">
        <v>15</v>
      </c>
      <c r="B188" s="74" t="s">
        <v>420</v>
      </c>
      <c r="C188" s="89" t="s">
        <v>816</v>
      </c>
      <c r="D188" s="39" t="s">
        <v>322</v>
      </c>
      <c r="E188" s="84">
        <v>1</v>
      </c>
    </row>
    <row r="189" spans="1:5" s="5" customFormat="1" ht="14.4" x14ac:dyDescent="0.3">
      <c r="A189" s="85" t="s">
        <v>15</v>
      </c>
      <c r="B189" s="74" t="s">
        <v>421</v>
      </c>
      <c r="C189" s="89" t="s">
        <v>817</v>
      </c>
      <c r="D189" s="39" t="s">
        <v>322</v>
      </c>
      <c r="E189" s="84">
        <v>15</v>
      </c>
    </row>
    <row r="190" spans="1:5" s="5" customFormat="1" ht="27.6" x14ac:dyDescent="0.3">
      <c r="A190" s="85" t="s">
        <v>15</v>
      </c>
      <c r="B190" s="74" t="s">
        <v>423</v>
      </c>
      <c r="C190" s="90" t="s">
        <v>818</v>
      </c>
      <c r="D190" s="39" t="s">
        <v>322</v>
      </c>
      <c r="E190" s="84">
        <v>5</v>
      </c>
    </row>
    <row r="191" spans="1:5" s="5" customFormat="1" ht="41.4" x14ac:dyDescent="0.3">
      <c r="A191" s="85" t="s">
        <v>15</v>
      </c>
      <c r="B191" s="74" t="s">
        <v>424</v>
      </c>
      <c r="C191" s="90" t="s">
        <v>819</v>
      </c>
      <c r="D191" s="39" t="s">
        <v>322</v>
      </c>
      <c r="E191" s="84">
        <v>15</v>
      </c>
    </row>
    <row r="192" spans="1:5" s="5" customFormat="1" ht="14.4" x14ac:dyDescent="0.3">
      <c r="A192" s="85" t="s">
        <v>15</v>
      </c>
      <c r="B192" s="74" t="s">
        <v>425</v>
      </c>
      <c r="C192" s="89" t="s">
        <v>820</v>
      </c>
      <c r="D192" s="39" t="s">
        <v>754</v>
      </c>
      <c r="E192" s="84">
        <v>67</v>
      </c>
    </row>
    <row r="193" spans="1:5" s="5" customFormat="1" ht="14.4" x14ac:dyDescent="0.3">
      <c r="A193" s="85" t="s">
        <v>15</v>
      </c>
      <c r="B193" s="74" t="s">
        <v>426</v>
      </c>
      <c r="C193" s="89" t="s">
        <v>821</v>
      </c>
      <c r="D193" s="39" t="s">
        <v>754</v>
      </c>
      <c r="E193" s="84">
        <v>52</v>
      </c>
    </row>
    <row r="194" spans="1:5" s="5" customFormat="1" ht="27.6" x14ac:dyDescent="0.3">
      <c r="A194" s="85" t="s">
        <v>15</v>
      </c>
      <c r="B194" s="74" t="s">
        <v>427</v>
      </c>
      <c r="C194" s="91" t="s">
        <v>822</v>
      </c>
      <c r="D194" s="39" t="s">
        <v>322</v>
      </c>
      <c r="E194" s="84">
        <v>1</v>
      </c>
    </row>
    <row r="195" spans="1:5" s="5" customFormat="1" ht="27.6" x14ac:dyDescent="0.3">
      <c r="A195" s="85" t="s">
        <v>15</v>
      </c>
      <c r="B195" s="74" t="s">
        <v>428</v>
      </c>
      <c r="C195" s="38" t="s">
        <v>823</v>
      </c>
      <c r="D195" s="39" t="s">
        <v>322</v>
      </c>
      <c r="E195" s="84">
        <v>1</v>
      </c>
    </row>
    <row r="196" spans="1:5" s="5" customFormat="1" ht="27.6" x14ac:dyDescent="0.3">
      <c r="A196" s="85" t="s">
        <v>15</v>
      </c>
      <c r="B196" s="74" t="s">
        <v>430</v>
      </c>
      <c r="C196" s="91" t="s">
        <v>824</v>
      </c>
      <c r="D196" s="39" t="s">
        <v>322</v>
      </c>
      <c r="E196" s="84">
        <v>155</v>
      </c>
    </row>
    <row r="197" spans="1:5" s="5" customFormat="1" ht="14.4" x14ac:dyDescent="0.3">
      <c r="A197" s="85" t="s">
        <v>15</v>
      </c>
      <c r="B197" s="74" t="s">
        <v>431</v>
      </c>
      <c r="C197" s="91" t="s">
        <v>825</v>
      </c>
      <c r="D197" s="39" t="s">
        <v>322</v>
      </c>
      <c r="E197" s="84">
        <v>18</v>
      </c>
    </row>
    <row r="198" spans="1:5" s="5" customFormat="1" ht="14.4" x14ac:dyDescent="0.3">
      <c r="A198" s="85" t="s">
        <v>15</v>
      </c>
      <c r="B198" s="74" t="s">
        <v>826</v>
      </c>
      <c r="C198" s="91" t="s">
        <v>827</v>
      </c>
      <c r="D198" s="39" t="s">
        <v>322</v>
      </c>
      <c r="E198" s="84">
        <v>32</v>
      </c>
    </row>
    <row r="199" spans="1:5" s="5" customFormat="1" ht="14.4" x14ac:dyDescent="0.3">
      <c r="A199" s="85" t="s">
        <v>15</v>
      </c>
      <c r="B199" s="74" t="s">
        <v>828</v>
      </c>
      <c r="C199" s="91" t="s">
        <v>829</v>
      </c>
      <c r="D199" s="39" t="s">
        <v>322</v>
      </c>
      <c r="E199" s="84">
        <v>92</v>
      </c>
    </row>
    <row r="200" spans="1:5" s="5" customFormat="1" ht="14.4" x14ac:dyDescent="0.3">
      <c r="A200" s="85" t="s">
        <v>15</v>
      </c>
      <c r="B200" s="74" t="s">
        <v>830</v>
      </c>
      <c r="C200" s="38" t="s">
        <v>831</v>
      </c>
      <c r="D200" s="39" t="s">
        <v>322</v>
      </c>
      <c r="E200" s="84">
        <v>124</v>
      </c>
    </row>
    <row r="201" spans="1:5" s="5" customFormat="1" ht="14.4" x14ac:dyDescent="0.3">
      <c r="A201" s="85" t="s">
        <v>15</v>
      </c>
      <c r="B201" s="74" t="s">
        <v>832</v>
      </c>
      <c r="C201" s="91" t="s">
        <v>833</v>
      </c>
      <c r="D201" s="39" t="s">
        <v>754</v>
      </c>
      <c r="E201" s="84">
        <v>30</v>
      </c>
    </row>
    <row r="202" spans="1:5" s="5" customFormat="1" ht="14.4" x14ac:dyDescent="0.3">
      <c r="A202" s="85" t="s">
        <v>15</v>
      </c>
      <c r="B202" s="74" t="s">
        <v>834</v>
      </c>
      <c r="C202" s="91" t="s">
        <v>835</v>
      </c>
      <c r="D202" s="39" t="s">
        <v>754</v>
      </c>
      <c r="E202" s="84">
        <v>23</v>
      </c>
    </row>
    <row r="203" spans="1:5" s="5" customFormat="1" ht="14.4" x14ac:dyDescent="0.3">
      <c r="A203" s="85" t="s">
        <v>15</v>
      </c>
      <c r="B203" s="74" t="s">
        <v>836</v>
      </c>
      <c r="C203" s="91" t="s">
        <v>837</v>
      </c>
      <c r="D203" s="39" t="s">
        <v>754</v>
      </c>
      <c r="E203" s="84">
        <v>30</v>
      </c>
    </row>
    <row r="204" spans="1:5" s="5" customFormat="1" ht="14.4" x14ac:dyDescent="0.3">
      <c r="A204" s="85" t="s">
        <v>15</v>
      </c>
      <c r="B204" s="74" t="s">
        <v>838</v>
      </c>
      <c r="C204" s="91" t="s">
        <v>839</v>
      </c>
      <c r="D204" s="39" t="s">
        <v>754</v>
      </c>
      <c r="E204" s="84">
        <v>47</v>
      </c>
    </row>
    <row r="205" spans="1:5" s="5" customFormat="1" ht="14.4" x14ac:dyDescent="0.3">
      <c r="A205" s="85" t="s">
        <v>15</v>
      </c>
      <c r="B205" s="74" t="s">
        <v>840</v>
      </c>
      <c r="C205" s="91" t="s">
        <v>841</v>
      </c>
      <c r="D205" s="39" t="s">
        <v>754</v>
      </c>
      <c r="E205" s="84">
        <v>56</v>
      </c>
    </row>
    <row r="206" spans="1:5" s="5" customFormat="1" ht="14.4" x14ac:dyDescent="0.3">
      <c r="A206" s="85" t="s">
        <v>15</v>
      </c>
      <c r="B206" s="74" t="s">
        <v>842</v>
      </c>
      <c r="C206" s="91" t="s">
        <v>843</v>
      </c>
      <c r="D206" s="39" t="s">
        <v>754</v>
      </c>
      <c r="E206" s="84">
        <v>87</v>
      </c>
    </row>
    <row r="207" spans="1:5" s="5" customFormat="1" ht="14.4" x14ac:dyDescent="0.3">
      <c r="A207" s="85" t="s">
        <v>15</v>
      </c>
      <c r="B207" s="74" t="s">
        <v>844</v>
      </c>
      <c r="C207" s="38" t="s">
        <v>845</v>
      </c>
      <c r="D207" s="39" t="s">
        <v>754</v>
      </c>
      <c r="E207" s="84">
        <v>200</v>
      </c>
    </row>
    <row r="208" spans="1:5" s="5" customFormat="1" ht="14.4" x14ac:dyDescent="0.3">
      <c r="A208" s="85" t="s">
        <v>15</v>
      </c>
      <c r="B208" s="74" t="s">
        <v>846</v>
      </c>
      <c r="C208" s="38" t="s">
        <v>847</v>
      </c>
      <c r="D208" s="39" t="s">
        <v>754</v>
      </c>
      <c r="E208" s="84">
        <v>480</v>
      </c>
    </row>
    <row r="209" spans="1:5" s="5" customFormat="1" ht="14.4" x14ac:dyDescent="0.3">
      <c r="A209" s="85" t="s">
        <v>15</v>
      </c>
      <c r="B209" s="74" t="s">
        <v>848</v>
      </c>
      <c r="C209" s="35" t="s">
        <v>849</v>
      </c>
      <c r="D209" s="39" t="s">
        <v>322</v>
      </c>
      <c r="E209" s="84">
        <v>88</v>
      </c>
    </row>
    <row r="210" spans="1:5" s="5" customFormat="1" ht="14.4" x14ac:dyDescent="0.3">
      <c r="A210" s="85" t="s">
        <v>15</v>
      </c>
      <c r="B210" s="74" t="s">
        <v>850</v>
      </c>
      <c r="C210" s="35" t="s">
        <v>763</v>
      </c>
      <c r="D210" s="39" t="s">
        <v>322</v>
      </c>
      <c r="E210" s="84">
        <v>92</v>
      </c>
    </row>
    <row r="211" spans="1:5" s="5" customFormat="1" ht="14.4" x14ac:dyDescent="0.3">
      <c r="A211" s="85" t="s">
        <v>15</v>
      </c>
      <c r="B211" s="74" t="s">
        <v>851</v>
      </c>
      <c r="C211" s="35" t="s">
        <v>852</v>
      </c>
      <c r="D211" s="39" t="s">
        <v>322</v>
      </c>
      <c r="E211" s="84">
        <v>32</v>
      </c>
    </row>
    <row r="212" spans="1:5" s="5" customFormat="1" ht="14.4" x14ac:dyDescent="0.3">
      <c r="A212" s="26" t="s">
        <v>15</v>
      </c>
      <c r="B212" s="50" t="s">
        <v>180</v>
      </c>
      <c r="C212" s="60" t="s">
        <v>190</v>
      </c>
      <c r="D212" s="54" t="s">
        <v>26</v>
      </c>
      <c r="E212" s="69">
        <v>1</v>
      </c>
    </row>
    <row r="213" spans="1:5" s="5" customFormat="1" ht="14.4" x14ac:dyDescent="0.3">
      <c r="A213" s="49" t="s">
        <v>15</v>
      </c>
      <c r="B213" s="50" t="s">
        <v>180</v>
      </c>
      <c r="C213" s="38" t="s">
        <v>190</v>
      </c>
      <c r="D213" s="36" t="s">
        <v>26</v>
      </c>
      <c r="E213" s="9">
        <v>1</v>
      </c>
    </row>
    <row r="214" spans="1:5" s="5" customFormat="1" ht="14.4" x14ac:dyDescent="0.3">
      <c r="A214" s="85" t="s">
        <v>15</v>
      </c>
      <c r="B214" s="74" t="s">
        <v>214</v>
      </c>
      <c r="C214" s="83" t="s">
        <v>853</v>
      </c>
      <c r="D214" s="39" t="s">
        <v>189</v>
      </c>
      <c r="E214" s="84">
        <v>70</v>
      </c>
    </row>
    <row r="215" spans="1:5" s="5" customFormat="1" ht="14.4" x14ac:dyDescent="0.3">
      <c r="A215" s="85" t="s">
        <v>15</v>
      </c>
      <c r="B215" s="74" t="s">
        <v>215</v>
      </c>
      <c r="C215" s="83" t="s">
        <v>854</v>
      </c>
      <c r="D215" s="39" t="s">
        <v>189</v>
      </c>
      <c r="E215" s="84">
        <v>140</v>
      </c>
    </row>
    <row r="216" spans="1:5" s="5" customFormat="1" ht="14.4" x14ac:dyDescent="0.3">
      <c r="A216" s="85" t="s">
        <v>15</v>
      </c>
      <c r="B216" s="74" t="s">
        <v>433</v>
      </c>
      <c r="C216" s="83" t="s">
        <v>855</v>
      </c>
      <c r="D216" s="39" t="s">
        <v>108</v>
      </c>
      <c r="E216" s="84">
        <v>20</v>
      </c>
    </row>
    <row r="217" spans="1:5" s="5" customFormat="1" ht="14.4" x14ac:dyDescent="0.3">
      <c r="A217" s="85" t="s">
        <v>15</v>
      </c>
      <c r="B217" s="74" t="s">
        <v>856</v>
      </c>
      <c r="C217" s="83" t="s">
        <v>857</v>
      </c>
      <c r="D217" s="39" t="s">
        <v>108</v>
      </c>
      <c r="E217" s="84">
        <v>15</v>
      </c>
    </row>
    <row r="218" spans="1:5" s="5" customFormat="1" ht="14.4" x14ac:dyDescent="0.3">
      <c r="A218" s="85" t="s">
        <v>15</v>
      </c>
      <c r="B218" s="74" t="s">
        <v>858</v>
      </c>
      <c r="C218" s="83" t="s">
        <v>859</v>
      </c>
      <c r="D218" s="39" t="s">
        <v>108</v>
      </c>
      <c r="E218" s="84">
        <v>4</v>
      </c>
    </row>
    <row r="219" spans="1:5" s="5" customFormat="1" ht="14.4" x14ac:dyDescent="0.3">
      <c r="A219" s="85" t="s">
        <v>15</v>
      </c>
      <c r="B219" s="74" t="s">
        <v>860</v>
      </c>
      <c r="C219" s="83" t="s">
        <v>854</v>
      </c>
      <c r="D219" s="39" t="s">
        <v>189</v>
      </c>
      <c r="E219" s="84">
        <v>2</v>
      </c>
    </row>
    <row r="220" spans="1:5" s="5" customFormat="1" ht="14.4" x14ac:dyDescent="0.3">
      <c r="A220" s="85" t="s">
        <v>15</v>
      </c>
      <c r="B220" s="74" t="s">
        <v>861</v>
      </c>
      <c r="C220" s="83" t="s">
        <v>862</v>
      </c>
      <c r="D220" s="39" t="s">
        <v>108</v>
      </c>
      <c r="E220" s="84">
        <v>2</v>
      </c>
    </row>
    <row r="221" spans="1:5" s="5" customFormat="1" ht="14.4" x14ac:dyDescent="0.3">
      <c r="A221" s="49" t="s">
        <v>15</v>
      </c>
      <c r="B221" s="50" t="s">
        <v>216</v>
      </c>
      <c r="C221" s="60" t="s">
        <v>192</v>
      </c>
      <c r="D221" s="54" t="s">
        <v>26</v>
      </c>
      <c r="E221" s="69">
        <v>1</v>
      </c>
    </row>
    <row r="222" spans="1:5" s="5" customFormat="1" ht="27.6" x14ac:dyDescent="0.3">
      <c r="A222" s="85" t="s">
        <v>15</v>
      </c>
      <c r="B222" s="74" t="s">
        <v>217</v>
      </c>
      <c r="C222" s="35" t="s">
        <v>863</v>
      </c>
      <c r="D222" s="39" t="s">
        <v>754</v>
      </c>
      <c r="E222" s="84">
        <v>290</v>
      </c>
    </row>
    <row r="223" spans="1:5" s="5" customFormat="1" ht="27.6" x14ac:dyDescent="0.3">
      <c r="A223" s="85" t="s">
        <v>15</v>
      </c>
      <c r="B223" s="74" t="s">
        <v>220</v>
      </c>
      <c r="C223" s="35" t="s">
        <v>864</v>
      </c>
      <c r="D223" s="39" t="s">
        <v>754</v>
      </c>
      <c r="E223" s="84">
        <v>160</v>
      </c>
    </row>
    <row r="224" spans="1:5" s="5" customFormat="1" ht="14.4" x14ac:dyDescent="0.3">
      <c r="A224" s="49" t="s">
        <v>15</v>
      </c>
      <c r="B224" s="50" t="s">
        <v>218</v>
      </c>
      <c r="C224" s="28" t="s">
        <v>865</v>
      </c>
      <c r="D224" s="54" t="s">
        <v>26</v>
      </c>
      <c r="E224" s="69">
        <v>1</v>
      </c>
    </row>
    <row r="225" spans="1:5" s="5" customFormat="1" ht="14.4" x14ac:dyDescent="0.3">
      <c r="A225" s="85" t="s">
        <v>15</v>
      </c>
      <c r="B225" s="74" t="s">
        <v>219</v>
      </c>
      <c r="C225" s="38" t="s">
        <v>866</v>
      </c>
      <c r="D225" s="39" t="s">
        <v>322</v>
      </c>
      <c r="E225" s="84">
        <v>14</v>
      </c>
    </row>
    <row r="226" spans="1:5" s="5" customFormat="1" ht="14.4" x14ac:dyDescent="0.3">
      <c r="A226" s="85" t="s">
        <v>15</v>
      </c>
      <c r="B226" s="74" t="s">
        <v>221</v>
      </c>
      <c r="C226" s="38" t="s">
        <v>867</v>
      </c>
      <c r="D226" s="39" t="s">
        <v>322</v>
      </c>
      <c r="E226" s="84">
        <v>8</v>
      </c>
    </row>
    <row r="227" spans="1:5" s="5" customFormat="1" ht="14.4" x14ac:dyDescent="0.3">
      <c r="A227" s="85" t="s">
        <v>15</v>
      </c>
      <c r="B227" s="74" t="s">
        <v>222</v>
      </c>
      <c r="C227" s="38" t="s">
        <v>868</v>
      </c>
      <c r="D227" s="39" t="s">
        <v>322</v>
      </c>
      <c r="E227" s="84">
        <v>7</v>
      </c>
    </row>
    <row r="228" spans="1:5" s="5" customFormat="1" ht="14.4" x14ac:dyDescent="0.3">
      <c r="A228" s="85" t="s">
        <v>15</v>
      </c>
      <c r="B228" s="74" t="s">
        <v>468</v>
      </c>
      <c r="C228" s="38" t="s">
        <v>869</v>
      </c>
      <c r="D228" s="39" t="s">
        <v>322</v>
      </c>
      <c r="E228" s="84">
        <v>1</v>
      </c>
    </row>
    <row r="229" spans="1:5" s="5" customFormat="1" ht="14.4" x14ac:dyDescent="0.3">
      <c r="A229" s="85" t="s">
        <v>15</v>
      </c>
      <c r="B229" s="74" t="s">
        <v>470</v>
      </c>
      <c r="C229" s="38" t="s">
        <v>870</v>
      </c>
      <c r="D229" s="39" t="s">
        <v>322</v>
      </c>
      <c r="E229" s="84">
        <v>106</v>
      </c>
    </row>
    <row r="230" spans="1:5" s="5" customFormat="1" ht="14.4" x14ac:dyDescent="0.3">
      <c r="A230" s="85" t="s">
        <v>15</v>
      </c>
      <c r="B230" s="74" t="s">
        <v>472</v>
      </c>
      <c r="C230" s="38" t="s">
        <v>871</v>
      </c>
      <c r="D230" s="39" t="s">
        <v>322</v>
      </c>
      <c r="E230" s="84">
        <v>106</v>
      </c>
    </row>
    <row r="231" spans="1:5" s="5" customFormat="1" ht="14.4" x14ac:dyDescent="0.3">
      <c r="A231" s="85" t="s">
        <v>15</v>
      </c>
      <c r="B231" s="74" t="s">
        <v>474</v>
      </c>
      <c r="C231" s="38" t="s">
        <v>872</v>
      </c>
      <c r="D231" s="39" t="s">
        <v>322</v>
      </c>
      <c r="E231" s="84">
        <v>106</v>
      </c>
    </row>
    <row r="232" spans="1:5" s="5" customFormat="1" ht="14.4" x14ac:dyDescent="0.3">
      <c r="A232" s="85" t="s">
        <v>15</v>
      </c>
      <c r="B232" s="74" t="s">
        <v>475</v>
      </c>
      <c r="C232" s="38" t="s">
        <v>873</v>
      </c>
      <c r="D232" s="39" t="s">
        <v>322</v>
      </c>
      <c r="E232" s="84">
        <v>106</v>
      </c>
    </row>
    <row r="233" spans="1:5" s="5" customFormat="1" ht="14.4" x14ac:dyDescent="0.3">
      <c r="A233" s="85" t="s">
        <v>15</v>
      </c>
      <c r="B233" s="74" t="s">
        <v>477</v>
      </c>
      <c r="C233" s="38" t="s">
        <v>874</v>
      </c>
      <c r="D233" s="39" t="s">
        <v>322</v>
      </c>
      <c r="E233" s="84">
        <v>4</v>
      </c>
    </row>
    <row r="234" spans="1:5" s="5" customFormat="1" ht="14.4" x14ac:dyDescent="0.3">
      <c r="A234" s="85" t="s">
        <v>15</v>
      </c>
      <c r="B234" s="74" t="s">
        <v>478</v>
      </c>
      <c r="C234" s="38" t="s">
        <v>875</v>
      </c>
      <c r="D234" s="39" t="s">
        <v>322</v>
      </c>
      <c r="E234" s="84">
        <v>71</v>
      </c>
    </row>
    <row r="235" spans="1:5" s="5" customFormat="1" ht="14.4" x14ac:dyDescent="0.3">
      <c r="A235" s="85" t="s">
        <v>15</v>
      </c>
      <c r="B235" s="74" t="s">
        <v>479</v>
      </c>
      <c r="C235" s="38" t="s">
        <v>876</v>
      </c>
      <c r="D235" s="39" t="s">
        <v>322</v>
      </c>
      <c r="E235" s="84">
        <v>8</v>
      </c>
    </row>
    <row r="236" spans="1:5" s="5" customFormat="1" ht="14.4" x14ac:dyDescent="0.3">
      <c r="A236" s="85" t="s">
        <v>15</v>
      </c>
      <c r="B236" s="74" t="s">
        <v>480</v>
      </c>
      <c r="C236" s="38" t="s">
        <v>877</v>
      </c>
      <c r="D236" s="39" t="s">
        <v>322</v>
      </c>
      <c r="E236" s="84">
        <v>13</v>
      </c>
    </row>
    <row r="237" spans="1:5" s="5" customFormat="1" ht="14.4" x14ac:dyDescent="0.3">
      <c r="A237" s="85" t="s">
        <v>15</v>
      </c>
      <c r="B237" s="74" t="s">
        <v>481</v>
      </c>
      <c r="C237" s="38" t="s">
        <v>878</v>
      </c>
      <c r="D237" s="39" t="s">
        <v>322</v>
      </c>
      <c r="E237" s="84">
        <v>2</v>
      </c>
    </row>
    <row r="238" spans="1:5" s="5" customFormat="1" ht="14.4" x14ac:dyDescent="0.3">
      <c r="A238" s="85" t="s">
        <v>15</v>
      </c>
      <c r="B238" s="74" t="s">
        <v>482</v>
      </c>
      <c r="C238" s="38" t="s">
        <v>879</v>
      </c>
      <c r="D238" s="39" t="s">
        <v>754</v>
      </c>
      <c r="E238" s="84">
        <v>37</v>
      </c>
    </row>
    <row r="239" spans="1:5" s="5" customFormat="1" ht="14.4" x14ac:dyDescent="0.3">
      <c r="A239" s="85" t="s">
        <v>15</v>
      </c>
      <c r="B239" s="74" t="s">
        <v>483</v>
      </c>
      <c r="C239" s="38" t="s">
        <v>880</v>
      </c>
      <c r="D239" s="39" t="s">
        <v>754</v>
      </c>
      <c r="E239" s="84">
        <v>50</v>
      </c>
    </row>
    <row r="240" spans="1:5" s="5" customFormat="1" ht="14.4" x14ac:dyDescent="0.3">
      <c r="A240" s="85" t="s">
        <v>15</v>
      </c>
      <c r="B240" s="74" t="s">
        <v>881</v>
      </c>
      <c r="C240" s="38" t="s">
        <v>882</v>
      </c>
      <c r="D240" s="39" t="s">
        <v>754</v>
      </c>
      <c r="E240" s="84">
        <v>40</v>
      </c>
    </row>
    <row r="241" spans="1:5" s="5" customFormat="1" ht="14.4" x14ac:dyDescent="0.3">
      <c r="A241" s="85" t="s">
        <v>15</v>
      </c>
      <c r="B241" s="74" t="s">
        <v>883</v>
      </c>
      <c r="C241" s="38" t="s">
        <v>884</v>
      </c>
      <c r="D241" s="39" t="s">
        <v>754</v>
      </c>
      <c r="E241" s="84">
        <v>80</v>
      </c>
    </row>
    <row r="242" spans="1:5" s="5" customFormat="1" ht="14.4" x14ac:dyDescent="0.3">
      <c r="A242" s="85" t="s">
        <v>15</v>
      </c>
      <c r="B242" s="74" t="s">
        <v>885</v>
      </c>
      <c r="C242" s="38" t="s">
        <v>886</v>
      </c>
      <c r="D242" s="39" t="s">
        <v>754</v>
      </c>
      <c r="E242" s="84">
        <v>150</v>
      </c>
    </row>
    <row r="243" spans="1:5" s="5" customFormat="1" ht="14.4" x14ac:dyDescent="0.3">
      <c r="A243" s="85" t="s">
        <v>15</v>
      </c>
      <c r="B243" s="74" t="s">
        <v>887</v>
      </c>
      <c r="C243" s="38" t="s">
        <v>888</v>
      </c>
      <c r="D243" s="39" t="s">
        <v>754</v>
      </c>
      <c r="E243" s="84">
        <v>150</v>
      </c>
    </row>
    <row r="244" spans="1:5" s="5" customFormat="1" ht="14.4" x14ac:dyDescent="0.3">
      <c r="A244" s="85" t="s">
        <v>15</v>
      </c>
      <c r="B244" s="74" t="s">
        <v>889</v>
      </c>
      <c r="C244" s="38" t="s">
        <v>890</v>
      </c>
      <c r="D244" s="39" t="s">
        <v>754</v>
      </c>
      <c r="E244" s="84">
        <v>150</v>
      </c>
    </row>
    <row r="245" spans="1:5" s="5" customFormat="1" ht="14.4" x14ac:dyDescent="0.3">
      <c r="A245" s="85" t="s">
        <v>15</v>
      </c>
      <c r="B245" s="74" t="s">
        <v>891</v>
      </c>
      <c r="C245" s="38" t="s">
        <v>892</v>
      </c>
      <c r="D245" s="39" t="s">
        <v>754</v>
      </c>
      <c r="E245" s="84">
        <v>80</v>
      </c>
    </row>
    <row r="246" spans="1:5" s="5" customFormat="1" ht="14.4" x14ac:dyDescent="0.3">
      <c r="A246" s="85" t="s">
        <v>15</v>
      </c>
      <c r="B246" s="74" t="s">
        <v>893</v>
      </c>
      <c r="C246" s="38" t="s">
        <v>894</v>
      </c>
      <c r="D246" s="39" t="s">
        <v>754</v>
      </c>
      <c r="E246" s="84">
        <v>40</v>
      </c>
    </row>
    <row r="247" spans="1:5" s="5" customFormat="1" ht="14.4" x14ac:dyDescent="0.3">
      <c r="A247" s="85" t="s">
        <v>15</v>
      </c>
      <c r="B247" s="74" t="s">
        <v>895</v>
      </c>
      <c r="C247" s="38" t="s">
        <v>896</v>
      </c>
      <c r="D247" s="39" t="s">
        <v>754</v>
      </c>
      <c r="E247" s="84">
        <v>50</v>
      </c>
    </row>
    <row r="248" spans="1:5" s="5" customFormat="1" ht="14.4" x14ac:dyDescent="0.3">
      <c r="A248" s="85" t="s">
        <v>15</v>
      </c>
      <c r="B248" s="74" t="s">
        <v>897</v>
      </c>
      <c r="C248" s="38" t="s">
        <v>898</v>
      </c>
      <c r="D248" s="39" t="s">
        <v>754</v>
      </c>
      <c r="E248" s="84">
        <v>37</v>
      </c>
    </row>
    <row r="249" spans="1:5" s="5" customFormat="1" ht="14.4" x14ac:dyDescent="0.3">
      <c r="A249" s="85" t="s">
        <v>15</v>
      </c>
      <c r="B249" s="74" t="s">
        <v>899</v>
      </c>
      <c r="C249" s="38" t="s">
        <v>900</v>
      </c>
      <c r="D249" s="39" t="s">
        <v>322</v>
      </c>
      <c r="E249" s="84">
        <v>88</v>
      </c>
    </row>
    <row r="250" spans="1:5" s="5" customFormat="1" ht="14.4" x14ac:dyDescent="0.3">
      <c r="A250" s="85" t="s">
        <v>15</v>
      </c>
      <c r="B250" s="74" t="s">
        <v>901</v>
      </c>
      <c r="C250" s="38" t="s">
        <v>902</v>
      </c>
      <c r="D250" s="39" t="s">
        <v>322</v>
      </c>
      <c r="E250" s="84">
        <v>88</v>
      </c>
    </row>
    <row r="251" spans="1:5" s="5" customFormat="1" ht="14.4" x14ac:dyDescent="0.3">
      <c r="A251" s="49" t="s">
        <v>15</v>
      </c>
      <c r="B251" s="50" t="s">
        <v>223</v>
      </c>
      <c r="C251" s="28" t="s">
        <v>193</v>
      </c>
      <c r="D251" s="54" t="s">
        <v>26</v>
      </c>
      <c r="E251" s="69">
        <v>1</v>
      </c>
    </row>
    <row r="252" spans="1:5" s="5" customFormat="1" ht="14.4" x14ac:dyDescent="0.3">
      <c r="A252" s="85" t="s">
        <v>15</v>
      </c>
      <c r="B252" s="74" t="s">
        <v>224</v>
      </c>
      <c r="C252" s="38" t="s">
        <v>867</v>
      </c>
      <c r="D252" s="80" t="s">
        <v>322</v>
      </c>
      <c r="E252" s="81">
        <v>6</v>
      </c>
    </row>
    <row r="253" spans="1:5" s="5" customFormat="1" ht="14.4" x14ac:dyDescent="0.3">
      <c r="A253" s="85" t="s">
        <v>15</v>
      </c>
      <c r="B253" s="74" t="s">
        <v>225</v>
      </c>
      <c r="C253" s="38" t="s">
        <v>903</v>
      </c>
      <c r="D253" s="80" t="s">
        <v>322</v>
      </c>
      <c r="E253" s="81">
        <v>8</v>
      </c>
    </row>
    <row r="254" spans="1:5" s="5" customFormat="1" ht="14.4" x14ac:dyDescent="0.3">
      <c r="A254" s="85" t="s">
        <v>15</v>
      </c>
      <c r="B254" s="74" t="s">
        <v>485</v>
      </c>
      <c r="C254" s="38" t="s">
        <v>866</v>
      </c>
      <c r="D254" s="80" t="s">
        <v>322</v>
      </c>
      <c r="E254" s="81">
        <v>10</v>
      </c>
    </row>
    <row r="255" spans="1:5" s="5" customFormat="1" ht="14.4" x14ac:dyDescent="0.3">
      <c r="A255" s="85" t="s">
        <v>15</v>
      </c>
      <c r="B255" s="74" t="s">
        <v>486</v>
      </c>
      <c r="C255" s="38" t="s">
        <v>904</v>
      </c>
      <c r="D255" s="80" t="s">
        <v>322</v>
      </c>
      <c r="E255" s="81">
        <v>124</v>
      </c>
    </row>
    <row r="256" spans="1:5" s="5" customFormat="1" ht="14.4" x14ac:dyDescent="0.3">
      <c r="A256" s="85" t="s">
        <v>15</v>
      </c>
      <c r="B256" s="74" t="s">
        <v>487</v>
      </c>
      <c r="C256" s="38" t="s">
        <v>905</v>
      </c>
      <c r="D256" s="80" t="s">
        <v>322</v>
      </c>
      <c r="E256" s="81">
        <v>62</v>
      </c>
    </row>
    <row r="257" spans="1:5" s="5" customFormat="1" ht="14.4" x14ac:dyDescent="0.3">
      <c r="A257" s="85" t="s">
        <v>15</v>
      </c>
      <c r="B257" s="74" t="s">
        <v>488</v>
      </c>
      <c r="C257" s="38" t="s">
        <v>906</v>
      </c>
      <c r="D257" s="80" t="s">
        <v>322</v>
      </c>
      <c r="E257" s="81">
        <v>124</v>
      </c>
    </row>
    <row r="258" spans="1:5" s="5" customFormat="1" ht="14.4" x14ac:dyDescent="0.3">
      <c r="A258" s="85" t="s">
        <v>15</v>
      </c>
      <c r="B258" s="74" t="s">
        <v>489</v>
      </c>
      <c r="C258" s="38" t="s">
        <v>907</v>
      </c>
      <c r="D258" s="80" t="s">
        <v>322</v>
      </c>
      <c r="E258" s="81">
        <v>138</v>
      </c>
    </row>
    <row r="259" spans="1:5" s="5" customFormat="1" ht="14.4" x14ac:dyDescent="0.3">
      <c r="A259" s="85" t="s">
        <v>15</v>
      </c>
      <c r="B259" s="74" t="s">
        <v>908</v>
      </c>
      <c r="C259" s="38" t="s">
        <v>909</v>
      </c>
      <c r="D259" s="80" t="s">
        <v>322</v>
      </c>
      <c r="E259" s="81">
        <v>110</v>
      </c>
    </row>
    <row r="260" spans="1:5" s="5" customFormat="1" ht="14.4" x14ac:dyDescent="0.3">
      <c r="A260" s="85" t="s">
        <v>15</v>
      </c>
      <c r="B260" s="74" t="s">
        <v>910</v>
      </c>
      <c r="C260" s="38" t="s">
        <v>911</v>
      </c>
      <c r="D260" s="80" t="s">
        <v>322</v>
      </c>
      <c r="E260" s="81">
        <v>62</v>
      </c>
    </row>
    <row r="261" spans="1:5" s="5" customFormat="1" ht="14.4" x14ac:dyDescent="0.3">
      <c r="A261" s="85" t="s">
        <v>15</v>
      </c>
      <c r="B261" s="74" t="s">
        <v>912</v>
      </c>
      <c r="C261" s="38" t="s">
        <v>913</v>
      </c>
      <c r="D261" s="39" t="s">
        <v>914</v>
      </c>
      <c r="E261" s="84">
        <v>7</v>
      </c>
    </row>
    <row r="262" spans="1:5" s="5" customFormat="1" ht="14.4" x14ac:dyDescent="0.3">
      <c r="A262" s="85" t="s">
        <v>15</v>
      </c>
      <c r="B262" s="74" t="s">
        <v>915</v>
      </c>
      <c r="C262" s="38" t="s">
        <v>916</v>
      </c>
      <c r="D262" s="39" t="s">
        <v>914</v>
      </c>
      <c r="E262" s="84">
        <v>12</v>
      </c>
    </row>
    <row r="263" spans="1:5" s="5" customFormat="1" ht="14.4" x14ac:dyDescent="0.3">
      <c r="A263" s="85" t="s">
        <v>15</v>
      </c>
      <c r="B263" s="74" t="s">
        <v>917</v>
      </c>
      <c r="C263" s="38" t="s">
        <v>918</v>
      </c>
      <c r="D263" s="39" t="s">
        <v>914</v>
      </c>
      <c r="E263" s="92">
        <v>20</v>
      </c>
    </row>
    <row r="264" spans="1:5" s="5" customFormat="1" ht="14.4" x14ac:dyDescent="0.3">
      <c r="A264" s="85" t="s">
        <v>15</v>
      </c>
      <c r="B264" s="74" t="s">
        <v>919</v>
      </c>
      <c r="C264" s="38" t="s">
        <v>920</v>
      </c>
      <c r="D264" s="39" t="s">
        <v>914</v>
      </c>
      <c r="E264" s="84">
        <v>9</v>
      </c>
    </row>
    <row r="265" spans="1:5" s="5" customFormat="1" ht="14.4" x14ac:dyDescent="0.3">
      <c r="A265" s="85" t="s">
        <v>15</v>
      </c>
      <c r="B265" s="74" t="s">
        <v>921</v>
      </c>
      <c r="C265" s="38" t="s">
        <v>922</v>
      </c>
      <c r="D265" s="39" t="s">
        <v>914</v>
      </c>
      <c r="E265" s="84">
        <v>12</v>
      </c>
    </row>
    <row r="266" spans="1:5" s="5" customFormat="1" ht="14.4" x14ac:dyDescent="0.3">
      <c r="A266" s="85" t="s">
        <v>15</v>
      </c>
      <c r="B266" s="74" t="s">
        <v>923</v>
      </c>
      <c r="C266" s="38" t="s">
        <v>924</v>
      </c>
      <c r="D266" s="39" t="s">
        <v>914</v>
      </c>
      <c r="E266" s="84">
        <v>4</v>
      </c>
    </row>
    <row r="267" spans="1:5" s="5" customFormat="1" ht="14.4" x14ac:dyDescent="0.3">
      <c r="A267" s="85" t="s">
        <v>15</v>
      </c>
      <c r="B267" s="74" t="s">
        <v>925</v>
      </c>
      <c r="C267" s="38" t="s">
        <v>926</v>
      </c>
      <c r="D267" s="39" t="s">
        <v>754</v>
      </c>
      <c r="E267" s="84">
        <v>190</v>
      </c>
    </row>
    <row r="268" spans="1:5" s="5" customFormat="1" ht="14.4" x14ac:dyDescent="0.3">
      <c r="A268" s="85" t="s">
        <v>15</v>
      </c>
      <c r="B268" s="74" t="s">
        <v>927</v>
      </c>
      <c r="C268" s="38" t="s">
        <v>928</v>
      </c>
      <c r="D268" s="39" t="s">
        <v>754</v>
      </c>
      <c r="E268" s="84">
        <v>120</v>
      </c>
    </row>
    <row r="269" spans="1:5" s="5" customFormat="1" ht="14.4" x14ac:dyDescent="0.3">
      <c r="A269" s="85" t="s">
        <v>15</v>
      </c>
      <c r="B269" s="74" t="s">
        <v>929</v>
      </c>
      <c r="C269" s="38" t="s">
        <v>930</v>
      </c>
      <c r="D269" s="39" t="s">
        <v>754</v>
      </c>
      <c r="E269" s="84">
        <v>150</v>
      </c>
    </row>
    <row r="270" spans="1:5" s="5" customFormat="1" ht="14.4" x14ac:dyDescent="0.3">
      <c r="A270" s="85" t="s">
        <v>15</v>
      </c>
      <c r="B270" s="74" t="s">
        <v>931</v>
      </c>
      <c r="C270" s="38" t="s">
        <v>932</v>
      </c>
      <c r="D270" s="39" t="s">
        <v>754</v>
      </c>
      <c r="E270" s="84">
        <v>30</v>
      </c>
    </row>
    <row r="271" spans="1:5" s="5" customFormat="1" ht="14.4" x14ac:dyDescent="0.3">
      <c r="A271" s="85" t="s">
        <v>15</v>
      </c>
      <c r="B271" s="74" t="s">
        <v>933</v>
      </c>
      <c r="C271" s="38" t="s">
        <v>934</v>
      </c>
      <c r="D271" s="39" t="s">
        <v>754</v>
      </c>
      <c r="E271" s="84">
        <v>63</v>
      </c>
    </row>
    <row r="272" spans="1:5" s="5" customFormat="1" ht="14.4" x14ac:dyDescent="0.3">
      <c r="A272" s="49" t="s">
        <v>15</v>
      </c>
      <c r="B272" s="50" t="s">
        <v>226</v>
      </c>
      <c r="C272" s="28" t="s">
        <v>194</v>
      </c>
      <c r="D272" s="54" t="s">
        <v>26</v>
      </c>
      <c r="E272" s="69">
        <v>1</v>
      </c>
    </row>
    <row r="273" spans="1:5" s="5" customFormat="1" ht="14.4" x14ac:dyDescent="0.3">
      <c r="A273" s="85" t="s">
        <v>15</v>
      </c>
      <c r="B273" s="74" t="s">
        <v>227</v>
      </c>
      <c r="C273" s="38" t="s">
        <v>935</v>
      </c>
      <c r="D273" s="39" t="s">
        <v>322</v>
      </c>
      <c r="E273" s="81">
        <v>92</v>
      </c>
    </row>
    <row r="274" spans="1:5" s="5" customFormat="1" ht="14.4" x14ac:dyDescent="0.3">
      <c r="A274" s="85" t="s">
        <v>15</v>
      </c>
      <c r="B274" s="74" t="s">
        <v>228</v>
      </c>
      <c r="C274" s="38" t="s">
        <v>936</v>
      </c>
      <c r="D274" s="39" t="s">
        <v>754</v>
      </c>
      <c r="E274" s="81">
        <v>230</v>
      </c>
    </row>
    <row r="275" spans="1:5" s="5" customFormat="1" ht="14.4" x14ac:dyDescent="0.3">
      <c r="A275" s="85" t="s">
        <v>15</v>
      </c>
      <c r="B275" s="74" t="s">
        <v>229</v>
      </c>
      <c r="C275" s="38" t="s">
        <v>937</v>
      </c>
      <c r="D275" s="39" t="s">
        <v>66</v>
      </c>
      <c r="E275" s="93">
        <v>90.4</v>
      </c>
    </row>
    <row r="276" spans="1:5" s="5" customFormat="1" ht="14.4" x14ac:dyDescent="0.3">
      <c r="A276" s="85" t="s">
        <v>15</v>
      </c>
      <c r="B276" s="74" t="s">
        <v>490</v>
      </c>
      <c r="C276" s="89" t="s">
        <v>935</v>
      </c>
      <c r="D276" s="39" t="s">
        <v>322</v>
      </c>
      <c r="E276" s="81">
        <v>8</v>
      </c>
    </row>
    <row r="277" spans="1:5" s="5" customFormat="1" ht="14.4" x14ac:dyDescent="0.3">
      <c r="A277" s="85" t="s">
        <v>15</v>
      </c>
      <c r="B277" s="74" t="s">
        <v>491</v>
      </c>
      <c r="C277" s="89" t="s">
        <v>938</v>
      </c>
      <c r="D277" s="39" t="s">
        <v>322</v>
      </c>
      <c r="E277" s="81">
        <v>8</v>
      </c>
    </row>
    <row r="278" spans="1:5" s="5" customFormat="1" ht="14.4" x14ac:dyDescent="0.3">
      <c r="A278" s="85" t="s">
        <v>15</v>
      </c>
      <c r="B278" s="74" t="s">
        <v>939</v>
      </c>
      <c r="C278" s="89" t="s">
        <v>936</v>
      </c>
      <c r="D278" s="39" t="s">
        <v>754</v>
      </c>
      <c r="E278" s="81">
        <v>90</v>
      </c>
    </row>
    <row r="279" spans="1:5" s="5" customFormat="1" ht="14.4" x14ac:dyDescent="0.3">
      <c r="A279" s="85" t="s">
        <v>15</v>
      </c>
      <c r="B279" s="74" t="s">
        <v>940</v>
      </c>
      <c r="C279" s="89" t="s">
        <v>937</v>
      </c>
      <c r="D279" s="39" t="s">
        <v>66</v>
      </c>
      <c r="E279" s="93">
        <v>35.4</v>
      </c>
    </row>
    <row r="280" spans="1:5" s="5" customFormat="1" ht="14.4" x14ac:dyDescent="0.3">
      <c r="A280" s="85" t="s">
        <v>15</v>
      </c>
      <c r="B280" s="74" t="s">
        <v>941</v>
      </c>
      <c r="C280" s="87" t="s">
        <v>942</v>
      </c>
      <c r="D280" s="39" t="s">
        <v>322</v>
      </c>
      <c r="E280" s="84">
        <v>90</v>
      </c>
    </row>
    <row r="281" spans="1:5" s="5" customFormat="1" ht="14.4" x14ac:dyDescent="0.3">
      <c r="A281" s="49" t="s">
        <v>15</v>
      </c>
      <c r="B281" s="50" t="s">
        <v>230</v>
      </c>
      <c r="C281" s="28" t="s">
        <v>195</v>
      </c>
      <c r="D281" s="54" t="s">
        <v>26</v>
      </c>
      <c r="E281" s="69">
        <v>1</v>
      </c>
    </row>
    <row r="282" spans="1:5" s="5" customFormat="1" ht="14.4" x14ac:dyDescent="0.3">
      <c r="A282" s="85" t="s">
        <v>15</v>
      </c>
      <c r="B282" s="74" t="s">
        <v>231</v>
      </c>
      <c r="C282" s="89" t="s">
        <v>943</v>
      </c>
      <c r="D282" s="39" t="s">
        <v>322</v>
      </c>
      <c r="E282" s="84">
        <v>1</v>
      </c>
    </row>
    <row r="283" spans="1:5" s="5" customFormat="1" ht="14.4" x14ac:dyDescent="0.3">
      <c r="A283" s="85" t="s">
        <v>15</v>
      </c>
      <c r="B283" s="74" t="s">
        <v>232</v>
      </c>
      <c r="C283" s="89" t="s">
        <v>944</v>
      </c>
      <c r="D283" s="39" t="s">
        <v>322</v>
      </c>
      <c r="E283" s="84">
        <v>1</v>
      </c>
    </row>
    <row r="284" spans="1:5" s="5" customFormat="1" ht="14.4" x14ac:dyDescent="0.3">
      <c r="A284" s="85" t="s">
        <v>15</v>
      </c>
      <c r="B284" s="74" t="s">
        <v>945</v>
      </c>
      <c r="C284" s="89" t="s">
        <v>946</v>
      </c>
      <c r="D284" s="39" t="s">
        <v>322</v>
      </c>
      <c r="E284" s="84">
        <v>1</v>
      </c>
    </row>
    <row r="285" spans="1:5" s="5" customFormat="1" ht="14.4" x14ac:dyDescent="0.3">
      <c r="A285" s="85" t="s">
        <v>15</v>
      </c>
      <c r="B285" s="74" t="s">
        <v>947</v>
      </c>
      <c r="C285" s="89" t="s">
        <v>948</v>
      </c>
      <c r="D285" s="39" t="s">
        <v>322</v>
      </c>
      <c r="E285" s="84">
        <v>1</v>
      </c>
    </row>
    <row r="286" spans="1:5" s="5" customFormat="1" ht="14.4" x14ac:dyDescent="0.3">
      <c r="A286" s="85" t="s">
        <v>15</v>
      </c>
      <c r="B286" s="74" t="s">
        <v>949</v>
      </c>
      <c r="C286" s="89" t="s">
        <v>950</v>
      </c>
      <c r="D286" s="39" t="s">
        <v>322</v>
      </c>
      <c r="E286" s="84">
        <v>1</v>
      </c>
    </row>
    <row r="287" spans="1:5" s="5" customFormat="1" ht="14.4" x14ac:dyDescent="0.3">
      <c r="A287" s="85" t="s">
        <v>15</v>
      </c>
      <c r="B287" s="74" t="s">
        <v>951</v>
      </c>
      <c r="C287" s="89" t="s">
        <v>952</v>
      </c>
      <c r="D287" s="39" t="s">
        <v>322</v>
      </c>
      <c r="E287" s="84">
        <v>1</v>
      </c>
    </row>
    <row r="288" spans="1:5" s="5" customFormat="1" ht="14.4" x14ac:dyDescent="0.3">
      <c r="A288" s="85" t="s">
        <v>15</v>
      </c>
      <c r="B288" s="74" t="s">
        <v>953</v>
      </c>
      <c r="C288" s="89" t="s">
        <v>954</v>
      </c>
      <c r="D288" s="39" t="s">
        <v>322</v>
      </c>
      <c r="E288" s="84">
        <v>2</v>
      </c>
    </row>
    <row r="289" spans="1:5" s="5" customFormat="1" ht="14.4" x14ac:dyDescent="0.3">
      <c r="A289" s="85" t="s">
        <v>15</v>
      </c>
      <c r="B289" s="74" t="s">
        <v>955</v>
      </c>
      <c r="C289" s="89" t="s">
        <v>956</v>
      </c>
      <c r="D289" s="39" t="s">
        <v>322</v>
      </c>
      <c r="E289" s="84">
        <v>1</v>
      </c>
    </row>
    <row r="290" spans="1:5" s="5" customFormat="1" ht="14.4" x14ac:dyDescent="0.3">
      <c r="A290" s="85" t="s">
        <v>15</v>
      </c>
      <c r="B290" s="74" t="s">
        <v>957</v>
      </c>
      <c r="C290" s="89" t="s">
        <v>958</v>
      </c>
      <c r="D290" s="39" t="s">
        <v>959</v>
      </c>
      <c r="E290" s="84">
        <v>5</v>
      </c>
    </row>
    <row r="291" spans="1:5" s="5" customFormat="1" ht="14.4" x14ac:dyDescent="0.3">
      <c r="A291" s="85" t="s">
        <v>15</v>
      </c>
      <c r="B291" s="74" t="s">
        <v>960</v>
      </c>
      <c r="C291" s="89" t="s">
        <v>961</v>
      </c>
      <c r="D291" s="39" t="s">
        <v>962</v>
      </c>
      <c r="E291" s="84">
        <v>4.5</v>
      </c>
    </row>
    <row r="292" spans="1:5" s="5" customFormat="1" ht="14.4" x14ac:dyDescent="0.3">
      <c r="A292" s="85" t="s">
        <v>15</v>
      </c>
      <c r="B292" s="74" t="s">
        <v>963</v>
      </c>
      <c r="C292" s="89" t="s">
        <v>943</v>
      </c>
      <c r="D292" s="39" t="s">
        <v>322</v>
      </c>
      <c r="E292" s="84">
        <v>1</v>
      </c>
    </row>
    <row r="293" spans="1:5" s="5" customFormat="1" ht="14.4" x14ac:dyDescent="0.3">
      <c r="A293" s="85" t="s">
        <v>15</v>
      </c>
      <c r="B293" s="74" t="s">
        <v>964</v>
      </c>
      <c r="C293" s="89" t="s">
        <v>944</v>
      </c>
      <c r="D293" s="39" t="s">
        <v>322</v>
      </c>
      <c r="E293" s="84">
        <v>1</v>
      </c>
    </row>
    <row r="294" spans="1:5" s="5" customFormat="1" ht="14.4" x14ac:dyDescent="0.3">
      <c r="A294" s="85" t="s">
        <v>15</v>
      </c>
      <c r="B294" s="74" t="s">
        <v>965</v>
      </c>
      <c r="C294" s="89" t="s">
        <v>946</v>
      </c>
      <c r="D294" s="39" t="s">
        <v>322</v>
      </c>
      <c r="E294" s="84">
        <v>1</v>
      </c>
    </row>
    <row r="295" spans="1:5" s="5" customFormat="1" ht="14.4" x14ac:dyDescent="0.3">
      <c r="A295" s="85" t="s">
        <v>15</v>
      </c>
      <c r="B295" s="74" t="s">
        <v>966</v>
      </c>
      <c r="C295" s="89" t="s">
        <v>948</v>
      </c>
      <c r="D295" s="39" t="s">
        <v>322</v>
      </c>
      <c r="E295" s="84">
        <v>1</v>
      </c>
    </row>
    <row r="296" spans="1:5" s="5" customFormat="1" ht="14.4" x14ac:dyDescent="0.3">
      <c r="A296" s="85" t="s">
        <v>15</v>
      </c>
      <c r="B296" s="74" t="s">
        <v>967</v>
      </c>
      <c r="C296" s="89" t="s">
        <v>950</v>
      </c>
      <c r="D296" s="39" t="s">
        <v>322</v>
      </c>
      <c r="E296" s="84">
        <v>1</v>
      </c>
    </row>
    <row r="297" spans="1:5" s="5" customFormat="1" ht="14.4" x14ac:dyDescent="0.3">
      <c r="A297" s="85" t="s">
        <v>15</v>
      </c>
      <c r="B297" s="74" t="s">
        <v>968</v>
      </c>
      <c r="C297" s="89" t="s">
        <v>952</v>
      </c>
      <c r="D297" s="39" t="s">
        <v>322</v>
      </c>
      <c r="E297" s="84">
        <v>1</v>
      </c>
    </row>
    <row r="298" spans="1:5" s="5" customFormat="1" ht="14.4" x14ac:dyDescent="0.3">
      <c r="A298" s="85" t="s">
        <v>15</v>
      </c>
      <c r="B298" s="74" t="s">
        <v>969</v>
      </c>
      <c r="C298" s="89" t="s">
        <v>954</v>
      </c>
      <c r="D298" s="39" t="s">
        <v>322</v>
      </c>
      <c r="E298" s="84">
        <v>3</v>
      </c>
    </row>
    <row r="299" spans="1:5" s="5" customFormat="1" ht="14.4" x14ac:dyDescent="0.3">
      <c r="A299" s="85" t="s">
        <v>15</v>
      </c>
      <c r="B299" s="74" t="s">
        <v>970</v>
      </c>
      <c r="C299" s="89" t="s">
        <v>956</v>
      </c>
      <c r="D299" s="39" t="s">
        <v>322</v>
      </c>
      <c r="E299" s="84">
        <v>1</v>
      </c>
    </row>
    <row r="300" spans="1:5" s="5" customFormat="1" ht="14.4" x14ac:dyDescent="0.3">
      <c r="A300" s="85" t="s">
        <v>15</v>
      </c>
      <c r="B300" s="74" t="s">
        <v>971</v>
      </c>
      <c r="C300" s="89" t="s">
        <v>958</v>
      </c>
      <c r="D300" s="39" t="s">
        <v>959</v>
      </c>
      <c r="E300" s="84">
        <v>18</v>
      </c>
    </row>
    <row r="301" spans="1:5" s="5" customFormat="1" ht="14.4" x14ac:dyDescent="0.3">
      <c r="A301" s="85" t="s">
        <v>15</v>
      </c>
      <c r="B301" s="74" t="s">
        <v>972</v>
      </c>
      <c r="C301" s="89" t="s">
        <v>961</v>
      </c>
      <c r="D301" s="39" t="s">
        <v>962</v>
      </c>
      <c r="E301" s="84">
        <v>18</v>
      </c>
    </row>
    <row r="302" spans="1:5" s="5" customFormat="1" ht="14.4" x14ac:dyDescent="0.3">
      <c r="A302" s="85" t="s">
        <v>15</v>
      </c>
      <c r="B302" s="74" t="s">
        <v>973</v>
      </c>
      <c r="C302" s="89" t="s">
        <v>943</v>
      </c>
      <c r="D302" s="39" t="s">
        <v>322</v>
      </c>
      <c r="E302" s="94">
        <v>1</v>
      </c>
    </row>
    <row r="303" spans="1:5" s="5" customFormat="1" ht="14.4" x14ac:dyDescent="0.3">
      <c r="A303" s="85" t="s">
        <v>15</v>
      </c>
      <c r="B303" s="74" t="s">
        <v>974</v>
      </c>
      <c r="C303" s="89" t="s">
        <v>944</v>
      </c>
      <c r="D303" s="39" t="s">
        <v>322</v>
      </c>
      <c r="E303" s="94">
        <v>1</v>
      </c>
    </row>
    <row r="304" spans="1:5" s="5" customFormat="1" ht="14.4" x14ac:dyDescent="0.3">
      <c r="A304" s="85" t="s">
        <v>15</v>
      </c>
      <c r="B304" s="74" t="s">
        <v>975</v>
      </c>
      <c r="C304" s="89" t="s">
        <v>946</v>
      </c>
      <c r="D304" s="39" t="s">
        <v>322</v>
      </c>
      <c r="E304" s="94">
        <v>1</v>
      </c>
    </row>
    <row r="305" spans="1:5" s="5" customFormat="1" ht="14.4" x14ac:dyDescent="0.3">
      <c r="A305" s="85" t="s">
        <v>15</v>
      </c>
      <c r="B305" s="74" t="s">
        <v>976</v>
      </c>
      <c r="C305" s="89" t="s">
        <v>948</v>
      </c>
      <c r="D305" s="39" t="s">
        <v>322</v>
      </c>
      <c r="E305" s="94">
        <v>1</v>
      </c>
    </row>
    <row r="306" spans="1:5" s="5" customFormat="1" ht="14.4" x14ac:dyDescent="0.3">
      <c r="A306" s="85" t="s">
        <v>15</v>
      </c>
      <c r="B306" s="74" t="s">
        <v>977</v>
      </c>
      <c r="C306" s="89" t="s">
        <v>950</v>
      </c>
      <c r="D306" s="39" t="s">
        <v>322</v>
      </c>
      <c r="E306" s="94">
        <v>1</v>
      </c>
    </row>
    <row r="307" spans="1:5" s="5" customFormat="1" ht="14.4" x14ac:dyDescent="0.3">
      <c r="A307" s="85" t="s">
        <v>15</v>
      </c>
      <c r="B307" s="74" t="s">
        <v>978</v>
      </c>
      <c r="C307" s="89" t="s">
        <v>952</v>
      </c>
      <c r="D307" s="39" t="s">
        <v>322</v>
      </c>
      <c r="E307" s="94">
        <v>1</v>
      </c>
    </row>
    <row r="308" spans="1:5" s="5" customFormat="1" ht="14.4" x14ac:dyDescent="0.3">
      <c r="A308" s="85" t="s">
        <v>15</v>
      </c>
      <c r="B308" s="74" t="s">
        <v>979</v>
      </c>
      <c r="C308" s="89" t="s">
        <v>954</v>
      </c>
      <c r="D308" s="39" t="s">
        <v>322</v>
      </c>
      <c r="E308" s="94">
        <v>3</v>
      </c>
    </row>
    <row r="309" spans="1:5" s="5" customFormat="1" ht="14.4" x14ac:dyDescent="0.3">
      <c r="A309" s="85" t="s">
        <v>15</v>
      </c>
      <c r="B309" s="74" t="s">
        <v>980</v>
      </c>
      <c r="C309" s="89" t="s">
        <v>956</v>
      </c>
      <c r="D309" s="39" t="s">
        <v>322</v>
      </c>
      <c r="E309" s="94">
        <v>1</v>
      </c>
    </row>
    <row r="310" spans="1:5" s="5" customFormat="1" ht="14.4" x14ac:dyDescent="0.3">
      <c r="A310" s="85" t="s">
        <v>15</v>
      </c>
      <c r="B310" s="74" t="s">
        <v>981</v>
      </c>
      <c r="C310" s="89" t="s">
        <v>958</v>
      </c>
      <c r="D310" s="39" t="s">
        <v>959</v>
      </c>
      <c r="E310" s="94">
        <v>9</v>
      </c>
    </row>
    <row r="311" spans="1:5" s="5" customFormat="1" ht="14.4" x14ac:dyDescent="0.3">
      <c r="A311" s="85" t="s">
        <v>15</v>
      </c>
      <c r="B311" s="74" t="s">
        <v>982</v>
      </c>
      <c r="C311" s="89" t="s">
        <v>961</v>
      </c>
      <c r="D311" s="39" t="s">
        <v>962</v>
      </c>
      <c r="E311" s="94">
        <v>10.8</v>
      </c>
    </row>
    <row r="312" spans="1:5" s="5" customFormat="1" ht="14.4" x14ac:dyDescent="0.3">
      <c r="A312" s="85" t="s">
        <v>15</v>
      </c>
      <c r="B312" s="74" t="s">
        <v>983</v>
      </c>
      <c r="C312" s="89" t="s">
        <v>943</v>
      </c>
      <c r="D312" s="39" t="s">
        <v>322</v>
      </c>
      <c r="E312" s="94">
        <v>1</v>
      </c>
    </row>
    <row r="313" spans="1:5" s="5" customFormat="1" ht="14.4" x14ac:dyDescent="0.3">
      <c r="A313" s="85" t="s">
        <v>15</v>
      </c>
      <c r="B313" s="74" t="s">
        <v>984</v>
      </c>
      <c r="C313" s="89" t="s">
        <v>944</v>
      </c>
      <c r="D313" s="39" t="s">
        <v>322</v>
      </c>
      <c r="E313" s="94">
        <v>1</v>
      </c>
    </row>
    <row r="314" spans="1:5" s="5" customFormat="1" ht="14.4" x14ac:dyDescent="0.3">
      <c r="A314" s="85" t="s">
        <v>15</v>
      </c>
      <c r="B314" s="74" t="s">
        <v>985</v>
      </c>
      <c r="C314" s="89" t="s">
        <v>946</v>
      </c>
      <c r="D314" s="39" t="s">
        <v>322</v>
      </c>
      <c r="E314" s="94">
        <v>1</v>
      </c>
    </row>
    <row r="315" spans="1:5" s="5" customFormat="1" ht="14.4" x14ac:dyDescent="0.3">
      <c r="A315" s="85" t="s">
        <v>15</v>
      </c>
      <c r="B315" s="74" t="s">
        <v>986</v>
      </c>
      <c r="C315" s="89" t="s">
        <v>948</v>
      </c>
      <c r="D315" s="39" t="s">
        <v>322</v>
      </c>
      <c r="E315" s="94">
        <v>1</v>
      </c>
    </row>
    <row r="316" spans="1:5" s="5" customFormat="1" ht="14.4" x14ac:dyDescent="0.3">
      <c r="A316" s="85" t="s">
        <v>15</v>
      </c>
      <c r="B316" s="74" t="s">
        <v>987</v>
      </c>
      <c r="C316" s="89" t="s">
        <v>950</v>
      </c>
      <c r="D316" s="39" t="s">
        <v>322</v>
      </c>
      <c r="E316" s="94">
        <v>1</v>
      </c>
    </row>
    <row r="317" spans="1:5" s="5" customFormat="1" ht="14.4" x14ac:dyDescent="0.3">
      <c r="A317" s="85" t="s">
        <v>15</v>
      </c>
      <c r="B317" s="74" t="s">
        <v>988</v>
      </c>
      <c r="C317" s="89" t="s">
        <v>952</v>
      </c>
      <c r="D317" s="39" t="s">
        <v>322</v>
      </c>
      <c r="E317" s="94">
        <v>1</v>
      </c>
    </row>
    <row r="318" spans="1:5" s="5" customFormat="1" ht="14.4" x14ac:dyDescent="0.3">
      <c r="A318" s="85" t="s">
        <v>15</v>
      </c>
      <c r="B318" s="74" t="s">
        <v>989</v>
      </c>
      <c r="C318" s="89" t="s">
        <v>954</v>
      </c>
      <c r="D318" s="39" t="s">
        <v>322</v>
      </c>
      <c r="E318" s="94">
        <v>3</v>
      </c>
    </row>
    <row r="319" spans="1:5" s="5" customFormat="1" ht="14.4" x14ac:dyDescent="0.3">
      <c r="A319" s="85" t="s">
        <v>15</v>
      </c>
      <c r="B319" s="74" t="s">
        <v>990</v>
      </c>
      <c r="C319" s="89" t="s">
        <v>956</v>
      </c>
      <c r="D319" s="39" t="s">
        <v>322</v>
      </c>
      <c r="E319" s="94">
        <v>1</v>
      </c>
    </row>
    <row r="320" spans="1:5" s="5" customFormat="1" ht="14.4" x14ac:dyDescent="0.3">
      <c r="A320" s="85" t="s">
        <v>15</v>
      </c>
      <c r="B320" s="74" t="s">
        <v>991</v>
      </c>
      <c r="C320" s="89" t="s">
        <v>992</v>
      </c>
      <c r="D320" s="39" t="s">
        <v>754</v>
      </c>
      <c r="E320" s="94">
        <v>6</v>
      </c>
    </row>
    <row r="321" spans="1:5" s="5" customFormat="1" ht="14.4" x14ac:dyDescent="0.3">
      <c r="A321" s="85" t="s">
        <v>15</v>
      </c>
      <c r="B321" s="74" t="s">
        <v>993</v>
      </c>
      <c r="C321" s="89" t="s">
        <v>994</v>
      </c>
      <c r="D321" s="39" t="s">
        <v>754</v>
      </c>
      <c r="E321" s="94">
        <v>9</v>
      </c>
    </row>
    <row r="322" spans="1:5" s="5" customFormat="1" ht="14.4" x14ac:dyDescent="0.3">
      <c r="A322" s="85" t="s">
        <v>15</v>
      </c>
      <c r="B322" s="74" t="s">
        <v>995</v>
      </c>
      <c r="C322" s="89" t="s">
        <v>961</v>
      </c>
      <c r="D322" s="39" t="s">
        <v>962</v>
      </c>
      <c r="E322" s="94">
        <v>17.399999999999999</v>
      </c>
    </row>
    <row r="323" spans="1:5" s="5" customFormat="1" ht="14.4" x14ac:dyDescent="0.3">
      <c r="A323" s="85" t="s">
        <v>15</v>
      </c>
      <c r="B323" s="74" t="s">
        <v>996</v>
      </c>
      <c r="C323" s="89" t="s">
        <v>943</v>
      </c>
      <c r="D323" s="39" t="s">
        <v>322</v>
      </c>
      <c r="E323" s="94">
        <v>1</v>
      </c>
    </row>
    <row r="324" spans="1:5" s="5" customFormat="1" ht="14.4" x14ac:dyDescent="0.3">
      <c r="A324" s="85" t="s">
        <v>15</v>
      </c>
      <c r="B324" s="74" t="s">
        <v>997</v>
      </c>
      <c r="C324" s="89" t="s">
        <v>944</v>
      </c>
      <c r="D324" s="39" t="s">
        <v>322</v>
      </c>
      <c r="E324" s="94">
        <v>1</v>
      </c>
    </row>
    <row r="325" spans="1:5" s="5" customFormat="1" ht="14.4" x14ac:dyDescent="0.3">
      <c r="A325" s="85" t="s">
        <v>15</v>
      </c>
      <c r="B325" s="74" t="s">
        <v>998</v>
      </c>
      <c r="C325" s="89" t="s">
        <v>946</v>
      </c>
      <c r="D325" s="39" t="s">
        <v>322</v>
      </c>
      <c r="E325" s="94">
        <v>1</v>
      </c>
    </row>
    <row r="326" spans="1:5" s="5" customFormat="1" ht="14.4" x14ac:dyDescent="0.3">
      <c r="A326" s="85" t="s">
        <v>15</v>
      </c>
      <c r="B326" s="74" t="s">
        <v>999</v>
      </c>
      <c r="C326" s="89" t="s">
        <v>948</v>
      </c>
      <c r="D326" s="39" t="s">
        <v>322</v>
      </c>
      <c r="E326" s="94">
        <v>1</v>
      </c>
    </row>
    <row r="327" spans="1:5" s="5" customFormat="1" ht="14.4" x14ac:dyDescent="0.3">
      <c r="A327" s="85" t="s">
        <v>15</v>
      </c>
      <c r="B327" s="74" t="s">
        <v>1000</v>
      </c>
      <c r="C327" s="89" t="s">
        <v>950</v>
      </c>
      <c r="D327" s="39" t="s">
        <v>322</v>
      </c>
      <c r="E327" s="94">
        <v>1</v>
      </c>
    </row>
    <row r="328" spans="1:5" s="5" customFormat="1" ht="14.4" x14ac:dyDescent="0.3">
      <c r="A328" s="85" t="s">
        <v>15</v>
      </c>
      <c r="B328" s="74" t="s">
        <v>1001</v>
      </c>
      <c r="C328" s="89" t="s">
        <v>952</v>
      </c>
      <c r="D328" s="39" t="s">
        <v>322</v>
      </c>
      <c r="E328" s="94">
        <v>1</v>
      </c>
    </row>
    <row r="329" spans="1:5" s="5" customFormat="1" ht="14.4" x14ac:dyDescent="0.3">
      <c r="A329" s="85" t="s">
        <v>15</v>
      </c>
      <c r="B329" s="74" t="s">
        <v>1002</v>
      </c>
      <c r="C329" s="89" t="s">
        <v>954</v>
      </c>
      <c r="D329" s="39" t="s">
        <v>322</v>
      </c>
      <c r="E329" s="94">
        <v>4</v>
      </c>
    </row>
    <row r="330" spans="1:5" s="5" customFormat="1" ht="14.4" x14ac:dyDescent="0.3">
      <c r="A330" s="85" t="s">
        <v>15</v>
      </c>
      <c r="B330" s="74" t="s">
        <v>1003</v>
      </c>
      <c r="C330" s="89" t="s">
        <v>956</v>
      </c>
      <c r="D330" s="39" t="s">
        <v>322</v>
      </c>
      <c r="E330" s="94">
        <v>1</v>
      </c>
    </row>
    <row r="331" spans="1:5" s="5" customFormat="1" ht="14.4" x14ac:dyDescent="0.3">
      <c r="A331" s="85" t="s">
        <v>15</v>
      </c>
      <c r="B331" s="74" t="s">
        <v>1004</v>
      </c>
      <c r="C331" s="89" t="s">
        <v>992</v>
      </c>
      <c r="D331" s="39" t="s">
        <v>754</v>
      </c>
      <c r="E331" s="94">
        <v>7</v>
      </c>
    </row>
    <row r="332" spans="1:5" s="5" customFormat="1" ht="14.4" x14ac:dyDescent="0.3">
      <c r="A332" s="85" t="s">
        <v>15</v>
      </c>
      <c r="B332" s="74" t="s">
        <v>1005</v>
      </c>
      <c r="C332" s="89" t="s">
        <v>994</v>
      </c>
      <c r="D332" s="39" t="s">
        <v>754</v>
      </c>
      <c r="E332" s="94">
        <v>8</v>
      </c>
    </row>
    <row r="333" spans="1:5" s="5" customFormat="1" ht="14.4" x14ac:dyDescent="0.3">
      <c r="A333" s="85" t="s">
        <v>15</v>
      </c>
      <c r="B333" s="74" t="s">
        <v>1006</v>
      </c>
      <c r="C333" s="89" t="s">
        <v>961</v>
      </c>
      <c r="D333" s="39" t="s">
        <v>962</v>
      </c>
      <c r="E333" s="94">
        <v>17.399999999999999</v>
      </c>
    </row>
    <row r="334" spans="1:5" s="5" customFormat="1" ht="14.4" x14ac:dyDescent="0.3">
      <c r="A334" s="85" t="s">
        <v>15</v>
      </c>
      <c r="B334" s="74" t="s">
        <v>1007</v>
      </c>
      <c r="C334" s="89" t="s">
        <v>943</v>
      </c>
      <c r="D334" s="39" t="s">
        <v>322</v>
      </c>
      <c r="E334" s="94">
        <v>1</v>
      </c>
    </row>
    <row r="335" spans="1:5" s="5" customFormat="1" ht="14.4" x14ac:dyDescent="0.3">
      <c r="A335" s="85" t="s">
        <v>15</v>
      </c>
      <c r="B335" s="74" t="s">
        <v>1008</v>
      </c>
      <c r="C335" s="89" t="s">
        <v>944</v>
      </c>
      <c r="D335" s="39" t="s">
        <v>322</v>
      </c>
      <c r="E335" s="94">
        <v>1</v>
      </c>
    </row>
    <row r="336" spans="1:5" s="5" customFormat="1" ht="14.4" x14ac:dyDescent="0.3">
      <c r="A336" s="85" t="s">
        <v>15</v>
      </c>
      <c r="B336" s="74" t="s">
        <v>1009</v>
      </c>
      <c r="C336" s="89" t="s">
        <v>946</v>
      </c>
      <c r="D336" s="39" t="s">
        <v>322</v>
      </c>
      <c r="E336" s="94">
        <v>1</v>
      </c>
    </row>
    <row r="337" spans="1:5" s="5" customFormat="1" ht="14.4" x14ac:dyDescent="0.3">
      <c r="A337" s="85" t="s">
        <v>15</v>
      </c>
      <c r="B337" s="74" t="s">
        <v>1010</v>
      </c>
      <c r="C337" s="89" t="s">
        <v>948</v>
      </c>
      <c r="D337" s="39" t="s">
        <v>322</v>
      </c>
      <c r="E337" s="94">
        <v>1</v>
      </c>
    </row>
    <row r="338" spans="1:5" s="5" customFormat="1" ht="14.4" x14ac:dyDescent="0.3">
      <c r="A338" s="85" t="s">
        <v>15</v>
      </c>
      <c r="B338" s="74" t="s">
        <v>1011</v>
      </c>
      <c r="C338" s="89" t="s">
        <v>950</v>
      </c>
      <c r="D338" s="39" t="s">
        <v>322</v>
      </c>
      <c r="E338" s="94">
        <v>1</v>
      </c>
    </row>
    <row r="339" spans="1:5" s="5" customFormat="1" ht="14.4" x14ac:dyDescent="0.3">
      <c r="A339" s="85" t="s">
        <v>15</v>
      </c>
      <c r="B339" s="74" t="s">
        <v>1012</v>
      </c>
      <c r="C339" s="89" t="s">
        <v>952</v>
      </c>
      <c r="D339" s="39" t="s">
        <v>322</v>
      </c>
      <c r="E339" s="94">
        <v>1</v>
      </c>
    </row>
    <row r="340" spans="1:5" s="5" customFormat="1" ht="14.4" x14ac:dyDescent="0.3">
      <c r="A340" s="85" t="s">
        <v>15</v>
      </c>
      <c r="B340" s="74" t="s">
        <v>1013</v>
      </c>
      <c r="C340" s="89" t="s">
        <v>954</v>
      </c>
      <c r="D340" s="39" t="s">
        <v>322</v>
      </c>
      <c r="E340" s="94">
        <v>4</v>
      </c>
    </row>
    <row r="341" spans="1:5" s="5" customFormat="1" ht="14.4" x14ac:dyDescent="0.3">
      <c r="A341" s="85" t="s">
        <v>15</v>
      </c>
      <c r="B341" s="74" t="s">
        <v>1014</v>
      </c>
      <c r="C341" s="89" t="s">
        <v>956</v>
      </c>
      <c r="D341" s="39" t="s">
        <v>322</v>
      </c>
      <c r="E341" s="94">
        <v>1</v>
      </c>
    </row>
    <row r="342" spans="1:5" s="5" customFormat="1" ht="14.4" x14ac:dyDescent="0.3">
      <c r="A342" s="85" t="s">
        <v>15</v>
      </c>
      <c r="B342" s="74" t="s">
        <v>1015</v>
      </c>
      <c r="C342" s="89" t="s">
        <v>958</v>
      </c>
      <c r="D342" s="39" t="s">
        <v>959</v>
      </c>
      <c r="E342" s="94">
        <v>13</v>
      </c>
    </row>
    <row r="343" spans="1:5" s="5" customFormat="1" ht="14.4" x14ac:dyDescent="0.3">
      <c r="A343" s="85" t="s">
        <v>15</v>
      </c>
      <c r="B343" s="74" t="s">
        <v>1016</v>
      </c>
      <c r="C343" s="89" t="s">
        <v>961</v>
      </c>
      <c r="D343" s="39" t="s">
        <v>962</v>
      </c>
      <c r="E343" s="94">
        <v>14.3</v>
      </c>
    </row>
    <row r="344" spans="1:5" s="5" customFormat="1" ht="14.4" x14ac:dyDescent="0.3">
      <c r="A344" s="85" t="s">
        <v>15</v>
      </c>
      <c r="B344" s="74" t="s">
        <v>1017</v>
      </c>
      <c r="C344" s="89" t="s">
        <v>942</v>
      </c>
      <c r="D344" s="39" t="s">
        <v>322</v>
      </c>
      <c r="E344" s="95">
        <v>9</v>
      </c>
    </row>
    <row r="345" spans="1:5" s="5" customFormat="1" ht="14.4" x14ac:dyDescent="0.3">
      <c r="A345" s="85" t="s">
        <v>15</v>
      </c>
      <c r="B345" s="74" t="s">
        <v>1018</v>
      </c>
      <c r="C345" s="38" t="s">
        <v>1019</v>
      </c>
      <c r="D345" s="80" t="s">
        <v>322</v>
      </c>
      <c r="E345" s="84">
        <v>1</v>
      </c>
    </row>
    <row r="346" spans="1:5" s="5" customFormat="1" ht="14.4" x14ac:dyDescent="0.3">
      <c r="A346" s="85" t="s">
        <v>15</v>
      </c>
      <c r="B346" s="74" t="s">
        <v>1020</v>
      </c>
      <c r="C346" s="38" t="s">
        <v>944</v>
      </c>
      <c r="D346" s="80" t="s">
        <v>322</v>
      </c>
      <c r="E346" s="84">
        <v>1</v>
      </c>
    </row>
    <row r="347" spans="1:5" s="5" customFormat="1" ht="14.4" x14ac:dyDescent="0.3">
      <c r="A347" s="85" t="s">
        <v>15</v>
      </c>
      <c r="B347" s="74" t="s">
        <v>1021</v>
      </c>
      <c r="C347" s="38" t="s">
        <v>952</v>
      </c>
      <c r="D347" s="80" t="s">
        <v>322</v>
      </c>
      <c r="E347" s="84">
        <v>1</v>
      </c>
    </row>
    <row r="348" spans="1:5" s="5" customFormat="1" ht="14.4" x14ac:dyDescent="0.3">
      <c r="A348" s="85" t="s">
        <v>15</v>
      </c>
      <c r="B348" s="74" t="s">
        <v>1022</v>
      </c>
      <c r="C348" s="38" t="s">
        <v>954</v>
      </c>
      <c r="D348" s="80" t="s">
        <v>322</v>
      </c>
      <c r="E348" s="84">
        <v>3</v>
      </c>
    </row>
    <row r="349" spans="1:5" s="5" customFormat="1" ht="14.4" x14ac:dyDescent="0.3">
      <c r="A349" s="85" t="s">
        <v>15</v>
      </c>
      <c r="B349" s="74" t="s">
        <v>1023</v>
      </c>
      <c r="C349" s="38" t="s">
        <v>1024</v>
      </c>
      <c r="D349" s="80" t="s">
        <v>322</v>
      </c>
      <c r="E349" s="84">
        <v>1</v>
      </c>
    </row>
    <row r="350" spans="1:5" s="5" customFormat="1" ht="27.6" x14ac:dyDescent="0.3">
      <c r="A350" s="85" t="s">
        <v>15</v>
      </c>
      <c r="B350" s="74" t="s">
        <v>1025</v>
      </c>
      <c r="C350" s="38" t="s">
        <v>958</v>
      </c>
      <c r="D350" s="80" t="s">
        <v>959</v>
      </c>
      <c r="E350" s="84">
        <v>11</v>
      </c>
    </row>
    <row r="351" spans="1:5" s="5" customFormat="1" ht="16.2" x14ac:dyDescent="0.3">
      <c r="A351" s="85" t="s">
        <v>15</v>
      </c>
      <c r="B351" s="74" t="s">
        <v>1026</v>
      </c>
      <c r="C351" s="38" t="s">
        <v>1027</v>
      </c>
      <c r="D351" s="82" t="s">
        <v>1250</v>
      </c>
      <c r="E351" s="84">
        <v>4.8</v>
      </c>
    </row>
    <row r="352" spans="1:5" s="5" customFormat="1" ht="14.4" x14ac:dyDescent="0.3">
      <c r="A352" s="85" t="s">
        <v>15</v>
      </c>
      <c r="B352" s="74" t="s">
        <v>1028</v>
      </c>
      <c r="C352" s="38" t="s">
        <v>1029</v>
      </c>
      <c r="D352" s="39" t="s">
        <v>322</v>
      </c>
      <c r="E352" s="84">
        <v>21</v>
      </c>
    </row>
    <row r="353" spans="1:5" s="5" customFormat="1" ht="14.4" x14ac:dyDescent="0.3">
      <c r="A353" s="85" t="s">
        <v>15</v>
      </c>
      <c r="B353" s="74" t="s">
        <v>1030</v>
      </c>
      <c r="C353" s="38" t="s">
        <v>1024</v>
      </c>
      <c r="D353" s="39" t="s">
        <v>322</v>
      </c>
      <c r="E353" s="84">
        <v>21</v>
      </c>
    </row>
    <row r="354" spans="1:5" s="5" customFormat="1" ht="27.6" x14ac:dyDescent="0.3">
      <c r="A354" s="85" t="s">
        <v>15</v>
      </c>
      <c r="B354" s="74" t="s">
        <v>1031</v>
      </c>
      <c r="C354" s="38" t="s">
        <v>1032</v>
      </c>
      <c r="D354" s="39" t="s">
        <v>959</v>
      </c>
      <c r="E354" s="84">
        <v>93.3</v>
      </c>
    </row>
    <row r="355" spans="1:5" s="5" customFormat="1" ht="14.4" x14ac:dyDescent="0.3">
      <c r="A355" s="85" t="s">
        <v>15</v>
      </c>
      <c r="B355" s="74" t="s">
        <v>1033</v>
      </c>
      <c r="C355" s="38" t="s">
        <v>1027</v>
      </c>
      <c r="D355" s="39" t="s">
        <v>962</v>
      </c>
      <c r="E355" s="84">
        <v>136.1</v>
      </c>
    </row>
    <row r="356" spans="1:5" s="5" customFormat="1" ht="14.4" x14ac:dyDescent="0.3">
      <c r="A356" s="85" t="s">
        <v>15</v>
      </c>
      <c r="B356" s="74" t="s">
        <v>1034</v>
      </c>
      <c r="C356" s="38" t="s">
        <v>1019</v>
      </c>
      <c r="D356" s="80" t="s">
        <v>322</v>
      </c>
      <c r="E356" s="81">
        <v>1</v>
      </c>
    </row>
    <row r="357" spans="1:5" s="5" customFormat="1" ht="14.4" x14ac:dyDescent="0.3">
      <c r="A357" s="85" t="s">
        <v>15</v>
      </c>
      <c r="B357" s="74" t="s">
        <v>1035</v>
      </c>
      <c r="C357" s="38" t="s">
        <v>944</v>
      </c>
      <c r="D357" s="80" t="s">
        <v>322</v>
      </c>
      <c r="E357" s="81">
        <v>1</v>
      </c>
    </row>
    <row r="358" spans="1:5" s="5" customFormat="1" ht="14.4" x14ac:dyDescent="0.3">
      <c r="A358" s="85" t="s">
        <v>15</v>
      </c>
      <c r="B358" s="74" t="s">
        <v>1036</v>
      </c>
      <c r="C358" s="38" t="s">
        <v>952</v>
      </c>
      <c r="D358" s="80" t="s">
        <v>322</v>
      </c>
      <c r="E358" s="81">
        <v>1</v>
      </c>
    </row>
    <row r="359" spans="1:5" s="5" customFormat="1" ht="14.4" x14ac:dyDescent="0.3">
      <c r="A359" s="85" t="s">
        <v>15</v>
      </c>
      <c r="B359" s="74" t="s">
        <v>1037</v>
      </c>
      <c r="C359" s="38" t="s">
        <v>1038</v>
      </c>
      <c r="D359" s="80" t="s">
        <v>322</v>
      </c>
      <c r="E359" s="81">
        <v>3</v>
      </c>
    </row>
    <row r="360" spans="1:5" s="5" customFormat="1" ht="14.4" x14ac:dyDescent="0.3">
      <c r="A360" s="85" t="s">
        <v>15</v>
      </c>
      <c r="B360" s="74" t="s">
        <v>1039</v>
      </c>
      <c r="C360" s="38" t="s">
        <v>1040</v>
      </c>
      <c r="D360" s="80" t="s">
        <v>322</v>
      </c>
      <c r="E360" s="81">
        <v>6</v>
      </c>
    </row>
    <row r="361" spans="1:5" s="5" customFormat="1" ht="14.4" x14ac:dyDescent="0.3">
      <c r="A361" s="85" t="s">
        <v>15</v>
      </c>
      <c r="B361" s="74" t="s">
        <v>1041</v>
      </c>
      <c r="C361" s="38" t="s">
        <v>1042</v>
      </c>
      <c r="D361" s="80" t="s">
        <v>322</v>
      </c>
      <c r="E361" s="81">
        <v>1</v>
      </c>
    </row>
    <row r="362" spans="1:5" s="5" customFormat="1" ht="27.6" x14ac:dyDescent="0.3">
      <c r="A362" s="85" t="s">
        <v>15</v>
      </c>
      <c r="B362" s="74" t="s">
        <v>1043</v>
      </c>
      <c r="C362" s="38" t="s">
        <v>1044</v>
      </c>
      <c r="D362" s="80" t="s">
        <v>959</v>
      </c>
      <c r="E362" s="81">
        <v>8</v>
      </c>
    </row>
    <row r="363" spans="1:5" s="5" customFormat="1" ht="27.6" x14ac:dyDescent="0.3">
      <c r="A363" s="85" t="s">
        <v>15</v>
      </c>
      <c r="B363" s="74" t="s">
        <v>1045</v>
      </c>
      <c r="C363" s="38" t="s">
        <v>1046</v>
      </c>
      <c r="D363" s="80" t="s">
        <v>959</v>
      </c>
      <c r="E363" s="81">
        <v>10</v>
      </c>
    </row>
    <row r="364" spans="1:5" s="5" customFormat="1" ht="27.6" x14ac:dyDescent="0.3">
      <c r="A364" s="85" t="s">
        <v>15</v>
      </c>
      <c r="B364" s="74" t="s">
        <v>1047</v>
      </c>
      <c r="C364" s="38" t="s">
        <v>1048</v>
      </c>
      <c r="D364" s="80" t="s">
        <v>959</v>
      </c>
      <c r="E364" s="81">
        <v>13</v>
      </c>
    </row>
    <row r="365" spans="1:5" s="5" customFormat="1" ht="27.6" x14ac:dyDescent="0.3">
      <c r="A365" s="85" t="s">
        <v>15</v>
      </c>
      <c r="B365" s="74" t="s">
        <v>1049</v>
      </c>
      <c r="C365" s="38" t="s">
        <v>1050</v>
      </c>
      <c r="D365" s="80" t="s">
        <v>959</v>
      </c>
      <c r="E365" s="81">
        <v>4</v>
      </c>
    </row>
    <row r="366" spans="1:5" s="5" customFormat="1" ht="27.6" x14ac:dyDescent="0.3">
      <c r="A366" s="85" t="s">
        <v>15</v>
      </c>
      <c r="B366" s="74" t="s">
        <v>1051</v>
      </c>
      <c r="C366" s="38" t="s">
        <v>1052</v>
      </c>
      <c r="D366" s="80" t="s">
        <v>959</v>
      </c>
      <c r="E366" s="81">
        <v>6</v>
      </c>
    </row>
    <row r="367" spans="1:5" s="5" customFormat="1" ht="27.6" x14ac:dyDescent="0.3">
      <c r="A367" s="85" t="s">
        <v>15</v>
      </c>
      <c r="B367" s="74" t="s">
        <v>1053</v>
      </c>
      <c r="C367" s="38" t="s">
        <v>1054</v>
      </c>
      <c r="D367" s="80" t="s">
        <v>959</v>
      </c>
      <c r="E367" s="81">
        <v>7</v>
      </c>
    </row>
    <row r="368" spans="1:5" s="5" customFormat="1" ht="14.4" x14ac:dyDescent="0.3">
      <c r="A368" s="85" t="s">
        <v>15</v>
      </c>
      <c r="B368" s="74" t="s">
        <v>1055</v>
      </c>
      <c r="C368" s="38" t="s">
        <v>1027</v>
      </c>
      <c r="D368" s="39" t="s">
        <v>66</v>
      </c>
      <c r="E368" s="81">
        <v>10.5</v>
      </c>
    </row>
    <row r="369" spans="1:5" s="5" customFormat="1" ht="14.4" x14ac:dyDescent="0.3">
      <c r="A369" s="85" t="s">
        <v>15</v>
      </c>
      <c r="B369" s="74" t="s">
        <v>1056</v>
      </c>
      <c r="C369" s="38" t="s">
        <v>1057</v>
      </c>
      <c r="D369" s="80" t="s">
        <v>322</v>
      </c>
      <c r="E369" s="81">
        <v>1</v>
      </c>
    </row>
    <row r="370" spans="1:5" s="5" customFormat="1" ht="14.4" x14ac:dyDescent="0.3">
      <c r="A370" s="85" t="s">
        <v>15</v>
      </c>
      <c r="B370" s="74" t="s">
        <v>1058</v>
      </c>
      <c r="C370" s="38" t="s">
        <v>1059</v>
      </c>
      <c r="D370" s="80" t="s">
        <v>322</v>
      </c>
      <c r="E370" s="81">
        <v>1</v>
      </c>
    </row>
    <row r="371" spans="1:5" s="5" customFormat="1" ht="14.4" x14ac:dyDescent="0.3">
      <c r="A371" s="85" t="s">
        <v>15</v>
      </c>
      <c r="B371" s="74" t="s">
        <v>1060</v>
      </c>
      <c r="C371" s="38" t="s">
        <v>952</v>
      </c>
      <c r="D371" s="80" t="s">
        <v>322</v>
      </c>
      <c r="E371" s="81">
        <v>1</v>
      </c>
    </row>
    <row r="372" spans="1:5" s="5" customFormat="1" ht="14.4" x14ac:dyDescent="0.3">
      <c r="A372" s="85" t="s">
        <v>15</v>
      </c>
      <c r="B372" s="74" t="s">
        <v>1061</v>
      </c>
      <c r="C372" s="38" t="s">
        <v>954</v>
      </c>
      <c r="D372" s="80" t="s">
        <v>322</v>
      </c>
      <c r="E372" s="81">
        <v>6</v>
      </c>
    </row>
    <row r="373" spans="1:5" s="5" customFormat="1" ht="14.4" x14ac:dyDescent="0.3">
      <c r="A373" s="85" t="s">
        <v>15</v>
      </c>
      <c r="B373" s="74" t="s">
        <v>1062</v>
      </c>
      <c r="C373" s="38" t="s">
        <v>1063</v>
      </c>
      <c r="D373" s="80" t="s">
        <v>322</v>
      </c>
      <c r="E373" s="81">
        <v>1</v>
      </c>
    </row>
    <row r="374" spans="1:5" s="5" customFormat="1" ht="27.6" x14ac:dyDescent="0.3">
      <c r="A374" s="85" t="s">
        <v>15</v>
      </c>
      <c r="B374" s="74" t="s">
        <v>1064</v>
      </c>
      <c r="C374" s="38" t="s">
        <v>1065</v>
      </c>
      <c r="D374" s="80" t="s">
        <v>959</v>
      </c>
      <c r="E374" s="81">
        <v>3</v>
      </c>
    </row>
    <row r="375" spans="1:5" s="5" customFormat="1" ht="27.6" x14ac:dyDescent="0.3">
      <c r="A375" s="85" t="s">
        <v>15</v>
      </c>
      <c r="B375" s="74" t="s">
        <v>1066</v>
      </c>
      <c r="C375" s="38" t="s">
        <v>1044</v>
      </c>
      <c r="D375" s="80" t="s">
        <v>959</v>
      </c>
      <c r="E375" s="81">
        <v>10</v>
      </c>
    </row>
    <row r="376" spans="1:5" s="5" customFormat="1" ht="14.4" x14ac:dyDescent="0.3">
      <c r="A376" s="85" t="s">
        <v>15</v>
      </c>
      <c r="B376" s="74" t="s">
        <v>1067</v>
      </c>
      <c r="C376" s="38" t="s">
        <v>1027</v>
      </c>
      <c r="D376" s="39" t="s">
        <v>66</v>
      </c>
      <c r="E376" s="81">
        <v>6.1</v>
      </c>
    </row>
    <row r="377" spans="1:5" s="5" customFormat="1" ht="14.4" x14ac:dyDescent="0.3">
      <c r="A377" s="85" t="s">
        <v>15</v>
      </c>
      <c r="B377" s="74" t="s">
        <v>1068</v>
      </c>
      <c r="C377" s="38" t="s">
        <v>1069</v>
      </c>
      <c r="D377" s="80" t="s">
        <v>322</v>
      </c>
      <c r="E377" s="81">
        <v>1</v>
      </c>
    </row>
    <row r="378" spans="1:5" s="5" customFormat="1" ht="14.4" x14ac:dyDescent="0.3">
      <c r="A378" s="85" t="s">
        <v>15</v>
      </c>
      <c r="B378" s="74" t="s">
        <v>1070</v>
      </c>
      <c r="C378" s="38" t="s">
        <v>1059</v>
      </c>
      <c r="D378" s="80" t="s">
        <v>322</v>
      </c>
      <c r="E378" s="81">
        <v>1</v>
      </c>
    </row>
    <row r="379" spans="1:5" s="5" customFormat="1" ht="14.4" x14ac:dyDescent="0.3">
      <c r="A379" s="85" t="s">
        <v>15</v>
      </c>
      <c r="B379" s="74" t="s">
        <v>1071</v>
      </c>
      <c r="C379" s="38" t="s">
        <v>952</v>
      </c>
      <c r="D379" s="80" t="s">
        <v>322</v>
      </c>
      <c r="E379" s="81">
        <v>1</v>
      </c>
    </row>
    <row r="380" spans="1:5" s="5" customFormat="1" ht="14.4" x14ac:dyDescent="0.3">
      <c r="A380" s="85" t="s">
        <v>15</v>
      </c>
      <c r="B380" s="74" t="s">
        <v>1072</v>
      </c>
      <c r="C380" s="38" t="s">
        <v>954</v>
      </c>
      <c r="D380" s="80" t="s">
        <v>322</v>
      </c>
      <c r="E380" s="81">
        <v>5</v>
      </c>
    </row>
    <row r="381" spans="1:5" s="5" customFormat="1" ht="14.4" x14ac:dyDescent="0.3">
      <c r="A381" s="85" t="s">
        <v>15</v>
      </c>
      <c r="B381" s="74" t="s">
        <v>1073</v>
      </c>
      <c r="C381" s="38" t="s">
        <v>1063</v>
      </c>
      <c r="D381" s="80" t="s">
        <v>322</v>
      </c>
      <c r="E381" s="81">
        <v>1</v>
      </c>
    </row>
    <row r="382" spans="1:5" s="5" customFormat="1" ht="27.6" x14ac:dyDescent="0.3">
      <c r="A382" s="85" t="s">
        <v>15</v>
      </c>
      <c r="B382" s="74" t="s">
        <v>1074</v>
      </c>
      <c r="C382" s="38" t="s">
        <v>1050</v>
      </c>
      <c r="D382" s="80" t="s">
        <v>959</v>
      </c>
      <c r="E382" s="81">
        <v>10</v>
      </c>
    </row>
    <row r="383" spans="1:5" s="5" customFormat="1" ht="27.6" x14ac:dyDescent="0.3">
      <c r="A383" s="85" t="s">
        <v>15</v>
      </c>
      <c r="B383" s="74" t="s">
        <v>1075</v>
      </c>
      <c r="C383" s="38" t="s">
        <v>1052</v>
      </c>
      <c r="D383" s="80" t="s">
        <v>959</v>
      </c>
      <c r="E383" s="81">
        <v>11</v>
      </c>
    </row>
    <row r="384" spans="1:5" s="5" customFormat="1" ht="27.6" x14ac:dyDescent="0.3">
      <c r="A384" s="85" t="s">
        <v>15</v>
      </c>
      <c r="B384" s="74" t="s">
        <v>1076</v>
      </c>
      <c r="C384" s="38" t="s">
        <v>1077</v>
      </c>
      <c r="D384" s="80" t="s">
        <v>959</v>
      </c>
      <c r="E384" s="81">
        <v>18</v>
      </c>
    </row>
    <row r="385" spans="1:5" s="5" customFormat="1" ht="14.4" x14ac:dyDescent="0.3">
      <c r="A385" s="85" t="s">
        <v>15</v>
      </c>
      <c r="B385" s="74" t="s">
        <v>1078</v>
      </c>
      <c r="C385" s="38" t="s">
        <v>1027</v>
      </c>
      <c r="D385" s="39" t="s">
        <v>66</v>
      </c>
      <c r="E385" s="81">
        <v>4.8</v>
      </c>
    </row>
    <row r="386" spans="1:5" s="5" customFormat="1" ht="14.4" x14ac:dyDescent="0.3">
      <c r="A386" s="85" t="s">
        <v>15</v>
      </c>
      <c r="B386" s="74" t="s">
        <v>1079</v>
      </c>
      <c r="C386" s="38" t="s">
        <v>1069</v>
      </c>
      <c r="D386" s="39" t="s">
        <v>322</v>
      </c>
      <c r="E386" s="92">
        <v>1</v>
      </c>
    </row>
    <row r="387" spans="1:5" s="5" customFormat="1" ht="14.4" x14ac:dyDescent="0.3">
      <c r="A387" s="85" t="s">
        <v>15</v>
      </c>
      <c r="B387" s="74" t="s">
        <v>1080</v>
      </c>
      <c r="C387" s="38" t="s">
        <v>1059</v>
      </c>
      <c r="D387" s="39" t="s">
        <v>322</v>
      </c>
      <c r="E387" s="92">
        <v>1</v>
      </c>
    </row>
    <row r="388" spans="1:5" s="5" customFormat="1" ht="14.4" x14ac:dyDescent="0.3">
      <c r="A388" s="85" t="s">
        <v>15</v>
      </c>
      <c r="B388" s="74" t="s">
        <v>1081</v>
      </c>
      <c r="C388" s="38" t="s">
        <v>952</v>
      </c>
      <c r="D388" s="39" t="s">
        <v>322</v>
      </c>
      <c r="E388" s="92">
        <v>1</v>
      </c>
    </row>
    <row r="389" spans="1:5" s="5" customFormat="1" ht="14.4" x14ac:dyDescent="0.3">
      <c r="A389" s="85" t="s">
        <v>15</v>
      </c>
      <c r="B389" s="74" t="s">
        <v>1082</v>
      </c>
      <c r="C389" s="38" t="s">
        <v>954</v>
      </c>
      <c r="D389" s="39" t="s">
        <v>322</v>
      </c>
      <c r="E389" s="92">
        <v>5</v>
      </c>
    </row>
    <row r="390" spans="1:5" s="5" customFormat="1" ht="14.4" x14ac:dyDescent="0.3">
      <c r="A390" s="85" t="s">
        <v>15</v>
      </c>
      <c r="B390" s="74" t="s">
        <v>1083</v>
      </c>
      <c r="C390" s="38" t="s">
        <v>1063</v>
      </c>
      <c r="D390" s="39" t="s">
        <v>322</v>
      </c>
      <c r="E390" s="92">
        <v>1</v>
      </c>
    </row>
    <row r="391" spans="1:5" s="5" customFormat="1" ht="27.6" x14ac:dyDescent="0.3">
      <c r="A391" s="85" t="s">
        <v>15</v>
      </c>
      <c r="B391" s="74" t="s">
        <v>1084</v>
      </c>
      <c r="C391" s="38" t="s">
        <v>1050</v>
      </c>
      <c r="D391" s="39" t="s">
        <v>754</v>
      </c>
      <c r="E391" s="92">
        <v>6</v>
      </c>
    </row>
    <row r="392" spans="1:5" s="5" customFormat="1" ht="27.6" x14ac:dyDescent="0.3">
      <c r="A392" s="85" t="s">
        <v>15</v>
      </c>
      <c r="B392" s="74" t="s">
        <v>1085</v>
      </c>
      <c r="C392" s="38" t="s">
        <v>1052</v>
      </c>
      <c r="D392" s="39" t="s">
        <v>754</v>
      </c>
      <c r="E392" s="92">
        <v>7</v>
      </c>
    </row>
    <row r="393" spans="1:5" s="5" customFormat="1" ht="27.6" x14ac:dyDescent="0.3">
      <c r="A393" s="85" t="s">
        <v>15</v>
      </c>
      <c r="B393" s="74" t="s">
        <v>1086</v>
      </c>
      <c r="C393" s="38" t="s">
        <v>1077</v>
      </c>
      <c r="D393" s="39" t="s">
        <v>754</v>
      </c>
      <c r="E393" s="92">
        <v>7</v>
      </c>
    </row>
    <row r="394" spans="1:5" s="5" customFormat="1" ht="14.4" x14ac:dyDescent="0.3">
      <c r="A394" s="85" t="s">
        <v>15</v>
      </c>
      <c r="B394" s="74" t="s">
        <v>1087</v>
      </c>
      <c r="C394" s="38" t="s">
        <v>1027</v>
      </c>
      <c r="D394" s="39" t="s">
        <v>66</v>
      </c>
      <c r="E394" s="92">
        <v>4.8</v>
      </c>
    </row>
    <row r="395" spans="1:5" s="5" customFormat="1" ht="14.4" x14ac:dyDescent="0.3">
      <c r="A395" s="85" t="s">
        <v>15</v>
      </c>
      <c r="B395" s="74" t="s">
        <v>1088</v>
      </c>
      <c r="C395" s="38" t="s">
        <v>1089</v>
      </c>
      <c r="D395" s="39" t="s">
        <v>322</v>
      </c>
      <c r="E395" s="84">
        <v>1</v>
      </c>
    </row>
    <row r="396" spans="1:5" s="5" customFormat="1" ht="13.8" customHeight="1" x14ac:dyDescent="0.3">
      <c r="A396" s="49" t="s">
        <v>15</v>
      </c>
      <c r="B396" s="50" t="s">
        <v>493</v>
      </c>
      <c r="C396" s="28" t="s">
        <v>196</v>
      </c>
      <c r="D396" s="54" t="s">
        <v>26</v>
      </c>
      <c r="E396" s="69">
        <v>1</v>
      </c>
    </row>
    <row r="397" spans="1:5" s="5" customFormat="1" ht="13.8" customHeight="1" x14ac:dyDescent="0.3">
      <c r="A397" s="85" t="s">
        <v>15</v>
      </c>
      <c r="B397" s="96" t="s">
        <v>233</v>
      </c>
      <c r="C397" s="35" t="s">
        <v>1090</v>
      </c>
      <c r="D397" s="39" t="s">
        <v>322</v>
      </c>
      <c r="E397" s="84">
        <v>1</v>
      </c>
    </row>
    <row r="398" spans="1:5" s="5" customFormat="1" ht="13.8" customHeight="1" x14ac:dyDescent="0.3">
      <c r="A398" s="85" t="s">
        <v>15</v>
      </c>
      <c r="B398" s="96" t="s">
        <v>234</v>
      </c>
      <c r="C398" s="35" t="s">
        <v>1091</v>
      </c>
      <c r="D398" s="39" t="s">
        <v>322</v>
      </c>
      <c r="E398" s="84">
        <v>10</v>
      </c>
    </row>
    <row r="399" spans="1:5" s="5" customFormat="1" ht="13.8" customHeight="1" x14ac:dyDescent="0.3">
      <c r="A399" s="85" t="s">
        <v>15</v>
      </c>
      <c r="B399" s="96" t="s">
        <v>235</v>
      </c>
      <c r="C399" s="35" t="s">
        <v>1092</v>
      </c>
      <c r="D399" s="39" t="s">
        <v>322</v>
      </c>
      <c r="E399" s="84">
        <v>3</v>
      </c>
    </row>
    <row r="400" spans="1:5" s="5" customFormat="1" ht="13.8" customHeight="1" x14ac:dyDescent="0.3">
      <c r="A400" s="85" t="s">
        <v>15</v>
      </c>
      <c r="B400" s="96" t="s">
        <v>1093</v>
      </c>
      <c r="C400" s="35" t="s">
        <v>1094</v>
      </c>
      <c r="D400" s="39" t="s">
        <v>322</v>
      </c>
      <c r="E400" s="84">
        <v>1</v>
      </c>
    </row>
    <row r="401" spans="1:5" s="5" customFormat="1" ht="13.8" customHeight="1" x14ac:dyDescent="0.3">
      <c r="A401" s="85" t="s">
        <v>15</v>
      </c>
      <c r="B401" s="96" t="s">
        <v>1095</v>
      </c>
      <c r="C401" s="35" t="s">
        <v>1096</v>
      </c>
      <c r="D401" s="39" t="s">
        <v>322</v>
      </c>
      <c r="E401" s="84">
        <v>110</v>
      </c>
    </row>
    <row r="402" spans="1:5" s="5" customFormat="1" ht="13.8" customHeight="1" x14ac:dyDescent="0.3">
      <c r="A402" s="85" t="s">
        <v>15</v>
      </c>
      <c r="B402" s="96" t="s">
        <v>1097</v>
      </c>
      <c r="C402" s="35" t="s">
        <v>1098</v>
      </c>
      <c r="D402" s="39" t="s">
        <v>322</v>
      </c>
      <c r="E402" s="84">
        <v>95</v>
      </c>
    </row>
    <row r="403" spans="1:5" s="5" customFormat="1" ht="13.8" customHeight="1" x14ac:dyDescent="0.3">
      <c r="A403" s="85" t="s">
        <v>15</v>
      </c>
      <c r="B403" s="96" t="s">
        <v>1099</v>
      </c>
      <c r="C403" s="35" t="s">
        <v>1100</v>
      </c>
      <c r="D403" s="39" t="s">
        <v>322</v>
      </c>
      <c r="E403" s="84">
        <v>252</v>
      </c>
    </row>
    <row r="404" spans="1:5" s="5" customFormat="1" ht="13.8" customHeight="1" x14ac:dyDescent="0.3">
      <c r="A404" s="85" t="s">
        <v>15</v>
      </c>
      <c r="B404" s="96" t="s">
        <v>1101</v>
      </c>
      <c r="C404" s="35" t="s">
        <v>1102</v>
      </c>
      <c r="D404" s="39" t="s">
        <v>322</v>
      </c>
      <c r="E404" s="84">
        <v>6</v>
      </c>
    </row>
    <row r="405" spans="1:5" s="5" customFormat="1" ht="13.8" customHeight="1" x14ac:dyDescent="0.3">
      <c r="A405" s="85" t="s">
        <v>15</v>
      </c>
      <c r="B405" s="96" t="s">
        <v>1103</v>
      </c>
      <c r="C405" s="35" t="s">
        <v>1104</v>
      </c>
      <c r="D405" s="39" t="s">
        <v>322</v>
      </c>
      <c r="E405" s="84">
        <v>105</v>
      </c>
    </row>
    <row r="406" spans="1:5" s="5" customFormat="1" ht="13.8" customHeight="1" x14ac:dyDescent="0.3">
      <c r="A406" s="85" t="s">
        <v>15</v>
      </c>
      <c r="B406" s="96" t="s">
        <v>1105</v>
      </c>
      <c r="C406" s="35" t="s">
        <v>1106</v>
      </c>
      <c r="D406" s="39" t="s">
        <v>322</v>
      </c>
      <c r="E406" s="84">
        <v>160</v>
      </c>
    </row>
    <row r="407" spans="1:5" s="5" customFormat="1" ht="13.8" customHeight="1" x14ac:dyDescent="0.3">
      <c r="A407" s="85" t="s">
        <v>15</v>
      </c>
      <c r="B407" s="96" t="s">
        <v>1107</v>
      </c>
      <c r="C407" s="35" t="s">
        <v>1108</v>
      </c>
      <c r="D407" s="39" t="s">
        <v>322</v>
      </c>
      <c r="E407" s="84">
        <v>50</v>
      </c>
    </row>
    <row r="408" spans="1:5" s="5" customFormat="1" ht="13.8" customHeight="1" x14ac:dyDescent="0.3">
      <c r="A408" s="85" t="s">
        <v>15</v>
      </c>
      <c r="B408" s="96" t="s">
        <v>1109</v>
      </c>
      <c r="C408" s="35" t="s">
        <v>1110</v>
      </c>
      <c r="D408" s="39" t="s">
        <v>322</v>
      </c>
      <c r="E408" s="84">
        <v>50</v>
      </c>
    </row>
    <row r="409" spans="1:5" s="5" customFormat="1" ht="13.8" customHeight="1" x14ac:dyDescent="0.3">
      <c r="A409" s="85" t="s">
        <v>15</v>
      </c>
      <c r="B409" s="96" t="s">
        <v>1111</v>
      </c>
      <c r="C409" s="35" t="s">
        <v>1112</v>
      </c>
      <c r="D409" s="39" t="s">
        <v>322</v>
      </c>
      <c r="E409" s="84">
        <v>185</v>
      </c>
    </row>
    <row r="410" spans="1:5" s="5" customFormat="1" ht="13.8" customHeight="1" x14ac:dyDescent="0.3">
      <c r="A410" s="85" t="s">
        <v>15</v>
      </c>
      <c r="B410" s="96" t="s">
        <v>1113</v>
      </c>
      <c r="C410" s="35" t="s">
        <v>1114</v>
      </c>
      <c r="D410" s="39" t="s">
        <v>600</v>
      </c>
      <c r="E410" s="84">
        <v>20</v>
      </c>
    </row>
    <row r="411" spans="1:5" s="5" customFormat="1" ht="13.8" customHeight="1" x14ac:dyDescent="0.3">
      <c r="A411" s="85" t="s">
        <v>15</v>
      </c>
      <c r="B411" s="96" t="s">
        <v>1115</v>
      </c>
      <c r="C411" s="35" t="s">
        <v>1116</v>
      </c>
      <c r="D411" s="39" t="s">
        <v>754</v>
      </c>
      <c r="E411" s="84">
        <v>50</v>
      </c>
    </row>
    <row r="412" spans="1:5" s="5" customFormat="1" ht="13.8" customHeight="1" x14ac:dyDescent="0.3">
      <c r="A412" s="85" t="s">
        <v>15</v>
      </c>
      <c r="B412" s="96" t="s">
        <v>1117</v>
      </c>
      <c r="C412" s="35" t="s">
        <v>1118</v>
      </c>
      <c r="D412" s="39"/>
      <c r="E412" s="84"/>
    </row>
    <row r="413" spans="1:5" s="5" customFormat="1" ht="13.8" customHeight="1" x14ac:dyDescent="0.3">
      <c r="A413" s="85" t="s">
        <v>15</v>
      </c>
      <c r="B413" s="96" t="s">
        <v>1119</v>
      </c>
      <c r="C413" s="35" t="s">
        <v>1120</v>
      </c>
      <c r="D413" s="39" t="s">
        <v>754</v>
      </c>
      <c r="E413" s="84">
        <v>50</v>
      </c>
    </row>
    <row r="414" spans="1:5" s="5" customFormat="1" ht="13.8" customHeight="1" x14ac:dyDescent="0.3">
      <c r="A414" s="85" t="s">
        <v>15</v>
      </c>
      <c r="B414" s="96" t="s">
        <v>1121</v>
      </c>
      <c r="C414" s="35" t="s">
        <v>1122</v>
      </c>
      <c r="D414" s="39" t="s">
        <v>754</v>
      </c>
      <c r="E414" s="84">
        <v>3200</v>
      </c>
    </row>
    <row r="415" spans="1:5" s="5" customFormat="1" ht="13.8" customHeight="1" x14ac:dyDescent="0.3">
      <c r="A415" s="85" t="s">
        <v>15</v>
      </c>
      <c r="B415" s="96" t="s">
        <v>1123</v>
      </c>
      <c r="C415" s="35" t="s">
        <v>1124</v>
      </c>
      <c r="D415" s="39" t="s">
        <v>754</v>
      </c>
      <c r="E415" s="84">
        <v>3000</v>
      </c>
    </row>
    <row r="416" spans="1:5" s="5" customFormat="1" ht="13.8" customHeight="1" x14ac:dyDescent="0.3">
      <c r="A416" s="85" t="s">
        <v>15</v>
      </c>
      <c r="B416" s="96" t="s">
        <v>1125</v>
      </c>
      <c r="C416" s="35" t="s">
        <v>1126</v>
      </c>
      <c r="D416" s="39" t="s">
        <v>754</v>
      </c>
      <c r="E416" s="84">
        <v>260</v>
      </c>
    </row>
    <row r="417" spans="1:5" s="5" customFormat="1" ht="13.8" customHeight="1" x14ac:dyDescent="0.3">
      <c r="A417" s="85" t="s">
        <v>15</v>
      </c>
      <c r="B417" s="96" t="s">
        <v>1127</v>
      </c>
      <c r="C417" s="35" t="s">
        <v>1128</v>
      </c>
      <c r="D417" s="39" t="s">
        <v>754</v>
      </c>
      <c r="E417" s="84">
        <v>10</v>
      </c>
    </row>
    <row r="418" spans="1:5" s="5" customFormat="1" ht="13.8" customHeight="1" x14ac:dyDescent="0.3">
      <c r="A418" s="85" t="s">
        <v>15</v>
      </c>
      <c r="B418" s="96" t="s">
        <v>1129</v>
      </c>
      <c r="C418" s="35" t="s">
        <v>1130</v>
      </c>
      <c r="D418" s="39" t="s">
        <v>754</v>
      </c>
      <c r="E418" s="84">
        <v>10</v>
      </c>
    </row>
    <row r="419" spans="1:5" s="5" customFormat="1" ht="13.8" customHeight="1" x14ac:dyDescent="0.3">
      <c r="A419" s="85" t="s">
        <v>15</v>
      </c>
      <c r="B419" s="96" t="s">
        <v>1131</v>
      </c>
      <c r="C419" s="35" t="s">
        <v>1122</v>
      </c>
      <c r="D419" s="39" t="s">
        <v>754</v>
      </c>
      <c r="E419" s="84">
        <v>800</v>
      </c>
    </row>
    <row r="420" spans="1:5" s="5" customFormat="1" ht="13.8" customHeight="1" x14ac:dyDescent="0.3">
      <c r="A420" s="85" t="s">
        <v>15</v>
      </c>
      <c r="B420" s="96" t="s">
        <v>1132</v>
      </c>
      <c r="C420" s="35" t="s">
        <v>1128</v>
      </c>
      <c r="D420" s="39" t="s">
        <v>754</v>
      </c>
      <c r="E420" s="84">
        <v>10</v>
      </c>
    </row>
    <row r="421" spans="1:5" s="5" customFormat="1" ht="14.4" x14ac:dyDescent="0.3">
      <c r="A421" s="85" t="s">
        <v>15</v>
      </c>
      <c r="B421" s="96" t="s">
        <v>1133</v>
      </c>
      <c r="C421" s="35" t="s">
        <v>1134</v>
      </c>
      <c r="D421" s="39" t="s">
        <v>754</v>
      </c>
      <c r="E421" s="84">
        <v>15</v>
      </c>
    </row>
    <row r="422" spans="1:5" s="5" customFormat="1" ht="14.4" x14ac:dyDescent="0.3">
      <c r="A422" s="85" t="s">
        <v>15</v>
      </c>
      <c r="B422" s="96" t="s">
        <v>1135</v>
      </c>
      <c r="C422" s="35" t="s">
        <v>1136</v>
      </c>
      <c r="D422" s="39" t="s">
        <v>754</v>
      </c>
      <c r="E422" s="84">
        <v>10</v>
      </c>
    </row>
    <row r="423" spans="1:5" s="5" customFormat="1" ht="14.4" x14ac:dyDescent="0.3">
      <c r="A423" s="85" t="s">
        <v>15</v>
      </c>
      <c r="B423" s="96" t="s">
        <v>1137</v>
      </c>
      <c r="C423" s="35" t="s">
        <v>1138</v>
      </c>
      <c r="D423" s="39" t="s">
        <v>754</v>
      </c>
      <c r="E423" s="84">
        <v>10</v>
      </c>
    </row>
    <row r="424" spans="1:5" s="5" customFormat="1" ht="14.4" x14ac:dyDescent="0.3">
      <c r="A424" s="85" t="s">
        <v>15</v>
      </c>
      <c r="B424" s="96" t="s">
        <v>1139</v>
      </c>
      <c r="C424" s="35" t="s">
        <v>1140</v>
      </c>
      <c r="D424" s="39" t="s">
        <v>754</v>
      </c>
      <c r="E424" s="84">
        <v>3000</v>
      </c>
    </row>
    <row r="425" spans="1:5" s="5" customFormat="1" ht="14.4" x14ac:dyDescent="0.3">
      <c r="A425" s="85" t="s">
        <v>15</v>
      </c>
      <c r="B425" s="96" t="s">
        <v>1141</v>
      </c>
      <c r="C425" s="35" t="s">
        <v>1142</v>
      </c>
      <c r="D425" s="39" t="s">
        <v>754</v>
      </c>
      <c r="E425" s="84">
        <v>3000</v>
      </c>
    </row>
    <row r="426" spans="1:5" s="5" customFormat="1" ht="14.4" x14ac:dyDescent="0.3">
      <c r="A426" s="85" t="s">
        <v>15</v>
      </c>
      <c r="B426" s="96" t="s">
        <v>1143</v>
      </c>
      <c r="C426" s="35" t="s">
        <v>1144</v>
      </c>
      <c r="D426" s="39"/>
      <c r="E426" s="84"/>
    </row>
    <row r="427" spans="1:5" s="5" customFormat="1" ht="41.4" x14ac:dyDescent="0.3">
      <c r="A427" s="85" t="s">
        <v>15</v>
      </c>
      <c r="B427" s="96" t="s">
        <v>1145</v>
      </c>
      <c r="C427" s="35" t="s">
        <v>1146</v>
      </c>
      <c r="D427" s="39" t="s">
        <v>322</v>
      </c>
      <c r="E427" s="84">
        <v>4</v>
      </c>
    </row>
    <row r="428" spans="1:5" s="5" customFormat="1" ht="41.4" x14ac:dyDescent="0.3">
      <c r="A428" s="85" t="s">
        <v>15</v>
      </c>
      <c r="B428" s="96" t="s">
        <v>1147</v>
      </c>
      <c r="C428" s="35" t="s">
        <v>1148</v>
      </c>
      <c r="D428" s="39" t="s">
        <v>322</v>
      </c>
      <c r="E428" s="84">
        <v>60</v>
      </c>
    </row>
    <row r="429" spans="1:5" s="5" customFormat="1" ht="41.4" x14ac:dyDescent="0.3">
      <c r="A429" s="85" t="s">
        <v>15</v>
      </c>
      <c r="B429" s="96" t="s">
        <v>1149</v>
      </c>
      <c r="C429" s="35" t="s">
        <v>1150</v>
      </c>
      <c r="D429" s="39" t="s">
        <v>322</v>
      </c>
      <c r="E429" s="84">
        <v>65</v>
      </c>
    </row>
    <row r="430" spans="1:5" s="5" customFormat="1" ht="14.4" x14ac:dyDescent="0.3">
      <c r="A430" s="85" t="s">
        <v>15</v>
      </c>
      <c r="B430" s="96" t="s">
        <v>1151</v>
      </c>
      <c r="C430" s="35" t="s">
        <v>1152</v>
      </c>
      <c r="D430" s="39" t="s">
        <v>322</v>
      </c>
      <c r="E430" s="84">
        <v>1</v>
      </c>
    </row>
    <row r="431" spans="1:5" s="5" customFormat="1" ht="14.4" x14ac:dyDescent="0.3">
      <c r="A431" s="85" t="s">
        <v>15</v>
      </c>
      <c r="B431" s="96" t="s">
        <v>1153</v>
      </c>
      <c r="C431" s="35" t="s">
        <v>1154</v>
      </c>
      <c r="D431" s="39" t="s">
        <v>322</v>
      </c>
      <c r="E431" s="84">
        <v>300</v>
      </c>
    </row>
    <row r="432" spans="1:5" s="5" customFormat="1" ht="14.4" x14ac:dyDescent="0.3">
      <c r="A432" s="85" t="s">
        <v>15</v>
      </c>
      <c r="B432" s="96" t="s">
        <v>1155</v>
      </c>
      <c r="C432" s="35" t="s">
        <v>1156</v>
      </c>
      <c r="D432" s="39" t="s">
        <v>754</v>
      </c>
      <c r="E432" s="84">
        <v>180</v>
      </c>
    </row>
    <row r="433" spans="1:5" s="5" customFormat="1" ht="14.4" x14ac:dyDescent="0.3">
      <c r="A433" s="85" t="s">
        <v>15</v>
      </c>
      <c r="B433" s="96" t="s">
        <v>1157</v>
      </c>
      <c r="C433" s="35" t="s">
        <v>1158</v>
      </c>
      <c r="D433" s="39" t="s">
        <v>754</v>
      </c>
      <c r="E433" s="84">
        <v>130</v>
      </c>
    </row>
    <row r="434" spans="1:5" s="5" customFormat="1" ht="14.4" x14ac:dyDescent="0.3">
      <c r="A434" s="85" t="s">
        <v>15</v>
      </c>
      <c r="B434" s="96" t="s">
        <v>1159</v>
      </c>
      <c r="C434" s="35" t="s">
        <v>1160</v>
      </c>
      <c r="D434" s="39" t="s">
        <v>322</v>
      </c>
      <c r="E434" s="84">
        <v>4</v>
      </c>
    </row>
    <row r="435" spans="1:5" s="5" customFormat="1" ht="14.4" x14ac:dyDescent="0.3">
      <c r="A435" s="85" t="s">
        <v>15</v>
      </c>
      <c r="B435" s="96" t="s">
        <v>1161</v>
      </c>
      <c r="C435" s="35" t="s">
        <v>1162</v>
      </c>
      <c r="D435" s="39" t="s">
        <v>322</v>
      </c>
      <c r="E435" s="84">
        <v>3</v>
      </c>
    </row>
    <row r="436" spans="1:5" s="5" customFormat="1" ht="14.4" x14ac:dyDescent="0.3">
      <c r="A436" s="49" t="s">
        <v>15</v>
      </c>
      <c r="B436" s="50" t="s">
        <v>375</v>
      </c>
      <c r="C436" s="28" t="s">
        <v>197</v>
      </c>
      <c r="D436" s="54" t="s">
        <v>26</v>
      </c>
      <c r="E436" s="69">
        <v>1</v>
      </c>
    </row>
    <row r="437" spans="1:5" s="5" customFormat="1" ht="14.4" x14ac:dyDescent="0.3">
      <c r="A437" s="85" t="s">
        <v>15</v>
      </c>
      <c r="B437" s="96" t="s">
        <v>376</v>
      </c>
      <c r="C437" s="35" t="s">
        <v>1090</v>
      </c>
      <c r="D437" s="39" t="s">
        <v>322</v>
      </c>
      <c r="E437" s="84">
        <v>1</v>
      </c>
    </row>
    <row r="438" spans="1:5" s="5" customFormat="1" ht="14.4" x14ac:dyDescent="0.3">
      <c r="A438" s="85" t="s">
        <v>15</v>
      </c>
      <c r="B438" s="96" t="s">
        <v>380</v>
      </c>
      <c r="C438" s="35" t="s">
        <v>1092</v>
      </c>
      <c r="D438" s="39" t="s">
        <v>1163</v>
      </c>
      <c r="E438" s="84">
        <v>2</v>
      </c>
    </row>
    <row r="439" spans="1:5" s="5" customFormat="1" ht="14.4" x14ac:dyDescent="0.3">
      <c r="A439" s="85" t="s">
        <v>15</v>
      </c>
      <c r="B439" s="96" t="s">
        <v>382</v>
      </c>
      <c r="C439" s="35" t="s">
        <v>1164</v>
      </c>
      <c r="D439" s="39" t="s">
        <v>322</v>
      </c>
      <c r="E439" s="84">
        <v>7</v>
      </c>
    </row>
    <row r="440" spans="1:5" s="5" customFormat="1" ht="14.4" x14ac:dyDescent="0.3">
      <c r="A440" s="85" t="s">
        <v>15</v>
      </c>
      <c r="B440" s="96" t="s">
        <v>498</v>
      </c>
      <c r="C440" s="35" t="s">
        <v>1165</v>
      </c>
      <c r="D440" s="39" t="s">
        <v>322</v>
      </c>
      <c r="E440" s="84">
        <v>3</v>
      </c>
    </row>
    <row r="441" spans="1:5" s="5" customFormat="1" ht="27.6" x14ac:dyDescent="0.3">
      <c r="A441" s="85" t="s">
        <v>15</v>
      </c>
      <c r="B441" s="96" t="s">
        <v>500</v>
      </c>
      <c r="C441" s="35" t="s">
        <v>1166</v>
      </c>
      <c r="D441" s="39" t="s">
        <v>322</v>
      </c>
      <c r="E441" s="84">
        <v>4</v>
      </c>
    </row>
    <row r="442" spans="1:5" s="5" customFormat="1" ht="27.6" x14ac:dyDescent="0.3">
      <c r="A442" s="85" t="s">
        <v>15</v>
      </c>
      <c r="B442" s="96" t="s">
        <v>502</v>
      </c>
      <c r="C442" s="35" t="s">
        <v>1096</v>
      </c>
      <c r="D442" s="39" t="s">
        <v>322</v>
      </c>
      <c r="E442" s="84">
        <v>47</v>
      </c>
    </row>
    <row r="443" spans="1:5" s="5" customFormat="1" ht="27.6" x14ac:dyDescent="0.3">
      <c r="A443" s="85" t="s">
        <v>15</v>
      </c>
      <c r="B443" s="96" t="s">
        <v>504</v>
      </c>
      <c r="C443" s="35" t="s">
        <v>1098</v>
      </c>
      <c r="D443" s="39" t="s">
        <v>322</v>
      </c>
      <c r="E443" s="84">
        <v>5</v>
      </c>
    </row>
    <row r="444" spans="1:5" s="5" customFormat="1" ht="14.4" x14ac:dyDescent="0.3">
      <c r="A444" s="85" t="s">
        <v>15</v>
      </c>
      <c r="B444" s="96" t="s">
        <v>505</v>
      </c>
      <c r="C444" s="35" t="s">
        <v>1167</v>
      </c>
      <c r="D444" s="39" t="s">
        <v>322</v>
      </c>
      <c r="E444" s="84">
        <v>35</v>
      </c>
    </row>
    <row r="445" spans="1:5" s="5" customFormat="1" ht="27.6" x14ac:dyDescent="0.3">
      <c r="A445" s="85" t="s">
        <v>15</v>
      </c>
      <c r="B445" s="96" t="s">
        <v>506</v>
      </c>
      <c r="C445" s="35" t="s">
        <v>1100</v>
      </c>
      <c r="D445" s="39" t="s">
        <v>322</v>
      </c>
      <c r="E445" s="84">
        <v>75</v>
      </c>
    </row>
    <row r="446" spans="1:5" s="5" customFormat="1" ht="27.6" x14ac:dyDescent="0.3">
      <c r="A446" s="85" t="s">
        <v>15</v>
      </c>
      <c r="B446" s="96" t="s">
        <v>1168</v>
      </c>
      <c r="C446" s="35" t="s">
        <v>1102</v>
      </c>
      <c r="D446" s="39" t="s">
        <v>322</v>
      </c>
      <c r="E446" s="84">
        <v>3</v>
      </c>
    </row>
    <row r="447" spans="1:5" s="5" customFormat="1" ht="14.4" x14ac:dyDescent="0.3">
      <c r="A447" s="85" t="s">
        <v>15</v>
      </c>
      <c r="B447" s="96" t="s">
        <v>1169</v>
      </c>
      <c r="C447" s="35" t="s">
        <v>1170</v>
      </c>
      <c r="D447" s="39" t="s">
        <v>322</v>
      </c>
      <c r="E447" s="84">
        <v>12</v>
      </c>
    </row>
    <row r="448" spans="1:5" s="5" customFormat="1" ht="27.6" x14ac:dyDescent="0.3">
      <c r="A448" s="85" t="s">
        <v>15</v>
      </c>
      <c r="B448" s="96" t="s">
        <v>1171</v>
      </c>
      <c r="C448" s="35" t="s">
        <v>1104</v>
      </c>
      <c r="D448" s="39" t="s">
        <v>322</v>
      </c>
      <c r="E448" s="84">
        <v>59</v>
      </c>
    </row>
    <row r="449" spans="1:5" s="5" customFormat="1" ht="14.4" x14ac:dyDescent="0.3">
      <c r="A449" s="85" t="s">
        <v>15</v>
      </c>
      <c r="B449" s="96" t="s">
        <v>1172</v>
      </c>
      <c r="C449" s="35" t="s">
        <v>1173</v>
      </c>
      <c r="D449" s="39" t="s">
        <v>322</v>
      </c>
      <c r="E449" s="84">
        <v>80</v>
      </c>
    </row>
    <row r="450" spans="1:5" s="5" customFormat="1" ht="14.4" x14ac:dyDescent="0.3">
      <c r="A450" s="85" t="s">
        <v>15</v>
      </c>
      <c r="B450" s="96" t="s">
        <v>1174</v>
      </c>
      <c r="C450" s="35" t="s">
        <v>1110</v>
      </c>
      <c r="D450" s="39" t="s">
        <v>322</v>
      </c>
      <c r="E450" s="84">
        <v>25</v>
      </c>
    </row>
    <row r="451" spans="1:5" s="5" customFormat="1" ht="14.4" x14ac:dyDescent="0.3">
      <c r="A451" s="85" t="s">
        <v>15</v>
      </c>
      <c r="B451" s="96" t="s">
        <v>1175</v>
      </c>
      <c r="C451" s="35" t="s">
        <v>1173</v>
      </c>
      <c r="D451" s="39" t="s">
        <v>322</v>
      </c>
      <c r="E451" s="84">
        <v>33</v>
      </c>
    </row>
    <row r="452" spans="1:5" s="5" customFormat="1" ht="14.4" x14ac:dyDescent="0.3">
      <c r="A452" s="85" t="s">
        <v>15</v>
      </c>
      <c r="B452" s="96" t="s">
        <v>1176</v>
      </c>
      <c r="C452" s="35" t="s">
        <v>1112</v>
      </c>
      <c r="D452" s="39" t="s">
        <v>322</v>
      </c>
      <c r="E452" s="84">
        <v>76</v>
      </c>
    </row>
    <row r="453" spans="1:5" s="5" customFormat="1" ht="14.4" x14ac:dyDescent="0.3">
      <c r="A453" s="85" t="s">
        <v>15</v>
      </c>
      <c r="B453" s="96" t="s">
        <v>1177</v>
      </c>
      <c r="C453" s="35" t="s">
        <v>1114</v>
      </c>
      <c r="D453" s="39" t="s">
        <v>1178</v>
      </c>
      <c r="E453" s="84">
        <v>15</v>
      </c>
    </row>
    <row r="454" spans="1:5" s="5" customFormat="1" ht="14.4" x14ac:dyDescent="0.3">
      <c r="A454" s="85" t="s">
        <v>15</v>
      </c>
      <c r="B454" s="96" t="s">
        <v>1179</v>
      </c>
      <c r="C454" s="35" t="s">
        <v>1162</v>
      </c>
      <c r="D454" s="39" t="s">
        <v>322</v>
      </c>
      <c r="E454" s="84">
        <v>3</v>
      </c>
    </row>
    <row r="455" spans="1:5" s="5" customFormat="1" ht="27.6" x14ac:dyDescent="0.3">
      <c r="A455" s="85" t="s">
        <v>15</v>
      </c>
      <c r="B455" s="96" t="s">
        <v>1180</v>
      </c>
      <c r="C455" s="35" t="s">
        <v>1116</v>
      </c>
      <c r="D455" s="39" t="s">
        <v>754</v>
      </c>
      <c r="E455" s="84">
        <v>50</v>
      </c>
    </row>
    <row r="456" spans="1:5" s="5" customFormat="1" ht="28.8" x14ac:dyDescent="0.3">
      <c r="A456" s="85" t="s">
        <v>15</v>
      </c>
      <c r="B456" s="97" t="s">
        <v>1181</v>
      </c>
      <c r="C456" s="31" t="s">
        <v>1118</v>
      </c>
      <c r="D456" s="54" t="s">
        <v>26</v>
      </c>
      <c r="E456" s="98">
        <v>1</v>
      </c>
    </row>
    <row r="457" spans="1:5" s="5" customFormat="1" ht="14.4" x14ac:dyDescent="0.3">
      <c r="A457" s="85" t="s">
        <v>15</v>
      </c>
      <c r="B457" s="96" t="s">
        <v>1182</v>
      </c>
      <c r="C457" s="35" t="s">
        <v>1122</v>
      </c>
      <c r="D457" s="39" t="s">
        <v>754</v>
      </c>
      <c r="E457" s="84">
        <v>2700</v>
      </c>
    </row>
    <row r="458" spans="1:5" s="5" customFormat="1" ht="14.4" x14ac:dyDescent="0.3">
      <c r="A458" s="85" t="s">
        <v>15</v>
      </c>
      <c r="B458" s="96" t="s">
        <v>1183</v>
      </c>
      <c r="C458" s="35" t="s">
        <v>1124</v>
      </c>
      <c r="D458" s="39" t="s">
        <v>754</v>
      </c>
      <c r="E458" s="84">
        <v>2500</v>
      </c>
    </row>
    <row r="459" spans="1:5" s="5" customFormat="1" ht="14.4" x14ac:dyDescent="0.3">
      <c r="A459" s="85" t="s">
        <v>15</v>
      </c>
      <c r="B459" s="96" t="s">
        <v>1184</v>
      </c>
      <c r="C459" s="35" t="s">
        <v>1126</v>
      </c>
      <c r="D459" s="39" t="s">
        <v>754</v>
      </c>
      <c r="E459" s="84">
        <v>120</v>
      </c>
    </row>
    <row r="460" spans="1:5" s="5" customFormat="1" ht="14.4" x14ac:dyDescent="0.3">
      <c r="A460" s="85" t="s">
        <v>15</v>
      </c>
      <c r="B460" s="96" t="s">
        <v>1185</v>
      </c>
      <c r="C460" s="35" t="s">
        <v>1136</v>
      </c>
      <c r="D460" s="39" t="s">
        <v>754</v>
      </c>
      <c r="E460" s="84">
        <v>125</v>
      </c>
    </row>
    <row r="461" spans="1:5" s="5" customFormat="1" ht="14.4" x14ac:dyDescent="0.3">
      <c r="A461" s="85" t="s">
        <v>15</v>
      </c>
      <c r="B461" s="96" t="s">
        <v>1186</v>
      </c>
      <c r="C461" s="35" t="s">
        <v>1128</v>
      </c>
      <c r="D461" s="39" t="s">
        <v>754</v>
      </c>
      <c r="E461" s="84">
        <v>10</v>
      </c>
    </row>
    <row r="462" spans="1:5" s="5" customFormat="1" ht="14.4" x14ac:dyDescent="0.3">
      <c r="A462" s="85" t="s">
        <v>15</v>
      </c>
      <c r="B462" s="96" t="s">
        <v>1187</v>
      </c>
      <c r="C462" s="35" t="s">
        <v>1122</v>
      </c>
      <c r="D462" s="39" t="s">
        <v>754</v>
      </c>
      <c r="E462" s="84">
        <v>800</v>
      </c>
    </row>
    <row r="463" spans="1:5" s="5" customFormat="1" ht="14.4" x14ac:dyDescent="0.3">
      <c r="A463" s="85" t="s">
        <v>15</v>
      </c>
      <c r="B463" s="96" t="s">
        <v>1188</v>
      </c>
      <c r="C463" s="35" t="s">
        <v>1120</v>
      </c>
      <c r="D463" s="39" t="s">
        <v>754</v>
      </c>
      <c r="E463" s="84">
        <v>100</v>
      </c>
    </row>
    <row r="464" spans="1:5" s="5" customFormat="1" ht="14.4" x14ac:dyDescent="0.3">
      <c r="A464" s="85" t="s">
        <v>15</v>
      </c>
      <c r="B464" s="96" t="s">
        <v>1189</v>
      </c>
      <c r="C464" s="35" t="s">
        <v>1190</v>
      </c>
      <c r="D464" s="39" t="s">
        <v>754</v>
      </c>
      <c r="E464" s="84">
        <v>40</v>
      </c>
    </row>
    <row r="465" spans="1:5" s="5" customFormat="1" ht="14.4" x14ac:dyDescent="0.3">
      <c r="A465" s="85" t="s">
        <v>15</v>
      </c>
      <c r="B465" s="96" t="s">
        <v>1191</v>
      </c>
      <c r="C465" s="35" t="s">
        <v>1192</v>
      </c>
      <c r="D465" s="39" t="s">
        <v>754</v>
      </c>
      <c r="E465" s="84">
        <v>330</v>
      </c>
    </row>
    <row r="466" spans="1:5" s="5" customFormat="1" ht="14.4" x14ac:dyDescent="0.3">
      <c r="A466" s="85" t="s">
        <v>15</v>
      </c>
      <c r="B466" s="96" t="s">
        <v>1193</v>
      </c>
      <c r="C466" s="35" t="s">
        <v>1190</v>
      </c>
      <c r="D466" s="39" t="s">
        <v>754</v>
      </c>
      <c r="E466" s="84">
        <v>20</v>
      </c>
    </row>
    <row r="467" spans="1:5" s="5" customFormat="1" ht="14.4" x14ac:dyDescent="0.3">
      <c r="A467" s="85" t="s">
        <v>15</v>
      </c>
      <c r="B467" s="96" t="s">
        <v>1194</v>
      </c>
      <c r="C467" s="35" t="s">
        <v>1195</v>
      </c>
      <c r="D467" s="39" t="s">
        <v>754</v>
      </c>
      <c r="E467" s="84">
        <v>5</v>
      </c>
    </row>
    <row r="468" spans="1:5" s="5" customFormat="1" ht="14.4" x14ac:dyDescent="0.3">
      <c r="A468" s="85" t="s">
        <v>15</v>
      </c>
      <c r="B468" s="96" t="s">
        <v>1196</v>
      </c>
      <c r="C468" s="35" t="s">
        <v>1197</v>
      </c>
      <c r="D468" s="39" t="s">
        <v>754</v>
      </c>
      <c r="E468" s="84">
        <v>600</v>
      </c>
    </row>
    <row r="469" spans="1:5" s="5" customFormat="1" ht="14.4" x14ac:dyDescent="0.3">
      <c r="A469" s="85" t="s">
        <v>15</v>
      </c>
      <c r="B469" s="96" t="s">
        <v>1198</v>
      </c>
      <c r="C469" s="35" t="s">
        <v>1199</v>
      </c>
      <c r="D469" s="39" t="s">
        <v>754</v>
      </c>
      <c r="E469" s="84">
        <v>3000</v>
      </c>
    </row>
    <row r="470" spans="1:5" s="5" customFormat="1" ht="14.4" x14ac:dyDescent="0.3">
      <c r="A470" s="85" t="s">
        <v>15</v>
      </c>
      <c r="B470" s="96" t="s">
        <v>1200</v>
      </c>
      <c r="C470" s="35" t="s">
        <v>1201</v>
      </c>
      <c r="D470" s="39" t="s">
        <v>754</v>
      </c>
      <c r="E470" s="84">
        <v>3000</v>
      </c>
    </row>
    <row r="471" spans="1:5" s="5" customFormat="1" ht="14.4" x14ac:dyDescent="0.3">
      <c r="A471" s="85" t="s">
        <v>15</v>
      </c>
      <c r="B471" s="96" t="s">
        <v>1202</v>
      </c>
      <c r="C471" s="35" t="s">
        <v>1152</v>
      </c>
      <c r="D471" s="39" t="s">
        <v>322</v>
      </c>
      <c r="E471" s="84">
        <v>1</v>
      </c>
    </row>
    <row r="472" spans="1:5" s="5" customFormat="1" ht="14.4" x14ac:dyDescent="0.3">
      <c r="A472" s="85" t="s">
        <v>15</v>
      </c>
      <c r="B472" s="96" t="s">
        <v>1203</v>
      </c>
      <c r="C472" s="35" t="s">
        <v>1154</v>
      </c>
      <c r="D472" s="39" t="s">
        <v>754</v>
      </c>
      <c r="E472" s="84">
        <v>270</v>
      </c>
    </row>
    <row r="473" spans="1:5" s="5" customFormat="1" ht="14.4" x14ac:dyDescent="0.3">
      <c r="A473" s="85" t="s">
        <v>15</v>
      </c>
      <c r="B473" s="96" t="s">
        <v>1204</v>
      </c>
      <c r="C473" s="35" t="s">
        <v>1156</v>
      </c>
      <c r="D473" s="39" t="s">
        <v>754</v>
      </c>
      <c r="E473" s="84">
        <v>250</v>
      </c>
    </row>
    <row r="474" spans="1:5" s="5" customFormat="1" ht="14.4" x14ac:dyDescent="0.3">
      <c r="A474" s="85" t="s">
        <v>15</v>
      </c>
      <c r="B474" s="96" t="s">
        <v>1205</v>
      </c>
      <c r="C474" s="35" t="s">
        <v>1158</v>
      </c>
      <c r="D474" s="39" t="s">
        <v>754</v>
      </c>
      <c r="E474" s="84">
        <v>280</v>
      </c>
    </row>
    <row r="475" spans="1:5" s="5" customFormat="1" ht="14.4" x14ac:dyDescent="0.3">
      <c r="A475" s="85" t="s">
        <v>15</v>
      </c>
      <c r="B475" s="96" t="s">
        <v>1206</v>
      </c>
      <c r="C475" s="35" t="s">
        <v>1160</v>
      </c>
      <c r="D475" s="39" t="s">
        <v>754</v>
      </c>
      <c r="E475" s="84">
        <v>4</v>
      </c>
    </row>
    <row r="476" spans="1:5" s="5" customFormat="1" ht="14.4" x14ac:dyDescent="0.3">
      <c r="A476" s="85" t="s">
        <v>15</v>
      </c>
      <c r="B476" s="96" t="s">
        <v>1207</v>
      </c>
      <c r="C476" s="35" t="s">
        <v>1162</v>
      </c>
      <c r="D476" s="39" t="s">
        <v>322</v>
      </c>
      <c r="E476" s="84">
        <v>3</v>
      </c>
    </row>
    <row r="477" spans="1:5" s="5" customFormat="1" ht="14.4" x14ac:dyDescent="0.3">
      <c r="A477" s="85" t="s">
        <v>15</v>
      </c>
      <c r="B477" s="96" t="s">
        <v>1208</v>
      </c>
      <c r="C477" s="35" t="s">
        <v>1209</v>
      </c>
      <c r="D477" s="39" t="s">
        <v>754</v>
      </c>
      <c r="E477" s="84">
        <v>3000</v>
      </c>
    </row>
    <row r="478" spans="1:5" s="5" customFormat="1" ht="14.4" x14ac:dyDescent="0.3">
      <c r="A478" s="85" t="s">
        <v>15</v>
      </c>
      <c r="B478" s="96" t="s">
        <v>1210</v>
      </c>
      <c r="C478" s="35" t="s">
        <v>1211</v>
      </c>
      <c r="D478" s="39" t="s">
        <v>754</v>
      </c>
      <c r="E478" s="84">
        <v>120</v>
      </c>
    </row>
    <row r="479" spans="1:5" s="5" customFormat="1" ht="16.2" customHeight="1" x14ac:dyDescent="0.3">
      <c r="A479" s="99"/>
      <c r="B479" s="96"/>
      <c r="C479" s="100"/>
      <c r="D479" s="101"/>
      <c r="E479" s="101"/>
    </row>
    <row r="480" spans="1:5" s="5" customFormat="1" ht="22.8" customHeight="1" x14ac:dyDescent="0.3">
      <c r="A480" s="26" t="s">
        <v>15</v>
      </c>
      <c r="B480" s="27" t="s">
        <v>16</v>
      </c>
      <c r="C480" s="31" t="s">
        <v>1213</v>
      </c>
      <c r="D480" s="39"/>
      <c r="E480" s="102"/>
    </row>
    <row r="481" spans="1:5" s="5" customFormat="1" ht="22.8" customHeight="1" x14ac:dyDescent="0.3">
      <c r="A481" s="26"/>
      <c r="B481" s="27" t="s">
        <v>376</v>
      </c>
      <c r="C481" s="31" t="s">
        <v>1214</v>
      </c>
      <c r="D481" s="54" t="s">
        <v>26</v>
      </c>
      <c r="E481" s="103">
        <v>1</v>
      </c>
    </row>
    <row r="482" spans="1:5" s="5" customFormat="1" ht="30.6" customHeight="1" x14ac:dyDescent="0.3">
      <c r="A482" s="104" t="s">
        <v>15</v>
      </c>
      <c r="B482" s="27" t="s">
        <v>376</v>
      </c>
      <c r="C482" s="31" t="s">
        <v>362</v>
      </c>
      <c r="D482" s="54"/>
      <c r="E482" s="29"/>
    </row>
    <row r="483" spans="1:5" s="5" customFormat="1" ht="43.2" customHeight="1" x14ac:dyDescent="0.3">
      <c r="A483" s="61" t="s">
        <v>15</v>
      </c>
      <c r="B483" s="34" t="s">
        <v>377</v>
      </c>
      <c r="C483" s="38" t="s">
        <v>363</v>
      </c>
      <c r="D483" s="36" t="s">
        <v>66</v>
      </c>
      <c r="E483" s="105">
        <v>941.76</v>
      </c>
    </row>
    <row r="484" spans="1:5" s="5" customFormat="1" ht="43.2" customHeight="1" x14ac:dyDescent="0.3">
      <c r="A484" s="61" t="s">
        <v>15</v>
      </c>
      <c r="B484" s="34" t="s">
        <v>378</v>
      </c>
      <c r="C484" s="38" t="s">
        <v>364</v>
      </c>
      <c r="D484" s="36" t="s">
        <v>66</v>
      </c>
      <c r="E484" s="105">
        <v>197.57</v>
      </c>
    </row>
    <row r="485" spans="1:5" s="5" customFormat="1" ht="43.2" customHeight="1" x14ac:dyDescent="0.3">
      <c r="A485" s="61" t="s">
        <v>15</v>
      </c>
      <c r="B485" s="34" t="s">
        <v>379</v>
      </c>
      <c r="C485" s="38" t="s">
        <v>365</v>
      </c>
      <c r="D485" s="36" t="s">
        <v>66</v>
      </c>
      <c r="E485" s="105">
        <v>3282.67</v>
      </c>
    </row>
    <row r="486" spans="1:5" s="5" customFormat="1" ht="31.8" customHeight="1" x14ac:dyDescent="0.3">
      <c r="A486" s="104" t="s">
        <v>15</v>
      </c>
      <c r="B486" s="27" t="s">
        <v>380</v>
      </c>
      <c r="C486" s="52" t="s">
        <v>368</v>
      </c>
      <c r="D486" s="54"/>
      <c r="E486" s="29"/>
    </row>
    <row r="487" spans="1:5" s="5" customFormat="1" ht="41.4" customHeight="1" x14ac:dyDescent="0.3">
      <c r="A487" s="61" t="s">
        <v>15</v>
      </c>
      <c r="B487" s="34" t="s">
        <v>381</v>
      </c>
      <c r="C487" s="38" t="s">
        <v>369</v>
      </c>
      <c r="D487" s="36" t="s">
        <v>66</v>
      </c>
      <c r="E487" s="105">
        <v>2156.7199999999998</v>
      </c>
    </row>
    <row r="488" spans="1:5" s="5" customFormat="1" ht="31.8" customHeight="1" x14ac:dyDescent="0.3">
      <c r="A488" s="104" t="s">
        <v>15</v>
      </c>
      <c r="B488" s="27" t="s">
        <v>382</v>
      </c>
      <c r="C488" s="52" t="s">
        <v>366</v>
      </c>
      <c r="D488" s="54"/>
      <c r="E488" s="29"/>
    </row>
    <row r="489" spans="1:5" s="5" customFormat="1" ht="42" customHeight="1" x14ac:dyDescent="0.3">
      <c r="A489" s="61" t="s">
        <v>15</v>
      </c>
      <c r="B489" s="34" t="s">
        <v>383</v>
      </c>
      <c r="C489" s="38" t="s">
        <v>367</v>
      </c>
      <c r="D489" s="36" t="s">
        <v>66</v>
      </c>
      <c r="E489" s="105">
        <v>142.66</v>
      </c>
    </row>
    <row r="490" spans="1:5" s="5" customFormat="1" ht="16.2" customHeight="1" x14ac:dyDescent="0.3">
      <c r="A490" s="106" t="s">
        <v>15</v>
      </c>
      <c r="B490" s="50" t="s">
        <v>16</v>
      </c>
      <c r="C490" s="52" t="s">
        <v>344</v>
      </c>
      <c r="D490" s="54" t="s">
        <v>26</v>
      </c>
      <c r="E490" s="103">
        <v>1</v>
      </c>
    </row>
    <row r="491" spans="1:5" s="5" customFormat="1" ht="41.4" x14ac:dyDescent="0.3">
      <c r="A491" s="104" t="s">
        <v>15</v>
      </c>
      <c r="B491" s="27" t="s">
        <v>198</v>
      </c>
      <c r="C491" s="38" t="s">
        <v>342</v>
      </c>
      <c r="D491" s="36" t="s">
        <v>66</v>
      </c>
      <c r="E491" s="105">
        <v>839.41</v>
      </c>
    </row>
    <row r="492" spans="1:5" s="5" customFormat="1" ht="27.6" x14ac:dyDescent="0.3">
      <c r="A492" s="61" t="s">
        <v>15</v>
      </c>
      <c r="B492" s="34" t="s">
        <v>199</v>
      </c>
      <c r="C492" s="38" t="s">
        <v>384</v>
      </c>
      <c r="D492" s="36" t="s">
        <v>66</v>
      </c>
      <c r="E492" s="107">
        <f>259.15+52.57</f>
        <v>311.71999999999997</v>
      </c>
    </row>
    <row r="493" spans="1:5" s="5" customFormat="1" ht="27.6" x14ac:dyDescent="0.3">
      <c r="A493" s="61" t="s">
        <v>15</v>
      </c>
      <c r="B493" s="34" t="s">
        <v>200</v>
      </c>
      <c r="C493" s="38" t="s">
        <v>385</v>
      </c>
      <c r="D493" s="36" t="s">
        <v>66</v>
      </c>
      <c r="E493" s="105">
        <f>427.84</f>
        <v>427.84</v>
      </c>
    </row>
    <row r="494" spans="1:5" s="5" customFormat="1" ht="14.4" x14ac:dyDescent="0.3">
      <c r="A494" s="61" t="s">
        <v>15</v>
      </c>
      <c r="B494" s="34" t="s">
        <v>201</v>
      </c>
      <c r="C494" s="38" t="s">
        <v>386</v>
      </c>
      <c r="D494" s="36" t="s">
        <v>66</v>
      </c>
      <c r="E494" s="105">
        <v>27.77</v>
      </c>
    </row>
    <row r="495" spans="1:5" s="5" customFormat="1" ht="14.4" x14ac:dyDescent="0.3">
      <c r="A495" s="61" t="s">
        <v>15</v>
      </c>
      <c r="B495" s="34" t="s">
        <v>202</v>
      </c>
      <c r="C495" s="38" t="s">
        <v>387</v>
      </c>
      <c r="D495" s="36" t="s">
        <v>66</v>
      </c>
      <c r="E495" s="105">
        <v>6.65</v>
      </c>
    </row>
    <row r="496" spans="1:5" s="5" customFormat="1" ht="27.6" x14ac:dyDescent="0.3">
      <c r="A496" s="61" t="s">
        <v>15</v>
      </c>
      <c r="B496" s="34" t="s">
        <v>203</v>
      </c>
      <c r="C496" s="38" t="s">
        <v>388</v>
      </c>
      <c r="D496" s="36" t="s">
        <v>66</v>
      </c>
      <c r="E496" s="105">
        <f>17.2+30.95+5.21</f>
        <v>53.36</v>
      </c>
    </row>
    <row r="497" spans="1:5" s="5" customFormat="1" ht="14.4" x14ac:dyDescent="0.3">
      <c r="A497" s="61" t="s">
        <v>15</v>
      </c>
      <c r="B497" s="34" t="s">
        <v>204</v>
      </c>
      <c r="C497" s="38" t="s">
        <v>389</v>
      </c>
      <c r="D497" s="36" t="s">
        <v>66</v>
      </c>
      <c r="E497" s="105">
        <v>6.95</v>
      </c>
    </row>
    <row r="498" spans="1:5" s="5" customFormat="1" ht="27.6" x14ac:dyDescent="0.3">
      <c r="A498" s="61" t="s">
        <v>15</v>
      </c>
      <c r="B498" s="34" t="s">
        <v>205</v>
      </c>
      <c r="C498" s="38" t="s">
        <v>390</v>
      </c>
      <c r="D498" s="36" t="s">
        <v>66</v>
      </c>
      <c r="E498" s="105">
        <f>152.86+4.02+129.56+4.02</f>
        <v>290.46000000000004</v>
      </c>
    </row>
    <row r="499" spans="1:5" s="5" customFormat="1" ht="27.6" x14ac:dyDescent="0.3">
      <c r="A499" s="61" t="s">
        <v>15</v>
      </c>
      <c r="B499" s="34" t="s">
        <v>391</v>
      </c>
      <c r="C499" s="38" t="s">
        <v>392</v>
      </c>
      <c r="D499" s="36" t="s">
        <v>66</v>
      </c>
      <c r="E499" s="105">
        <f>578.96</f>
        <v>578.96</v>
      </c>
    </row>
    <row r="500" spans="1:5" s="5" customFormat="1" ht="14.4" x14ac:dyDescent="0.3">
      <c r="A500" s="61" t="s">
        <v>15</v>
      </c>
      <c r="B500" s="34" t="s">
        <v>393</v>
      </c>
      <c r="C500" s="38" t="s">
        <v>394</v>
      </c>
      <c r="D500" s="36" t="s">
        <v>66</v>
      </c>
      <c r="E500" s="105">
        <v>52.57</v>
      </c>
    </row>
    <row r="501" spans="1:5" s="5" customFormat="1" ht="14.4" x14ac:dyDescent="0.3">
      <c r="A501" s="61" t="s">
        <v>15</v>
      </c>
      <c r="B501" s="34" t="s">
        <v>395</v>
      </c>
      <c r="C501" s="38" t="s">
        <v>396</v>
      </c>
      <c r="D501" s="36" t="s">
        <v>66</v>
      </c>
      <c r="E501" s="105">
        <f>56.3+97.46</f>
        <v>153.76</v>
      </c>
    </row>
    <row r="502" spans="1:5" s="5" customFormat="1" ht="27.6" x14ac:dyDescent="0.3">
      <c r="A502" s="61" t="s">
        <v>15</v>
      </c>
      <c r="B502" s="34" t="s">
        <v>397</v>
      </c>
      <c r="C502" s="38" t="s">
        <v>1217</v>
      </c>
      <c r="D502" s="36" t="s">
        <v>66</v>
      </c>
      <c r="E502" s="105">
        <f>52.57+56.3+97.46</f>
        <v>206.32999999999998</v>
      </c>
    </row>
    <row r="503" spans="1:5" s="5" customFormat="1" ht="27.6" x14ac:dyDescent="0.3">
      <c r="A503" s="61" t="s">
        <v>15</v>
      </c>
      <c r="B503" s="34" t="s">
        <v>398</v>
      </c>
      <c r="C503" s="38" t="s">
        <v>357</v>
      </c>
      <c r="D503" s="36" t="s">
        <v>66</v>
      </c>
      <c r="E503" s="105">
        <f>52.57+6.95+4.02+56.3+4.02+97.46</f>
        <v>221.32</v>
      </c>
    </row>
    <row r="504" spans="1:5" s="5" customFormat="1" ht="27.6" x14ac:dyDescent="0.3">
      <c r="A504" s="61" t="s">
        <v>15</v>
      </c>
      <c r="B504" s="34" t="s">
        <v>399</v>
      </c>
      <c r="C504" s="38" t="s">
        <v>354</v>
      </c>
      <c r="D504" s="36" t="s">
        <v>66</v>
      </c>
      <c r="E504" s="105">
        <f>259.15+152.86+129.26</f>
        <v>541.27</v>
      </c>
    </row>
    <row r="505" spans="1:5" s="5" customFormat="1" ht="27.6" x14ac:dyDescent="0.3">
      <c r="A505" s="61" t="s">
        <v>15</v>
      </c>
      <c r="B505" s="34" t="s">
        <v>400</v>
      </c>
      <c r="C505" s="38" t="s">
        <v>401</v>
      </c>
      <c r="D505" s="36" t="s">
        <v>66</v>
      </c>
      <c r="E505" s="105">
        <f>52.57+6.95+4.02+56.3+4.02+97.46</f>
        <v>221.32</v>
      </c>
    </row>
    <row r="506" spans="1:5" s="5" customFormat="1" ht="27.6" x14ac:dyDescent="0.3">
      <c r="A506" s="61" t="s">
        <v>15</v>
      </c>
      <c r="B506" s="34" t="s">
        <v>402</v>
      </c>
      <c r="C506" s="38" t="s">
        <v>403</v>
      </c>
      <c r="D506" s="36" t="s">
        <v>66</v>
      </c>
      <c r="E506" s="105">
        <f>30.95+5.21</f>
        <v>36.159999999999997</v>
      </c>
    </row>
    <row r="507" spans="1:5" s="5" customFormat="1" ht="27.6" x14ac:dyDescent="0.3">
      <c r="A507" s="61" t="s">
        <v>15</v>
      </c>
      <c r="B507" s="34" t="s">
        <v>404</v>
      </c>
      <c r="C507" s="38" t="s">
        <v>345</v>
      </c>
      <c r="D507" s="36" t="s">
        <v>66</v>
      </c>
      <c r="E507" s="105">
        <f>427.84+578.96+534.53</f>
        <v>1541.33</v>
      </c>
    </row>
    <row r="508" spans="1:5" s="5" customFormat="1" ht="14.4" x14ac:dyDescent="0.3">
      <c r="A508" s="61" t="s">
        <v>15</v>
      </c>
      <c r="B508" s="34" t="s">
        <v>405</v>
      </c>
      <c r="C508" s="108" t="s">
        <v>346</v>
      </c>
      <c r="D508" s="36" t="s">
        <v>66</v>
      </c>
      <c r="E508" s="105">
        <f>27.77</f>
        <v>27.77</v>
      </c>
    </row>
    <row r="509" spans="1:5" s="5" customFormat="1" ht="14.4" x14ac:dyDescent="0.3">
      <c r="A509" s="61" t="s">
        <v>15</v>
      </c>
      <c r="B509" s="34" t="s">
        <v>406</v>
      </c>
      <c r="C509" s="108" t="s">
        <v>347</v>
      </c>
      <c r="D509" s="36" t="s">
        <v>66</v>
      </c>
      <c r="E509" s="105">
        <f>6.65</f>
        <v>6.65</v>
      </c>
    </row>
    <row r="510" spans="1:5" s="5" customFormat="1" ht="14.4" x14ac:dyDescent="0.3">
      <c r="A510" s="61" t="s">
        <v>15</v>
      </c>
      <c r="B510" s="34" t="s">
        <v>407</v>
      </c>
      <c r="C510" s="108" t="s">
        <v>408</v>
      </c>
      <c r="D510" s="36" t="s">
        <v>66</v>
      </c>
      <c r="E510" s="105">
        <v>17.2</v>
      </c>
    </row>
    <row r="511" spans="1:5" s="5" customFormat="1" ht="27.6" x14ac:dyDescent="0.3">
      <c r="A511" s="61" t="s">
        <v>15</v>
      </c>
      <c r="B511" s="34" t="s">
        <v>409</v>
      </c>
      <c r="C511" s="109" t="s">
        <v>410</v>
      </c>
      <c r="D511" s="36" t="s">
        <v>66</v>
      </c>
      <c r="E511" s="105">
        <v>60.84</v>
      </c>
    </row>
    <row r="512" spans="1:5" s="5" customFormat="1" ht="14.4" x14ac:dyDescent="0.3">
      <c r="A512" s="104" t="s">
        <v>15</v>
      </c>
      <c r="B512" s="72" t="s">
        <v>17</v>
      </c>
      <c r="C512" s="60" t="s">
        <v>350</v>
      </c>
      <c r="D512" s="54" t="s">
        <v>26</v>
      </c>
      <c r="E512" s="103">
        <v>1</v>
      </c>
    </row>
    <row r="513" spans="1:5" s="5" customFormat="1" ht="41.4" x14ac:dyDescent="0.3">
      <c r="A513" s="104" t="s">
        <v>15</v>
      </c>
      <c r="B513" s="27" t="s">
        <v>206</v>
      </c>
      <c r="C513" s="38" t="s">
        <v>342</v>
      </c>
      <c r="D513" s="36" t="s">
        <v>66</v>
      </c>
      <c r="E513" s="105">
        <v>631</v>
      </c>
    </row>
    <row r="514" spans="1:5" s="5" customFormat="1" ht="27.6" x14ac:dyDescent="0.3">
      <c r="A514" s="61" t="s">
        <v>15</v>
      </c>
      <c r="B514" s="34" t="s">
        <v>207</v>
      </c>
      <c r="C514" s="38" t="s">
        <v>411</v>
      </c>
      <c r="D514" s="36" t="s">
        <v>66</v>
      </c>
      <c r="E514" s="105">
        <f>94.74</f>
        <v>94.74</v>
      </c>
    </row>
    <row r="515" spans="1:5" s="5" customFormat="1" ht="27.6" x14ac:dyDescent="0.3">
      <c r="A515" s="61" t="s">
        <v>15</v>
      </c>
      <c r="B515" s="34" t="s">
        <v>208</v>
      </c>
      <c r="C515" s="38" t="s">
        <v>412</v>
      </c>
      <c r="D515" s="36" t="s">
        <v>66</v>
      </c>
      <c r="E515" s="105">
        <f>16.4</f>
        <v>16.399999999999999</v>
      </c>
    </row>
    <row r="516" spans="1:5" s="5" customFormat="1" ht="27.6" x14ac:dyDescent="0.3">
      <c r="A516" s="61" t="s">
        <v>15</v>
      </c>
      <c r="B516" s="34" t="s">
        <v>209</v>
      </c>
      <c r="C516" s="38" t="s">
        <v>413</v>
      </c>
      <c r="D516" s="36" t="s">
        <v>66</v>
      </c>
      <c r="E516" s="105">
        <f>84.84</f>
        <v>84.84</v>
      </c>
    </row>
    <row r="517" spans="1:5" s="5" customFormat="1" ht="27.6" x14ac:dyDescent="0.3">
      <c r="A517" s="61" t="s">
        <v>15</v>
      </c>
      <c r="B517" s="34" t="s">
        <v>210</v>
      </c>
      <c r="C517" s="38" t="s">
        <v>414</v>
      </c>
      <c r="D517" s="36" t="s">
        <v>66</v>
      </c>
      <c r="E517" s="105">
        <f>440.55+11.9</f>
        <v>452.45</v>
      </c>
    </row>
    <row r="518" spans="1:5" s="5" customFormat="1" ht="27.6" x14ac:dyDescent="0.3">
      <c r="A518" s="61" t="s">
        <v>15</v>
      </c>
      <c r="B518" s="34" t="s">
        <v>211</v>
      </c>
      <c r="C518" s="38" t="s">
        <v>390</v>
      </c>
      <c r="D518" s="36" t="s">
        <v>66</v>
      </c>
      <c r="E518" s="105">
        <f>26.26+93.96</f>
        <v>120.22</v>
      </c>
    </row>
    <row r="519" spans="1:5" s="5" customFormat="1" ht="27.6" x14ac:dyDescent="0.3">
      <c r="A519" s="61" t="s">
        <v>15</v>
      </c>
      <c r="B519" s="34" t="s">
        <v>212</v>
      </c>
      <c r="C519" s="38" t="s">
        <v>388</v>
      </c>
      <c r="D519" s="36" t="s">
        <v>66</v>
      </c>
      <c r="E519" s="105">
        <f>12.2+67.8</f>
        <v>80</v>
      </c>
    </row>
    <row r="520" spans="1:5" s="5" customFormat="1" ht="14.4" x14ac:dyDescent="0.3">
      <c r="A520" s="61" t="s">
        <v>15</v>
      </c>
      <c r="B520" s="34" t="s">
        <v>415</v>
      </c>
      <c r="C520" s="38" t="s">
        <v>389</v>
      </c>
      <c r="D520" s="36" t="s">
        <v>66</v>
      </c>
      <c r="E520" s="105">
        <f>6.95+482.61</f>
        <v>489.56</v>
      </c>
    </row>
    <row r="521" spans="1:5" s="5" customFormat="1" ht="14.4" x14ac:dyDescent="0.3">
      <c r="A521" s="61" t="s">
        <v>15</v>
      </c>
      <c r="B521" s="34" t="s">
        <v>416</v>
      </c>
      <c r="C521" s="38" t="s">
        <v>417</v>
      </c>
      <c r="D521" s="36" t="s">
        <v>66</v>
      </c>
      <c r="E521" s="105">
        <v>84.84</v>
      </c>
    </row>
    <row r="522" spans="1:5" s="5" customFormat="1" ht="27.6" x14ac:dyDescent="0.3">
      <c r="A522" s="61" t="s">
        <v>15</v>
      </c>
      <c r="B522" s="34" t="s">
        <v>418</v>
      </c>
      <c r="C522" s="38" t="s">
        <v>1217</v>
      </c>
      <c r="D522" s="36" t="s">
        <v>66</v>
      </c>
      <c r="E522" s="105">
        <f>26.26</f>
        <v>26.26</v>
      </c>
    </row>
    <row r="523" spans="1:5" s="5" customFormat="1" ht="27.6" x14ac:dyDescent="0.3">
      <c r="A523" s="61" t="s">
        <v>15</v>
      </c>
      <c r="B523" s="34" t="s">
        <v>419</v>
      </c>
      <c r="C523" s="38" t="s">
        <v>357</v>
      </c>
      <c r="D523" s="36" t="s">
        <v>66</v>
      </c>
      <c r="E523" s="105">
        <f>93.96+26.26+94.74</f>
        <v>214.95999999999998</v>
      </c>
    </row>
    <row r="524" spans="1:5" s="5" customFormat="1" ht="27.6" x14ac:dyDescent="0.3">
      <c r="A524" s="61" t="s">
        <v>15</v>
      </c>
      <c r="B524" s="34" t="s">
        <v>420</v>
      </c>
      <c r="C524" s="38" t="s">
        <v>348</v>
      </c>
      <c r="D524" s="36" t="s">
        <v>66</v>
      </c>
      <c r="E524" s="105">
        <f>93.96+482.61</f>
        <v>576.57000000000005</v>
      </c>
    </row>
    <row r="525" spans="1:5" s="5" customFormat="1" ht="27.6" x14ac:dyDescent="0.3">
      <c r="A525" s="61" t="s">
        <v>15</v>
      </c>
      <c r="B525" s="34" t="s">
        <v>421</v>
      </c>
      <c r="C525" s="38" t="s">
        <v>422</v>
      </c>
      <c r="D525" s="36" t="s">
        <v>66</v>
      </c>
      <c r="E525" s="105">
        <f>26.26+94.74</f>
        <v>121</v>
      </c>
    </row>
    <row r="526" spans="1:5" s="5" customFormat="1" ht="27.6" x14ac:dyDescent="0.3">
      <c r="A526" s="61" t="s">
        <v>15</v>
      </c>
      <c r="B526" s="34" t="s">
        <v>423</v>
      </c>
      <c r="C526" s="38" t="s">
        <v>403</v>
      </c>
      <c r="D526" s="36" t="s">
        <v>66</v>
      </c>
      <c r="E526" s="105">
        <f>27.26+2.58</f>
        <v>29.840000000000003</v>
      </c>
    </row>
    <row r="527" spans="1:5" s="5" customFormat="1" ht="27.6" x14ac:dyDescent="0.3">
      <c r="A527" s="61" t="s">
        <v>15</v>
      </c>
      <c r="B527" s="34" t="s">
        <v>424</v>
      </c>
      <c r="C527" s="38" t="s">
        <v>345</v>
      </c>
      <c r="D527" s="36" t="s">
        <v>66</v>
      </c>
      <c r="E527" s="105">
        <f>440.55</f>
        <v>440.55</v>
      </c>
    </row>
    <row r="528" spans="1:5" s="5" customFormat="1" ht="14.4" x14ac:dyDescent="0.3">
      <c r="A528" s="61" t="s">
        <v>15</v>
      </c>
      <c r="B528" s="34" t="s">
        <v>425</v>
      </c>
      <c r="C528" s="108" t="s">
        <v>408</v>
      </c>
      <c r="D528" s="36" t="s">
        <v>66</v>
      </c>
      <c r="E528" s="105">
        <v>17.2</v>
      </c>
    </row>
    <row r="529" spans="1:5" s="5" customFormat="1" ht="14.4" x14ac:dyDescent="0.3">
      <c r="A529" s="61" t="s">
        <v>15</v>
      </c>
      <c r="B529" s="34" t="s">
        <v>426</v>
      </c>
      <c r="C529" s="108" t="s">
        <v>347</v>
      </c>
      <c r="D529" s="36" t="s">
        <v>66</v>
      </c>
      <c r="E529" s="105">
        <f>11.9</f>
        <v>11.9</v>
      </c>
    </row>
    <row r="530" spans="1:5" s="5" customFormat="1" ht="27.6" x14ac:dyDescent="0.3">
      <c r="A530" s="61" t="s">
        <v>15</v>
      </c>
      <c r="B530" s="34" t="s">
        <v>427</v>
      </c>
      <c r="C530" s="38" t="s">
        <v>349</v>
      </c>
      <c r="D530" s="36" t="s">
        <v>66</v>
      </c>
      <c r="E530" s="105">
        <v>84.84</v>
      </c>
    </row>
    <row r="531" spans="1:5" s="5" customFormat="1" ht="14.4" x14ac:dyDescent="0.3">
      <c r="A531" s="61" t="s">
        <v>15</v>
      </c>
      <c r="B531" s="34" t="s">
        <v>428</v>
      </c>
      <c r="C531" s="38" t="s">
        <v>429</v>
      </c>
      <c r="D531" s="36" t="s">
        <v>66</v>
      </c>
      <c r="E531" s="105">
        <f>93.96+11.9+84.84+26.26+440.55</f>
        <v>657.51</v>
      </c>
    </row>
    <row r="532" spans="1:5" s="5" customFormat="1" ht="27.6" x14ac:dyDescent="0.3">
      <c r="A532" s="61" t="s">
        <v>15</v>
      </c>
      <c r="B532" s="34" t="s">
        <v>430</v>
      </c>
      <c r="C532" s="38" t="s">
        <v>410</v>
      </c>
      <c r="D532" s="36" t="s">
        <v>66</v>
      </c>
      <c r="E532" s="105">
        <v>67.8</v>
      </c>
    </row>
    <row r="533" spans="1:5" s="5" customFormat="1" ht="27.6" x14ac:dyDescent="0.3">
      <c r="A533" s="61" t="s">
        <v>15</v>
      </c>
      <c r="B533" s="34" t="s">
        <v>431</v>
      </c>
      <c r="C533" s="109" t="s">
        <v>432</v>
      </c>
      <c r="D533" s="36" t="s">
        <v>66</v>
      </c>
      <c r="E533" s="105">
        <v>16.399999999999999</v>
      </c>
    </row>
    <row r="534" spans="1:5" s="5" customFormat="1" ht="14.4" x14ac:dyDescent="0.3">
      <c r="A534" s="104" t="s">
        <v>15</v>
      </c>
      <c r="B534" s="72" t="s">
        <v>180</v>
      </c>
      <c r="C534" s="60" t="s">
        <v>351</v>
      </c>
      <c r="D534" s="54" t="s">
        <v>26</v>
      </c>
      <c r="E534" s="103">
        <v>1</v>
      </c>
    </row>
    <row r="535" spans="1:5" s="5" customFormat="1" ht="14.4" x14ac:dyDescent="0.3">
      <c r="A535" s="61" t="s">
        <v>15</v>
      </c>
      <c r="B535" s="34" t="s">
        <v>214</v>
      </c>
      <c r="C535" s="38" t="s">
        <v>352</v>
      </c>
      <c r="D535" s="36" t="s">
        <v>66</v>
      </c>
      <c r="E535" s="105">
        <v>24.27</v>
      </c>
    </row>
    <row r="536" spans="1:5" s="5" customFormat="1" ht="27.6" x14ac:dyDescent="0.3">
      <c r="A536" s="61" t="s">
        <v>15</v>
      </c>
      <c r="B536" s="34" t="s">
        <v>215</v>
      </c>
      <c r="C536" s="38" t="s">
        <v>343</v>
      </c>
      <c r="D536" s="36" t="s">
        <v>66</v>
      </c>
      <c r="E536" s="105">
        <v>24.27</v>
      </c>
    </row>
    <row r="537" spans="1:5" s="5" customFormat="1" ht="27.6" x14ac:dyDescent="0.3">
      <c r="A537" s="61" t="s">
        <v>15</v>
      </c>
      <c r="B537" s="34" t="s">
        <v>433</v>
      </c>
      <c r="C537" s="38" t="s">
        <v>353</v>
      </c>
      <c r="D537" s="36" t="s">
        <v>66</v>
      </c>
      <c r="E537" s="105">
        <v>24.27</v>
      </c>
    </row>
    <row r="538" spans="1:5" s="5" customFormat="1" ht="14.4" x14ac:dyDescent="0.3">
      <c r="A538" s="104" t="s">
        <v>15</v>
      </c>
      <c r="B538" s="27" t="s">
        <v>216</v>
      </c>
      <c r="C538" s="52" t="s">
        <v>355</v>
      </c>
      <c r="D538" s="54" t="s">
        <v>26</v>
      </c>
      <c r="E538" s="103">
        <v>1</v>
      </c>
    </row>
    <row r="539" spans="1:5" s="5" customFormat="1" ht="27.6" x14ac:dyDescent="0.3">
      <c r="A539" s="61" t="s">
        <v>15</v>
      </c>
      <c r="B539" s="34" t="s">
        <v>217</v>
      </c>
      <c r="C539" s="38" t="s">
        <v>434</v>
      </c>
      <c r="D539" s="36" t="s">
        <v>66</v>
      </c>
      <c r="E539" s="105">
        <f>506.67+506.92+501.36</f>
        <v>1514.95</v>
      </c>
    </row>
    <row r="540" spans="1:5" s="5" customFormat="1" ht="27.6" x14ac:dyDescent="0.3">
      <c r="A540" s="61" t="s">
        <v>15</v>
      </c>
      <c r="B540" s="34" t="s">
        <v>220</v>
      </c>
      <c r="C540" s="38" t="s">
        <v>356</v>
      </c>
      <c r="D540" s="36" t="s">
        <v>66</v>
      </c>
      <c r="E540" s="105">
        <f>5.7+291.73+72.49+161.25+618.04+6.94+455.09+120.03+193.83</f>
        <v>1925.1</v>
      </c>
    </row>
    <row r="541" spans="1:5" s="5" customFormat="1" ht="27.6" x14ac:dyDescent="0.3">
      <c r="A541" s="61" t="s">
        <v>15</v>
      </c>
      <c r="B541" s="34" t="s">
        <v>435</v>
      </c>
      <c r="C541" s="38" t="s">
        <v>436</v>
      </c>
      <c r="D541" s="36" t="s">
        <v>66</v>
      </c>
      <c r="E541" s="105">
        <f>155.96+32.81+34.36</f>
        <v>223.13</v>
      </c>
    </row>
    <row r="542" spans="1:5" s="5" customFormat="1" ht="27.6" x14ac:dyDescent="0.3">
      <c r="A542" s="61" t="s">
        <v>15</v>
      </c>
      <c r="B542" s="34" t="s">
        <v>437</v>
      </c>
      <c r="C542" s="38" t="s">
        <v>438</v>
      </c>
      <c r="D542" s="36" t="s">
        <v>35</v>
      </c>
      <c r="E542" s="105">
        <f>364.32+471.18+424.39</f>
        <v>1259.8899999999999</v>
      </c>
    </row>
    <row r="543" spans="1:5" s="5" customFormat="1" ht="27.6" x14ac:dyDescent="0.3">
      <c r="A543" s="61" t="s">
        <v>15</v>
      </c>
      <c r="B543" s="34" t="s">
        <v>439</v>
      </c>
      <c r="C543" s="38" t="s">
        <v>440</v>
      </c>
      <c r="D543" s="36" t="s">
        <v>441</v>
      </c>
      <c r="E543" s="105">
        <f>216.33+182.74+179.87</f>
        <v>578.94000000000005</v>
      </c>
    </row>
    <row r="544" spans="1:5" s="5" customFormat="1" ht="27.6" x14ac:dyDescent="0.3">
      <c r="A544" s="61" t="s">
        <v>15</v>
      </c>
      <c r="B544" s="34" t="s">
        <v>442</v>
      </c>
      <c r="C544" s="38" t="s">
        <v>443</v>
      </c>
      <c r="D544" s="36" t="s">
        <v>66</v>
      </c>
      <c r="E544" s="105">
        <f>5.7+4.77+6.94</f>
        <v>17.41</v>
      </c>
    </row>
    <row r="545" spans="1:5" s="5" customFormat="1" ht="27.6" x14ac:dyDescent="0.3">
      <c r="A545" s="61" t="s">
        <v>15</v>
      </c>
      <c r="B545" s="34" t="s">
        <v>444</v>
      </c>
      <c r="C545" s="38" t="s">
        <v>445</v>
      </c>
      <c r="D545" s="36" t="s">
        <v>66</v>
      </c>
      <c r="E545" s="105">
        <f>291.73+342.62+455.09</f>
        <v>1089.44</v>
      </c>
    </row>
    <row r="546" spans="1:5" s="5" customFormat="1" ht="27.6" x14ac:dyDescent="0.3">
      <c r="A546" s="61" t="s">
        <v>15</v>
      </c>
      <c r="B546" s="34" t="s">
        <v>446</v>
      </c>
      <c r="C546" s="38" t="s">
        <v>447</v>
      </c>
      <c r="D546" s="36" t="s">
        <v>66</v>
      </c>
      <c r="E546" s="105">
        <f>72.49+79.26+120.03</f>
        <v>271.77999999999997</v>
      </c>
    </row>
    <row r="547" spans="1:5" s="5" customFormat="1" ht="27.6" x14ac:dyDescent="0.3">
      <c r="A547" s="61" t="s">
        <v>15</v>
      </c>
      <c r="B547" s="34" t="s">
        <v>448</v>
      </c>
      <c r="C547" s="38" t="s">
        <v>449</v>
      </c>
      <c r="D547" s="36" t="s">
        <v>66</v>
      </c>
      <c r="E547" s="105">
        <f>161.25+191.39+193.83</f>
        <v>546.47</v>
      </c>
    </row>
    <row r="548" spans="1:5" s="5" customFormat="1" ht="27.6" x14ac:dyDescent="0.3">
      <c r="A548" s="61" t="s">
        <v>15</v>
      </c>
      <c r="B548" s="34" t="s">
        <v>450</v>
      </c>
      <c r="C548" s="38" t="s">
        <v>451</v>
      </c>
      <c r="D548" s="36" t="s">
        <v>66</v>
      </c>
      <c r="E548" s="105">
        <f>((E540+E541+E542+E543+E545+E546+E547)*2)+E544+E539</f>
        <v>13321.86</v>
      </c>
    </row>
    <row r="549" spans="1:5" s="5" customFormat="1" ht="41.4" x14ac:dyDescent="0.3">
      <c r="A549" s="61" t="s">
        <v>15</v>
      </c>
      <c r="B549" s="34" t="s">
        <v>452</v>
      </c>
      <c r="C549" s="38" t="s">
        <v>453</v>
      </c>
      <c r="D549" s="36" t="s">
        <v>66</v>
      </c>
      <c r="E549" s="105">
        <v>133.91999999999999</v>
      </c>
    </row>
    <row r="550" spans="1:5" s="5" customFormat="1" ht="55.2" x14ac:dyDescent="0.3">
      <c r="A550" s="61" t="s">
        <v>15</v>
      </c>
      <c r="B550" s="34" t="s">
        <v>454</v>
      </c>
      <c r="C550" s="38" t="s">
        <v>455</v>
      </c>
      <c r="D550" s="36" t="s">
        <v>66</v>
      </c>
      <c r="E550" s="105">
        <f>486.13+209.55+1120.45+198.83+97.33+1491.02+180.41+138.97+1491.91</f>
        <v>5414.5999999999995</v>
      </c>
    </row>
    <row r="551" spans="1:5" s="5" customFormat="1" ht="27.6" x14ac:dyDescent="0.3">
      <c r="A551" s="61" t="s">
        <v>15</v>
      </c>
      <c r="B551" s="34" t="s">
        <v>456</v>
      </c>
      <c r="C551" s="38" t="s">
        <v>457</v>
      </c>
      <c r="D551" s="36" t="s">
        <v>66</v>
      </c>
      <c r="E551" s="105">
        <f>468.45+464.9+594.19</f>
        <v>1527.54</v>
      </c>
    </row>
    <row r="552" spans="1:5" s="5" customFormat="1" ht="27.6" x14ac:dyDescent="0.3">
      <c r="A552" s="61" t="s">
        <v>15</v>
      </c>
      <c r="B552" s="34" t="s">
        <v>458</v>
      </c>
      <c r="C552" s="38" t="s">
        <v>459</v>
      </c>
      <c r="D552" s="36" t="s">
        <v>66</v>
      </c>
      <c r="E552" s="105">
        <f>486.13+198.83+180.41</f>
        <v>865.37</v>
      </c>
    </row>
    <row r="553" spans="1:5" s="5" customFormat="1" ht="27.6" x14ac:dyDescent="0.3">
      <c r="A553" s="61" t="s">
        <v>15</v>
      </c>
      <c r="B553" s="34" t="s">
        <v>460</v>
      </c>
      <c r="C553" s="38" t="s">
        <v>461</v>
      </c>
      <c r="D553" s="36" t="s">
        <v>66</v>
      </c>
      <c r="E553" s="105">
        <f>209.55+97.33+138.97</f>
        <v>445.85</v>
      </c>
    </row>
    <row r="554" spans="1:5" s="5" customFormat="1" ht="27.6" x14ac:dyDescent="0.3">
      <c r="A554" s="61" t="s">
        <v>15</v>
      </c>
      <c r="B554" s="34" t="s">
        <v>462</v>
      </c>
      <c r="C554" s="38" t="s">
        <v>463</v>
      </c>
      <c r="D554" s="36" t="s">
        <v>66</v>
      </c>
      <c r="E554" s="105">
        <f>1120.45+1491.02+1491.91</f>
        <v>4103.38</v>
      </c>
    </row>
    <row r="555" spans="1:5" s="5" customFormat="1" ht="27.6" x14ac:dyDescent="0.3">
      <c r="A555" s="61" t="s">
        <v>15</v>
      </c>
      <c r="B555" s="34" t="s">
        <v>464</v>
      </c>
      <c r="C555" s="38" t="s">
        <v>1212</v>
      </c>
      <c r="D555" s="36" t="s">
        <v>66</v>
      </c>
      <c r="E555" s="12">
        <f>468.45+464.9+594.19</f>
        <v>1527.54</v>
      </c>
    </row>
    <row r="556" spans="1:5" s="5" customFormat="1" ht="41.4" x14ac:dyDescent="0.3">
      <c r="A556" s="61" t="s">
        <v>15</v>
      </c>
      <c r="B556" s="34" t="s">
        <v>465</v>
      </c>
      <c r="C556" s="38" t="s">
        <v>360</v>
      </c>
      <c r="D556" s="36" t="s">
        <v>359</v>
      </c>
      <c r="E556" s="12">
        <v>1</v>
      </c>
    </row>
    <row r="557" spans="1:5" s="5" customFormat="1" ht="14.4" x14ac:dyDescent="0.3">
      <c r="A557" s="61" t="s">
        <v>15</v>
      </c>
      <c r="B557" s="34" t="s">
        <v>466</v>
      </c>
      <c r="C557" s="38" t="s">
        <v>467</v>
      </c>
      <c r="D557" s="36" t="s">
        <v>108</v>
      </c>
      <c r="E557" s="12">
        <v>104</v>
      </c>
    </row>
    <row r="558" spans="1:5" s="5" customFormat="1" ht="14.4" x14ac:dyDescent="0.3">
      <c r="A558" s="104" t="s">
        <v>15</v>
      </c>
      <c r="B558" s="110" t="s">
        <v>218</v>
      </c>
      <c r="C558" s="52" t="s">
        <v>358</v>
      </c>
      <c r="D558" s="54" t="s">
        <v>26</v>
      </c>
      <c r="E558" s="103">
        <v>1</v>
      </c>
    </row>
    <row r="559" spans="1:5" s="5" customFormat="1" ht="27.6" x14ac:dyDescent="0.3">
      <c r="A559" s="61" t="s">
        <v>15</v>
      </c>
      <c r="B559" s="34" t="s">
        <v>219</v>
      </c>
      <c r="C559" s="38" t="s">
        <v>434</v>
      </c>
      <c r="D559" s="36" t="s">
        <v>66</v>
      </c>
      <c r="E559" s="105">
        <f>430.4+517.59</f>
        <v>947.99</v>
      </c>
    </row>
    <row r="560" spans="1:5" s="5" customFormat="1" ht="27.6" x14ac:dyDescent="0.3">
      <c r="A560" s="61" t="s">
        <v>15</v>
      </c>
      <c r="B560" s="34" t="s">
        <v>221</v>
      </c>
      <c r="C560" s="38" t="s">
        <v>356</v>
      </c>
      <c r="D560" s="36" t="s">
        <v>66</v>
      </c>
      <c r="E560" s="105">
        <f>(356.2+59.11)</f>
        <v>415.31</v>
      </c>
    </row>
    <row r="561" spans="1:5" s="5" customFormat="1" ht="27.6" x14ac:dyDescent="0.3">
      <c r="A561" s="61" t="s">
        <v>15</v>
      </c>
      <c r="B561" s="34" t="s">
        <v>222</v>
      </c>
      <c r="C561" s="38" t="s">
        <v>436</v>
      </c>
      <c r="D561" s="36" t="s">
        <v>66</v>
      </c>
      <c r="E561" s="105">
        <f>336.09+747.16</f>
        <v>1083.25</v>
      </c>
    </row>
    <row r="562" spans="1:5" s="5" customFormat="1" ht="27.6" x14ac:dyDescent="0.3">
      <c r="A562" s="61" t="s">
        <v>15</v>
      </c>
      <c r="B562" s="34" t="s">
        <v>468</v>
      </c>
      <c r="C562" s="38" t="s">
        <v>469</v>
      </c>
      <c r="D562" s="36" t="s">
        <v>66</v>
      </c>
      <c r="E562" s="105">
        <f>43.73+87.45</f>
        <v>131.18</v>
      </c>
    </row>
    <row r="563" spans="1:5" s="5" customFormat="1" ht="27.6" x14ac:dyDescent="0.3">
      <c r="A563" s="61" t="s">
        <v>15</v>
      </c>
      <c r="B563" s="34" t="s">
        <v>470</v>
      </c>
      <c r="C563" s="38" t="s">
        <v>471</v>
      </c>
      <c r="D563" s="36" t="s">
        <v>66</v>
      </c>
      <c r="E563" s="105">
        <f>76.38+21.91</f>
        <v>98.289999999999992</v>
      </c>
    </row>
    <row r="564" spans="1:5" s="5" customFormat="1" ht="27.6" x14ac:dyDescent="0.3">
      <c r="A564" s="61" t="s">
        <v>15</v>
      </c>
      <c r="B564" s="34" t="s">
        <v>472</v>
      </c>
      <c r="C564" s="38" t="s">
        <v>473</v>
      </c>
      <c r="D564" s="36" t="s">
        <v>66</v>
      </c>
      <c r="E564" s="105">
        <f>279.82+37.2</f>
        <v>317.02</v>
      </c>
    </row>
    <row r="565" spans="1:5" s="5" customFormat="1" ht="27.6" x14ac:dyDescent="0.3">
      <c r="A565" s="61" t="s">
        <v>15</v>
      </c>
      <c r="B565" s="34" t="s">
        <v>474</v>
      </c>
      <c r="C565" s="38" t="s">
        <v>451</v>
      </c>
      <c r="D565" s="36" t="s">
        <v>66</v>
      </c>
      <c r="E565" s="105">
        <f>((E561+E562+E564)*2)+E559+E563</f>
        <v>4109.18</v>
      </c>
    </row>
    <row r="566" spans="1:5" s="5" customFormat="1" ht="41.4" x14ac:dyDescent="0.3">
      <c r="A566" s="61" t="s">
        <v>15</v>
      </c>
      <c r="B566" s="34" t="s">
        <v>475</v>
      </c>
      <c r="C566" s="38" t="s">
        <v>476</v>
      </c>
      <c r="D566" s="36" t="s">
        <v>66</v>
      </c>
      <c r="E566" s="105">
        <v>170.1</v>
      </c>
    </row>
    <row r="567" spans="1:5" s="5" customFormat="1" ht="55.2" x14ac:dyDescent="0.3">
      <c r="A567" s="61" t="s">
        <v>15</v>
      </c>
      <c r="B567" s="34" t="s">
        <v>477</v>
      </c>
      <c r="C567" s="38" t="s">
        <v>455</v>
      </c>
      <c r="D567" s="36" t="s">
        <v>66</v>
      </c>
      <c r="E567" s="105">
        <f>594.05+320.98+841.06+452.27</f>
        <v>2208.3599999999997</v>
      </c>
    </row>
    <row r="568" spans="1:5" s="5" customFormat="1" ht="27.6" x14ac:dyDescent="0.3">
      <c r="A568" s="61" t="s">
        <v>15</v>
      </c>
      <c r="B568" s="34" t="s">
        <v>478</v>
      </c>
      <c r="C568" s="38" t="s">
        <v>457</v>
      </c>
      <c r="D568" s="36" t="s">
        <v>66</v>
      </c>
      <c r="E568" s="105">
        <f>342.72+97.65</f>
        <v>440.37</v>
      </c>
    </row>
    <row r="569" spans="1:5" s="5" customFormat="1" ht="27.6" x14ac:dyDescent="0.3">
      <c r="A569" s="61" t="s">
        <v>15</v>
      </c>
      <c r="B569" s="34" t="s">
        <v>479</v>
      </c>
      <c r="C569" s="38" t="s">
        <v>459</v>
      </c>
      <c r="D569" s="36" t="s">
        <v>66</v>
      </c>
      <c r="E569" s="105">
        <f>594.05+841.06</f>
        <v>1435.11</v>
      </c>
    </row>
    <row r="570" spans="1:5" s="5" customFormat="1" ht="27.6" x14ac:dyDescent="0.3">
      <c r="A570" s="61" t="s">
        <v>15</v>
      </c>
      <c r="B570" s="34" t="s">
        <v>480</v>
      </c>
      <c r="C570" s="38" t="s">
        <v>461</v>
      </c>
      <c r="D570" s="36" t="s">
        <v>66</v>
      </c>
      <c r="E570" s="105">
        <f>320.98+452.27</f>
        <v>773.25</v>
      </c>
    </row>
    <row r="571" spans="1:5" s="5" customFormat="1" ht="27.6" x14ac:dyDescent="0.3">
      <c r="A571" s="61" t="s">
        <v>15</v>
      </c>
      <c r="B571" s="34" t="s">
        <v>481</v>
      </c>
      <c r="C571" s="38" t="s">
        <v>1212</v>
      </c>
      <c r="D571" s="36" t="s">
        <v>66</v>
      </c>
      <c r="E571" s="105">
        <f>342.72+97.65</f>
        <v>440.37</v>
      </c>
    </row>
    <row r="572" spans="1:5" s="5" customFormat="1" ht="41.4" x14ac:dyDescent="0.3">
      <c r="A572" s="61" t="s">
        <v>15</v>
      </c>
      <c r="B572" s="34" t="s">
        <v>482</v>
      </c>
      <c r="C572" s="38" t="s">
        <v>360</v>
      </c>
      <c r="D572" s="36" t="s">
        <v>359</v>
      </c>
      <c r="E572" s="12">
        <v>1</v>
      </c>
    </row>
    <row r="573" spans="1:5" s="5" customFormat="1" ht="14.4" x14ac:dyDescent="0.3">
      <c r="A573" s="61" t="s">
        <v>15</v>
      </c>
      <c r="B573" s="34" t="s">
        <v>483</v>
      </c>
      <c r="C573" s="109" t="s">
        <v>484</v>
      </c>
      <c r="D573" s="111" t="s">
        <v>108</v>
      </c>
      <c r="E573" s="13">
        <v>62</v>
      </c>
    </row>
    <row r="574" spans="1:5" s="5" customFormat="1" ht="14.4" x14ac:dyDescent="0.3">
      <c r="A574" s="104" t="s">
        <v>15</v>
      </c>
      <c r="B574" s="112" t="s">
        <v>223</v>
      </c>
      <c r="C574" s="60" t="s">
        <v>361</v>
      </c>
      <c r="D574" s="54" t="s">
        <v>26</v>
      </c>
      <c r="E574" s="103">
        <v>1</v>
      </c>
    </row>
    <row r="575" spans="1:5" s="5" customFormat="1" ht="27.6" x14ac:dyDescent="0.3">
      <c r="A575" s="61" t="s">
        <v>15</v>
      </c>
      <c r="B575" s="34" t="s">
        <v>224</v>
      </c>
      <c r="C575" s="38" t="s">
        <v>434</v>
      </c>
      <c r="D575" s="36" t="s">
        <v>66</v>
      </c>
      <c r="E575" s="105">
        <f>25.75+15.3</f>
        <v>41.05</v>
      </c>
    </row>
    <row r="576" spans="1:5" s="5" customFormat="1" ht="27.6" x14ac:dyDescent="0.3">
      <c r="A576" s="61" t="s">
        <v>15</v>
      </c>
      <c r="B576" s="34" t="s">
        <v>225</v>
      </c>
      <c r="C576" s="38" t="s">
        <v>451</v>
      </c>
      <c r="D576" s="36" t="s">
        <v>66</v>
      </c>
      <c r="E576" s="105">
        <v>41.05</v>
      </c>
    </row>
    <row r="577" spans="1:5" s="5" customFormat="1" ht="55.2" x14ac:dyDescent="0.3">
      <c r="A577" s="61" t="s">
        <v>15</v>
      </c>
      <c r="B577" s="34" t="s">
        <v>485</v>
      </c>
      <c r="C577" s="38" t="s">
        <v>455</v>
      </c>
      <c r="D577" s="36" t="s">
        <v>66</v>
      </c>
      <c r="E577" s="105">
        <v>41.05</v>
      </c>
    </row>
    <row r="578" spans="1:5" s="5" customFormat="1" ht="27.6" x14ac:dyDescent="0.3">
      <c r="A578" s="61" t="s">
        <v>15</v>
      </c>
      <c r="B578" s="34" t="s">
        <v>486</v>
      </c>
      <c r="C578" s="38" t="s">
        <v>459</v>
      </c>
      <c r="D578" s="36" t="s">
        <v>66</v>
      </c>
      <c r="E578" s="105">
        <v>25.75</v>
      </c>
    </row>
    <row r="579" spans="1:5" s="5" customFormat="1" ht="27.6" x14ac:dyDescent="0.3">
      <c r="A579" s="61" t="s">
        <v>15</v>
      </c>
      <c r="B579" s="34" t="s">
        <v>487</v>
      </c>
      <c r="C579" s="38" t="s">
        <v>461</v>
      </c>
      <c r="D579" s="36" t="s">
        <v>66</v>
      </c>
      <c r="E579" s="105">
        <v>15.3</v>
      </c>
    </row>
    <row r="580" spans="1:5" s="5" customFormat="1" ht="41.4" x14ac:dyDescent="0.3">
      <c r="A580" s="61" t="s">
        <v>15</v>
      </c>
      <c r="B580" s="34" t="s">
        <v>488</v>
      </c>
      <c r="C580" s="38" t="s">
        <v>360</v>
      </c>
      <c r="D580" s="36" t="s">
        <v>359</v>
      </c>
      <c r="E580" s="12">
        <v>1</v>
      </c>
    </row>
    <row r="581" spans="1:5" s="5" customFormat="1" ht="14.4" x14ac:dyDescent="0.3">
      <c r="A581" s="61" t="s">
        <v>15</v>
      </c>
      <c r="B581" s="34" t="s">
        <v>489</v>
      </c>
      <c r="C581" s="38" t="s">
        <v>484</v>
      </c>
      <c r="D581" s="111" t="s">
        <v>108</v>
      </c>
      <c r="E581" s="13">
        <v>6</v>
      </c>
    </row>
    <row r="582" spans="1:5" s="5" customFormat="1" ht="14.4" x14ac:dyDescent="0.3">
      <c r="A582" s="104" t="s">
        <v>15</v>
      </c>
      <c r="B582" s="27" t="s">
        <v>226</v>
      </c>
      <c r="C582" s="52" t="s">
        <v>370</v>
      </c>
      <c r="D582" s="54" t="s">
        <v>26</v>
      </c>
      <c r="E582" s="103">
        <v>1</v>
      </c>
    </row>
    <row r="583" spans="1:5" s="5" customFormat="1" ht="14.4" x14ac:dyDescent="0.3">
      <c r="A583" s="61" t="s">
        <v>15</v>
      </c>
      <c r="B583" s="34" t="s">
        <v>227</v>
      </c>
      <c r="C583" s="108" t="s">
        <v>371</v>
      </c>
      <c r="D583" s="36" t="s">
        <v>66</v>
      </c>
      <c r="E583" s="12">
        <f>290.65+130.42+101.45</f>
        <v>522.52</v>
      </c>
    </row>
    <row r="584" spans="1:5" s="5" customFormat="1" ht="27.6" x14ac:dyDescent="0.3">
      <c r="A584" s="61" t="s">
        <v>15</v>
      </c>
      <c r="B584" s="34" t="s">
        <v>228</v>
      </c>
      <c r="C584" s="38" t="s">
        <v>373</v>
      </c>
      <c r="D584" s="36" t="s">
        <v>66</v>
      </c>
      <c r="E584" s="12">
        <f>78.46+59.99+104.32</f>
        <v>242.76999999999998</v>
      </c>
    </row>
    <row r="585" spans="1:5" s="5" customFormat="1" ht="14.4" x14ac:dyDescent="0.3">
      <c r="A585" s="61" t="s">
        <v>15</v>
      </c>
      <c r="B585" s="34" t="s">
        <v>229</v>
      </c>
      <c r="C585" s="108" t="s">
        <v>1218</v>
      </c>
      <c r="D585" s="36" t="s">
        <v>66</v>
      </c>
      <c r="E585" s="12">
        <f>428.17+581.21+671.99</f>
        <v>1681.3700000000001</v>
      </c>
    </row>
    <row r="586" spans="1:5" s="5" customFormat="1" ht="27.6" x14ac:dyDescent="0.3">
      <c r="A586" s="61" t="s">
        <v>15</v>
      </c>
      <c r="B586" s="34" t="s">
        <v>490</v>
      </c>
      <c r="C586" s="38" t="s">
        <v>374</v>
      </c>
      <c r="D586" s="36" t="s">
        <v>66</v>
      </c>
      <c r="E586" s="12">
        <v>1681.37</v>
      </c>
    </row>
    <row r="587" spans="1:5" s="5" customFormat="1" ht="27.6" x14ac:dyDescent="0.3">
      <c r="A587" s="61" t="s">
        <v>15</v>
      </c>
      <c r="B587" s="34" t="s">
        <v>491</v>
      </c>
      <c r="C587" s="38" t="s">
        <v>492</v>
      </c>
      <c r="D587" s="36" t="s">
        <v>66</v>
      </c>
      <c r="E587" s="12">
        <v>1681.37</v>
      </c>
    </row>
    <row r="588" spans="1:5" s="5" customFormat="1" ht="14.4" x14ac:dyDescent="0.3">
      <c r="A588" s="104" t="s">
        <v>15</v>
      </c>
      <c r="B588" s="27" t="s">
        <v>230</v>
      </c>
      <c r="C588" s="60" t="s">
        <v>372</v>
      </c>
      <c r="D588" s="54" t="s">
        <v>26</v>
      </c>
      <c r="E588" s="103">
        <v>1</v>
      </c>
    </row>
    <row r="589" spans="1:5" s="5" customFormat="1" ht="14.4" x14ac:dyDescent="0.3">
      <c r="A589" s="61" t="s">
        <v>15</v>
      </c>
      <c r="B589" s="34" t="s">
        <v>231</v>
      </c>
      <c r="C589" s="108" t="s">
        <v>371</v>
      </c>
      <c r="D589" s="36" t="s">
        <v>66</v>
      </c>
      <c r="E589" s="12">
        <f>474.79+588.03</f>
        <v>1062.82</v>
      </c>
    </row>
    <row r="590" spans="1:5" s="5" customFormat="1" ht="27.6" x14ac:dyDescent="0.3">
      <c r="A590" s="61" t="s">
        <v>15</v>
      </c>
      <c r="B590" s="34" t="s">
        <v>232</v>
      </c>
      <c r="C590" s="38" t="s">
        <v>373</v>
      </c>
      <c r="D590" s="36" t="s">
        <v>66</v>
      </c>
      <c r="E590" s="12">
        <f>114.41+25.71</f>
        <v>140.12</v>
      </c>
    </row>
    <row r="591" spans="1:5" s="5" customFormat="1" ht="14.4" x14ac:dyDescent="0.3">
      <c r="A591" s="104" t="s">
        <v>15</v>
      </c>
      <c r="B591" s="112" t="s">
        <v>493</v>
      </c>
      <c r="C591" s="60" t="s">
        <v>494</v>
      </c>
      <c r="D591" s="54" t="s">
        <v>26</v>
      </c>
      <c r="E591" s="103">
        <v>1</v>
      </c>
    </row>
    <row r="592" spans="1:5" s="5" customFormat="1" ht="14.4" x14ac:dyDescent="0.3">
      <c r="A592" s="61" t="s">
        <v>15</v>
      </c>
      <c r="B592" s="34" t="s">
        <v>233</v>
      </c>
      <c r="C592" s="108" t="s">
        <v>371</v>
      </c>
      <c r="D592" s="36" t="s">
        <v>66</v>
      </c>
      <c r="E592" s="12">
        <v>24.7</v>
      </c>
    </row>
    <row r="593" spans="1:5" s="5" customFormat="1" ht="14.4" x14ac:dyDescent="0.3">
      <c r="A593" s="104" t="s">
        <v>15</v>
      </c>
      <c r="B593" s="110" t="s">
        <v>375</v>
      </c>
      <c r="C593" s="52" t="s">
        <v>1216</v>
      </c>
      <c r="D593" s="54" t="s">
        <v>26</v>
      </c>
      <c r="E593" s="103">
        <v>1</v>
      </c>
    </row>
    <row r="594" spans="1:5" s="5" customFormat="1" ht="27.6" x14ac:dyDescent="0.3">
      <c r="A594" s="61" t="s">
        <v>15</v>
      </c>
      <c r="B594" s="34" t="s">
        <v>376</v>
      </c>
      <c r="C594" s="38" t="s">
        <v>495</v>
      </c>
      <c r="D594" s="36" t="s">
        <v>108</v>
      </c>
      <c r="E594" s="12">
        <v>88</v>
      </c>
    </row>
    <row r="595" spans="1:5" s="5" customFormat="1" ht="27.6" x14ac:dyDescent="0.3">
      <c r="A595" s="61" t="s">
        <v>15</v>
      </c>
      <c r="B595" s="34" t="s">
        <v>380</v>
      </c>
      <c r="C595" s="38" t="s">
        <v>496</v>
      </c>
      <c r="D595" s="36" t="s">
        <v>108</v>
      </c>
      <c r="E595" s="12">
        <v>10</v>
      </c>
    </row>
    <row r="596" spans="1:5" s="5" customFormat="1" ht="27.6" x14ac:dyDescent="0.3">
      <c r="A596" s="61" t="s">
        <v>15</v>
      </c>
      <c r="B596" s="34" t="s">
        <v>382</v>
      </c>
      <c r="C596" s="38" t="s">
        <v>497</v>
      </c>
      <c r="D596" s="36" t="s">
        <v>108</v>
      </c>
      <c r="E596" s="12">
        <v>88</v>
      </c>
    </row>
    <row r="597" spans="1:5" s="5" customFormat="1" ht="41.4" x14ac:dyDescent="0.3">
      <c r="A597" s="61" t="s">
        <v>15</v>
      </c>
      <c r="B597" s="34" t="s">
        <v>498</v>
      </c>
      <c r="C597" s="38" t="s">
        <v>499</v>
      </c>
      <c r="D597" s="36" t="s">
        <v>108</v>
      </c>
      <c r="E597" s="12">
        <v>9</v>
      </c>
    </row>
    <row r="598" spans="1:5" s="5" customFormat="1" ht="41.4" x14ac:dyDescent="0.3">
      <c r="A598" s="61" t="s">
        <v>15</v>
      </c>
      <c r="B598" s="34" t="s">
        <v>500</v>
      </c>
      <c r="C598" s="38" t="s">
        <v>501</v>
      </c>
      <c r="D598" s="36" t="s">
        <v>108</v>
      </c>
      <c r="E598" s="12">
        <v>1</v>
      </c>
    </row>
    <row r="599" spans="1:5" s="5" customFormat="1" ht="41.4" x14ac:dyDescent="0.3">
      <c r="A599" s="61" t="s">
        <v>15</v>
      </c>
      <c r="B599" s="34" t="s">
        <v>502</v>
      </c>
      <c r="C599" s="38" t="s">
        <v>503</v>
      </c>
      <c r="D599" s="36" t="s">
        <v>108</v>
      </c>
      <c r="E599" s="12">
        <v>1</v>
      </c>
    </row>
    <row r="600" spans="1:5" s="5" customFormat="1" ht="14.4" x14ac:dyDescent="0.3">
      <c r="A600" s="104" t="s">
        <v>15</v>
      </c>
      <c r="B600" s="27" t="s">
        <v>507</v>
      </c>
      <c r="C600" s="52" t="s">
        <v>1215</v>
      </c>
      <c r="D600" s="54" t="s">
        <v>26</v>
      </c>
      <c r="E600" s="103">
        <v>1</v>
      </c>
    </row>
    <row r="601" spans="1:5" s="5" customFormat="1" ht="27.6" x14ac:dyDescent="0.3">
      <c r="A601" s="61" t="s">
        <v>15</v>
      </c>
      <c r="B601" s="34" t="s">
        <v>508</v>
      </c>
      <c r="C601" s="38" t="s">
        <v>509</v>
      </c>
      <c r="D601" s="36" t="s">
        <v>108</v>
      </c>
      <c r="E601" s="12">
        <v>6</v>
      </c>
    </row>
    <row r="602" spans="1:5" s="5" customFormat="1" ht="27.6" x14ac:dyDescent="0.3">
      <c r="A602" s="61" t="s">
        <v>15</v>
      </c>
      <c r="B602" s="34" t="s">
        <v>510</v>
      </c>
      <c r="C602" s="38" t="s">
        <v>511</v>
      </c>
      <c r="D602" s="36" t="s">
        <v>108</v>
      </c>
      <c r="E602" s="12">
        <v>7</v>
      </c>
    </row>
    <row r="603" spans="1:5" s="5" customFormat="1" ht="27.6" x14ac:dyDescent="0.3">
      <c r="A603" s="61" t="s">
        <v>15</v>
      </c>
      <c r="B603" s="34" t="s">
        <v>512</v>
      </c>
      <c r="C603" s="38" t="s">
        <v>513</v>
      </c>
      <c r="D603" s="36" t="s">
        <v>108</v>
      </c>
      <c r="E603" s="12">
        <v>1</v>
      </c>
    </row>
    <row r="604" spans="1:5" s="5" customFormat="1" ht="27.6" x14ac:dyDescent="0.3">
      <c r="A604" s="61" t="s">
        <v>15</v>
      </c>
      <c r="B604" s="34" t="s">
        <v>514</v>
      </c>
      <c r="C604" s="38" t="s">
        <v>515</v>
      </c>
      <c r="D604" s="36" t="s">
        <v>108</v>
      </c>
      <c r="E604" s="12">
        <v>2</v>
      </c>
    </row>
    <row r="605" spans="1:5" s="5" customFormat="1" ht="27.6" x14ac:dyDescent="0.3">
      <c r="A605" s="61" t="s">
        <v>15</v>
      </c>
      <c r="B605" s="34" t="s">
        <v>516</v>
      </c>
      <c r="C605" s="38" t="s">
        <v>517</v>
      </c>
      <c r="D605" s="36" t="s">
        <v>108</v>
      </c>
      <c r="E605" s="12">
        <v>5</v>
      </c>
    </row>
    <row r="606" spans="1:5" s="5" customFormat="1" ht="27.6" x14ac:dyDescent="0.3">
      <c r="A606" s="61" t="s">
        <v>15</v>
      </c>
      <c r="B606" s="34" t="s">
        <v>518</v>
      </c>
      <c r="C606" s="38" t="s">
        <v>519</v>
      </c>
      <c r="D606" s="36" t="s">
        <v>108</v>
      </c>
      <c r="E606" s="12">
        <v>1</v>
      </c>
    </row>
    <row r="607" spans="1:5" s="5" customFormat="1" ht="41.4" x14ac:dyDescent="0.3">
      <c r="A607" s="61" t="s">
        <v>15</v>
      </c>
      <c r="B607" s="34" t="s">
        <v>520</v>
      </c>
      <c r="C607" s="38" t="s">
        <v>521</v>
      </c>
      <c r="D607" s="36" t="s">
        <v>108</v>
      </c>
      <c r="E607" s="12">
        <v>1</v>
      </c>
    </row>
    <row r="608" spans="1:5" s="5" customFormat="1" ht="41.4" x14ac:dyDescent="0.3">
      <c r="A608" s="61" t="s">
        <v>15</v>
      </c>
      <c r="B608" s="34" t="s">
        <v>522</v>
      </c>
      <c r="C608" s="38" t="s">
        <v>523</v>
      </c>
      <c r="D608" s="36" t="s">
        <v>108</v>
      </c>
      <c r="E608" s="12">
        <v>9</v>
      </c>
    </row>
    <row r="609" spans="1:220" s="5" customFormat="1" ht="14.4" x14ac:dyDescent="0.3">
      <c r="A609" s="104" t="s">
        <v>15</v>
      </c>
      <c r="B609" s="112" t="s">
        <v>524</v>
      </c>
      <c r="C609" s="52" t="s">
        <v>525</v>
      </c>
      <c r="D609" s="54" t="s">
        <v>26</v>
      </c>
      <c r="E609" s="103">
        <v>1</v>
      </c>
    </row>
    <row r="610" spans="1:220" s="5" customFormat="1" ht="14.4" x14ac:dyDescent="0.3">
      <c r="A610" s="61" t="s">
        <v>15</v>
      </c>
      <c r="B610" s="34" t="s">
        <v>526</v>
      </c>
      <c r="C610" s="38" t="s">
        <v>527</v>
      </c>
      <c r="D610" s="36" t="s">
        <v>66</v>
      </c>
      <c r="E610" s="105">
        <v>312.5</v>
      </c>
    </row>
    <row r="611" spans="1:220" s="5" customFormat="1" ht="14.4" x14ac:dyDescent="0.3">
      <c r="A611" s="61" t="s">
        <v>15</v>
      </c>
      <c r="B611" s="34" t="s">
        <v>528</v>
      </c>
      <c r="C611" s="38" t="s">
        <v>529</v>
      </c>
      <c r="D611" s="36" t="s">
        <v>66</v>
      </c>
      <c r="E611" s="105">
        <v>367.5</v>
      </c>
    </row>
    <row r="612" spans="1:220" s="5" customFormat="1" ht="27.6" x14ac:dyDescent="0.3">
      <c r="A612" s="61" t="s">
        <v>15</v>
      </c>
      <c r="B612" s="34" t="s">
        <v>530</v>
      </c>
      <c r="C612" s="38" t="s">
        <v>531</v>
      </c>
      <c r="D612" s="36" t="s">
        <v>66</v>
      </c>
      <c r="E612" s="105">
        <v>367.5</v>
      </c>
    </row>
    <row r="613" spans="1:220" s="5" customFormat="1" ht="14.4" x14ac:dyDescent="0.3">
      <c r="A613" s="104" t="s">
        <v>15</v>
      </c>
      <c r="B613" s="112" t="s">
        <v>532</v>
      </c>
      <c r="C613" s="52" t="s">
        <v>533</v>
      </c>
      <c r="D613" s="54" t="s">
        <v>26</v>
      </c>
      <c r="E613" s="103">
        <v>1</v>
      </c>
    </row>
    <row r="614" spans="1:220" s="5" customFormat="1" ht="14.4" x14ac:dyDescent="0.3">
      <c r="A614" s="61" t="s">
        <v>15</v>
      </c>
      <c r="B614" s="34" t="s">
        <v>534</v>
      </c>
      <c r="C614" s="38" t="s">
        <v>527</v>
      </c>
      <c r="D614" s="36" t="s">
        <v>66</v>
      </c>
      <c r="E614" s="105">
        <v>336.5</v>
      </c>
    </row>
    <row r="615" spans="1:220" s="5" customFormat="1" ht="14.4" x14ac:dyDescent="0.3">
      <c r="A615" s="61" t="s">
        <v>15</v>
      </c>
      <c r="B615" s="34" t="s">
        <v>535</v>
      </c>
      <c r="C615" s="38" t="s">
        <v>529</v>
      </c>
      <c r="D615" s="36" t="s">
        <v>66</v>
      </c>
      <c r="E615" s="105">
        <v>398.2</v>
      </c>
    </row>
    <row r="616" spans="1:220" s="5" customFormat="1" ht="27.6" x14ac:dyDescent="0.3">
      <c r="A616" s="61" t="s">
        <v>15</v>
      </c>
      <c r="B616" s="34" t="s">
        <v>536</v>
      </c>
      <c r="C616" s="38" t="s">
        <v>531</v>
      </c>
      <c r="D616" s="36" t="s">
        <v>66</v>
      </c>
      <c r="E616" s="105">
        <v>398.2</v>
      </c>
    </row>
    <row r="617" spans="1:220" s="5" customFormat="1" ht="14.4" x14ac:dyDescent="0.3">
      <c r="A617" s="75" t="s">
        <v>15</v>
      </c>
      <c r="B617" s="36"/>
      <c r="C617" s="113" t="s">
        <v>1221</v>
      </c>
      <c r="D617" s="114"/>
      <c r="E617" s="115"/>
    </row>
    <row r="618" spans="1:220" s="5" customFormat="1" ht="14.4" x14ac:dyDescent="0.3">
      <c r="A618" s="75" t="s">
        <v>15</v>
      </c>
      <c r="B618" s="36"/>
      <c r="C618" s="113" t="s">
        <v>1219</v>
      </c>
      <c r="D618" s="114"/>
      <c r="E618" s="115"/>
    </row>
    <row r="619" spans="1:220" s="14" customFormat="1" ht="24" customHeight="1" x14ac:dyDescent="0.3">
      <c r="A619" s="56" t="s">
        <v>15</v>
      </c>
      <c r="B619" s="36"/>
      <c r="C619" s="57" t="s">
        <v>1220</v>
      </c>
      <c r="D619" s="77"/>
      <c r="E619" s="105"/>
    </row>
    <row r="620" spans="1:220" s="3" customFormat="1" ht="17.399999999999999" customHeight="1" x14ac:dyDescent="0.25">
      <c r="A620" s="62" t="s">
        <v>20</v>
      </c>
      <c r="B620" s="39"/>
      <c r="C620" s="64" t="s">
        <v>24</v>
      </c>
      <c r="D620" s="65"/>
      <c r="E620" s="6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</row>
    <row r="621" spans="1:220" s="5" customFormat="1" ht="28.8" x14ac:dyDescent="0.3">
      <c r="A621" s="26" t="s">
        <v>20</v>
      </c>
      <c r="B621" s="27" t="s">
        <v>175</v>
      </c>
      <c r="C621" s="116" t="s">
        <v>625</v>
      </c>
      <c r="D621" s="54" t="s">
        <v>26</v>
      </c>
      <c r="E621" s="30">
        <v>1</v>
      </c>
    </row>
    <row r="622" spans="1:220" s="5" customFormat="1" ht="28.2" x14ac:dyDescent="0.3">
      <c r="A622" s="33" t="s">
        <v>20</v>
      </c>
      <c r="B622" s="117" t="s">
        <v>182</v>
      </c>
      <c r="C622" s="118" t="s">
        <v>546</v>
      </c>
      <c r="D622" s="36" t="s">
        <v>108</v>
      </c>
      <c r="E622" s="36">
        <v>1</v>
      </c>
    </row>
    <row r="623" spans="1:220" s="5" customFormat="1" ht="28.2" x14ac:dyDescent="0.3">
      <c r="A623" s="33" t="s">
        <v>20</v>
      </c>
      <c r="B623" s="117" t="s">
        <v>183</v>
      </c>
      <c r="C623" s="118" t="s">
        <v>547</v>
      </c>
      <c r="D623" s="36" t="s">
        <v>108</v>
      </c>
      <c r="E623" s="36">
        <v>1</v>
      </c>
    </row>
    <row r="624" spans="1:220" s="5" customFormat="1" ht="14.4" x14ac:dyDescent="0.3">
      <c r="A624" s="33" t="s">
        <v>20</v>
      </c>
      <c r="B624" s="117" t="s">
        <v>184</v>
      </c>
      <c r="C624" s="118" t="s">
        <v>548</v>
      </c>
      <c r="D624" s="36" t="s">
        <v>108</v>
      </c>
      <c r="E624" s="36">
        <v>2</v>
      </c>
    </row>
    <row r="625" spans="1:5" s="5" customFormat="1" ht="28.2" x14ac:dyDescent="0.3">
      <c r="A625" s="33" t="s">
        <v>20</v>
      </c>
      <c r="B625" s="117" t="s">
        <v>629</v>
      </c>
      <c r="C625" s="118" t="s">
        <v>549</v>
      </c>
      <c r="D625" s="36" t="s">
        <v>108</v>
      </c>
      <c r="E625" s="36">
        <v>2</v>
      </c>
    </row>
    <row r="626" spans="1:5" s="5" customFormat="1" ht="28.2" x14ac:dyDescent="0.3">
      <c r="A626" s="33" t="s">
        <v>20</v>
      </c>
      <c r="B626" s="117" t="s">
        <v>630</v>
      </c>
      <c r="C626" s="118" t="s">
        <v>550</v>
      </c>
      <c r="D626" s="36" t="s">
        <v>108</v>
      </c>
      <c r="E626" s="36">
        <v>323</v>
      </c>
    </row>
    <row r="627" spans="1:5" s="5" customFormat="1" ht="28.2" x14ac:dyDescent="0.3">
      <c r="A627" s="33" t="s">
        <v>20</v>
      </c>
      <c r="B627" s="117" t="s">
        <v>631</v>
      </c>
      <c r="C627" s="118" t="s">
        <v>551</v>
      </c>
      <c r="D627" s="36" t="s">
        <v>108</v>
      </c>
      <c r="E627" s="36">
        <v>23</v>
      </c>
    </row>
    <row r="628" spans="1:5" s="5" customFormat="1" ht="28.2" x14ac:dyDescent="0.3">
      <c r="A628" s="33" t="s">
        <v>20</v>
      </c>
      <c r="B628" s="117" t="s">
        <v>632</v>
      </c>
      <c r="C628" s="118" t="s">
        <v>552</v>
      </c>
      <c r="D628" s="36" t="s">
        <v>108</v>
      </c>
      <c r="E628" s="36">
        <v>37</v>
      </c>
    </row>
    <row r="629" spans="1:5" s="5" customFormat="1" ht="14.4" x14ac:dyDescent="0.3">
      <c r="A629" s="33" t="s">
        <v>20</v>
      </c>
      <c r="B629" s="117" t="s">
        <v>633</v>
      </c>
      <c r="C629" s="118" t="s">
        <v>553</v>
      </c>
      <c r="D629" s="36" t="s">
        <v>108</v>
      </c>
      <c r="E629" s="36">
        <v>2</v>
      </c>
    </row>
    <row r="630" spans="1:5" s="5" customFormat="1" ht="28.2" x14ac:dyDescent="0.3">
      <c r="A630" s="33" t="s">
        <v>20</v>
      </c>
      <c r="B630" s="117" t="s">
        <v>634</v>
      </c>
      <c r="C630" s="118" t="s">
        <v>554</v>
      </c>
      <c r="D630" s="36" t="s">
        <v>108</v>
      </c>
      <c r="E630" s="36">
        <v>4</v>
      </c>
    </row>
    <row r="631" spans="1:5" s="5" customFormat="1" ht="42" x14ac:dyDescent="0.3">
      <c r="A631" s="33" t="s">
        <v>20</v>
      </c>
      <c r="B631" s="117" t="s">
        <v>635</v>
      </c>
      <c r="C631" s="118" t="s">
        <v>555</v>
      </c>
      <c r="D631" s="36" t="s">
        <v>189</v>
      </c>
      <c r="E631" s="36">
        <v>1837</v>
      </c>
    </row>
    <row r="632" spans="1:5" s="5" customFormat="1" ht="14.4" x14ac:dyDescent="0.3">
      <c r="A632" s="33" t="s">
        <v>20</v>
      </c>
      <c r="B632" s="117" t="s">
        <v>636</v>
      </c>
      <c r="C632" s="118" t="s">
        <v>556</v>
      </c>
      <c r="D632" s="36" t="s">
        <v>189</v>
      </c>
      <c r="E632" s="36">
        <v>1448</v>
      </c>
    </row>
    <row r="633" spans="1:5" s="5" customFormat="1" ht="28.2" x14ac:dyDescent="0.3">
      <c r="A633" s="33" t="s">
        <v>20</v>
      </c>
      <c r="B633" s="117" t="s">
        <v>637</v>
      </c>
      <c r="C633" s="118" t="s">
        <v>557</v>
      </c>
      <c r="D633" s="36" t="s">
        <v>560</v>
      </c>
      <c r="E633" s="36">
        <v>15</v>
      </c>
    </row>
    <row r="634" spans="1:5" s="5" customFormat="1" ht="28.2" x14ac:dyDescent="0.3">
      <c r="A634" s="33" t="s">
        <v>20</v>
      </c>
      <c r="B634" s="117" t="s">
        <v>638</v>
      </c>
      <c r="C634" s="118" t="s">
        <v>558</v>
      </c>
      <c r="D634" s="36" t="s">
        <v>560</v>
      </c>
      <c r="E634" s="36">
        <v>15</v>
      </c>
    </row>
    <row r="635" spans="1:5" s="5" customFormat="1" ht="14.4" x14ac:dyDescent="0.3">
      <c r="A635" s="33" t="s">
        <v>20</v>
      </c>
      <c r="B635" s="117" t="s">
        <v>639</v>
      </c>
      <c r="C635" s="118" t="s">
        <v>559</v>
      </c>
      <c r="D635" s="36" t="s">
        <v>560</v>
      </c>
      <c r="E635" s="36">
        <v>15</v>
      </c>
    </row>
    <row r="636" spans="1:5" s="5" customFormat="1" ht="69" x14ac:dyDescent="0.3">
      <c r="A636" s="33" t="s">
        <v>20</v>
      </c>
      <c r="B636" s="117" t="s">
        <v>640</v>
      </c>
      <c r="C636" s="38" t="s">
        <v>179</v>
      </c>
      <c r="D636" s="36" t="s">
        <v>26</v>
      </c>
      <c r="E636" s="37">
        <v>1</v>
      </c>
    </row>
    <row r="637" spans="1:5" s="5" customFormat="1" ht="16.8" customHeight="1" x14ac:dyDescent="0.3">
      <c r="A637" s="26" t="s">
        <v>20</v>
      </c>
      <c r="B637" s="27" t="s">
        <v>176</v>
      </c>
      <c r="C637" s="119" t="s">
        <v>624</v>
      </c>
      <c r="D637" s="54" t="s">
        <v>26</v>
      </c>
      <c r="E637" s="30">
        <v>1</v>
      </c>
    </row>
    <row r="638" spans="1:5" s="5" customFormat="1" ht="14.4" x14ac:dyDescent="0.3">
      <c r="A638" s="33" t="s">
        <v>20</v>
      </c>
      <c r="B638" s="117" t="s">
        <v>185</v>
      </c>
      <c r="C638" s="79" t="s">
        <v>561</v>
      </c>
      <c r="D638" s="36" t="s">
        <v>108</v>
      </c>
      <c r="E638" s="36">
        <v>15</v>
      </c>
    </row>
    <row r="639" spans="1:5" s="5" customFormat="1" ht="14.4" x14ac:dyDescent="0.3">
      <c r="A639" s="33" t="s">
        <v>20</v>
      </c>
      <c r="B639" s="117" t="s">
        <v>186</v>
      </c>
      <c r="C639" s="79" t="s">
        <v>562</v>
      </c>
      <c r="D639" s="36" t="s">
        <v>108</v>
      </c>
      <c r="E639" s="36">
        <v>12</v>
      </c>
    </row>
    <row r="640" spans="1:5" s="5" customFormat="1" ht="14.4" x14ac:dyDescent="0.3">
      <c r="A640" s="33" t="s">
        <v>20</v>
      </c>
      <c r="B640" s="117" t="s">
        <v>187</v>
      </c>
      <c r="C640" s="79" t="s">
        <v>563</v>
      </c>
      <c r="D640" s="36" t="s">
        <v>108</v>
      </c>
      <c r="E640" s="36">
        <v>12</v>
      </c>
    </row>
    <row r="641" spans="1:5" s="5" customFormat="1" ht="14.4" x14ac:dyDescent="0.3">
      <c r="A641" s="33" t="s">
        <v>20</v>
      </c>
      <c r="B641" s="117" t="s">
        <v>641</v>
      </c>
      <c r="C641" s="79" t="s">
        <v>564</v>
      </c>
      <c r="D641" s="36" t="s">
        <v>108</v>
      </c>
      <c r="E641" s="36">
        <v>12</v>
      </c>
    </row>
    <row r="642" spans="1:5" s="5" customFormat="1" ht="14.4" x14ac:dyDescent="0.3">
      <c r="A642" s="33" t="s">
        <v>20</v>
      </c>
      <c r="B642" s="117" t="s">
        <v>643</v>
      </c>
      <c r="C642" s="79" t="s">
        <v>565</v>
      </c>
      <c r="D642" s="36" t="s">
        <v>108</v>
      </c>
      <c r="E642" s="36">
        <v>9</v>
      </c>
    </row>
    <row r="643" spans="1:5" s="5" customFormat="1" ht="14.4" x14ac:dyDescent="0.3">
      <c r="A643" s="33" t="s">
        <v>20</v>
      </c>
      <c r="B643" s="117" t="s">
        <v>644</v>
      </c>
      <c r="C643" s="79" t="s">
        <v>566</v>
      </c>
      <c r="D643" s="36" t="s">
        <v>108</v>
      </c>
      <c r="E643" s="36">
        <v>12</v>
      </c>
    </row>
    <row r="644" spans="1:5" s="5" customFormat="1" ht="14.4" x14ac:dyDescent="0.3">
      <c r="A644" s="33" t="s">
        <v>20</v>
      </c>
      <c r="B644" s="117" t="s">
        <v>645</v>
      </c>
      <c r="C644" s="79" t="s">
        <v>567</v>
      </c>
      <c r="D644" s="36" t="s">
        <v>108</v>
      </c>
      <c r="E644" s="36">
        <v>1</v>
      </c>
    </row>
    <row r="645" spans="1:5" s="5" customFormat="1" ht="14.4" x14ac:dyDescent="0.3">
      <c r="A645" s="33" t="s">
        <v>20</v>
      </c>
      <c r="B645" s="117" t="s">
        <v>646</v>
      </c>
      <c r="C645" s="79" t="s">
        <v>568</v>
      </c>
      <c r="D645" s="36" t="s">
        <v>108</v>
      </c>
      <c r="E645" s="36">
        <v>1</v>
      </c>
    </row>
    <row r="646" spans="1:5" s="5" customFormat="1" ht="14.4" x14ac:dyDescent="0.3">
      <c r="A646" s="33" t="s">
        <v>20</v>
      </c>
      <c r="B646" s="117" t="s">
        <v>647</v>
      </c>
      <c r="C646" s="79" t="s">
        <v>569</v>
      </c>
      <c r="D646" s="36" t="s">
        <v>108</v>
      </c>
      <c r="E646" s="36">
        <v>1</v>
      </c>
    </row>
    <row r="647" spans="1:5" s="5" customFormat="1" ht="14.4" x14ac:dyDescent="0.3">
      <c r="A647" s="33" t="s">
        <v>20</v>
      </c>
      <c r="B647" s="117" t="s">
        <v>648</v>
      </c>
      <c r="C647" s="79" t="s">
        <v>570</v>
      </c>
      <c r="D647" s="36" t="s">
        <v>108</v>
      </c>
      <c r="E647" s="36">
        <v>1</v>
      </c>
    </row>
    <row r="648" spans="1:5" s="5" customFormat="1" ht="27.6" x14ac:dyDescent="0.3">
      <c r="A648" s="33" t="s">
        <v>20</v>
      </c>
      <c r="B648" s="117" t="s">
        <v>649</v>
      </c>
      <c r="C648" s="79" t="s">
        <v>571</v>
      </c>
      <c r="D648" s="36" t="s">
        <v>108</v>
      </c>
      <c r="E648" s="36">
        <v>1</v>
      </c>
    </row>
    <row r="649" spans="1:5" s="5" customFormat="1" ht="27.6" x14ac:dyDescent="0.3">
      <c r="A649" s="33" t="s">
        <v>20</v>
      </c>
      <c r="B649" s="117" t="s">
        <v>642</v>
      </c>
      <c r="C649" s="79" t="s">
        <v>572</v>
      </c>
      <c r="D649" s="36" t="s">
        <v>108</v>
      </c>
      <c r="E649" s="36">
        <v>1</v>
      </c>
    </row>
    <row r="650" spans="1:5" s="5" customFormat="1" ht="14.4" x14ac:dyDescent="0.3">
      <c r="A650" s="33" t="s">
        <v>20</v>
      </c>
      <c r="B650" s="117" t="s">
        <v>650</v>
      </c>
      <c r="C650" s="79" t="s">
        <v>573</v>
      </c>
      <c r="D650" s="36" t="s">
        <v>108</v>
      </c>
      <c r="E650" s="36">
        <v>1</v>
      </c>
    </row>
    <row r="651" spans="1:5" s="5" customFormat="1" ht="27.6" x14ac:dyDescent="0.3">
      <c r="A651" s="33" t="s">
        <v>20</v>
      </c>
      <c r="B651" s="117" t="s">
        <v>651</v>
      </c>
      <c r="C651" s="79" t="s">
        <v>574</v>
      </c>
      <c r="D651" s="36" t="s">
        <v>108</v>
      </c>
      <c r="E651" s="36">
        <v>1</v>
      </c>
    </row>
    <row r="652" spans="1:5" s="5" customFormat="1" ht="27.6" x14ac:dyDescent="0.3">
      <c r="A652" s="33" t="s">
        <v>20</v>
      </c>
      <c r="B652" s="117" t="s">
        <v>652</v>
      </c>
      <c r="C652" s="79" t="s">
        <v>575</v>
      </c>
      <c r="D652" s="36" t="s">
        <v>108</v>
      </c>
      <c r="E652" s="36">
        <v>1</v>
      </c>
    </row>
    <row r="653" spans="1:5" s="5" customFormat="1" ht="14.4" x14ac:dyDescent="0.3">
      <c r="A653" s="33" t="s">
        <v>20</v>
      </c>
      <c r="B653" s="117" t="s">
        <v>653</v>
      </c>
      <c r="C653" s="79" t="s">
        <v>576</v>
      </c>
      <c r="D653" s="36" t="s">
        <v>108</v>
      </c>
      <c r="E653" s="36">
        <v>1</v>
      </c>
    </row>
    <row r="654" spans="1:5" s="5" customFormat="1" ht="14.4" x14ac:dyDescent="0.3">
      <c r="A654" s="33" t="s">
        <v>20</v>
      </c>
      <c r="B654" s="117" t="s">
        <v>654</v>
      </c>
      <c r="C654" s="79" t="s">
        <v>577</v>
      </c>
      <c r="D654" s="36" t="s">
        <v>108</v>
      </c>
      <c r="E654" s="36">
        <v>1</v>
      </c>
    </row>
    <row r="655" spans="1:5" s="5" customFormat="1" ht="14.4" x14ac:dyDescent="0.3">
      <c r="A655" s="33" t="s">
        <v>20</v>
      </c>
      <c r="B655" s="117" t="s">
        <v>655</v>
      </c>
      <c r="C655" s="79" t="s">
        <v>578</v>
      </c>
      <c r="D655" s="36" t="s">
        <v>108</v>
      </c>
      <c r="E655" s="36">
        <v>1</v>
      </c>
    </row>
    <row r="656" spans="1:5" s="5" customFormat="1" ht="14.4" x14ac:dyDescent="0.3">
      <c r="A656" s="33" t="s">
        <v>20</v>
      </c>
      <c r="B656" s="117" t="s">
        <v>656</v>
      </c>
      <c r="C656" s="79" t="s">
        <v>579</v>
      </c>
      <c r="D656" s="36" t="s">
        <v>108</v>
      </c>
      <c r="E656" s="36">
        <v>1</v>
      </c>
    </row>
    <row r="657" spans="1:5" s="5" customFormat="1" ht="14.4" x14ac:dyDescent="0.3">
      <c r="A657" s="33" t="s">
        <v>20</v>
      </c>
      <c r="B657" s="117" t="s">
        <v>657</v>
      </c>
      <c r="C657" s="79" t="s">
        <v>580</v>
      </c>
      <c r="D657" s="36" t="s">
        <v>108</v>
      </c>
      <c r="E657" s="36">
        <v>1</v>
      </c>
    </row>
    <row r="658" spans="1:5" s="5" customFormat="1" ht="14.4" x14ac:dyDescent="0.3">
      <c r="A658" s="33" t="s">
        <v>20</v>
      </c>
      <c r="B658" s="117" t="s">
        <v>658</v>
      </c>
      <c r="C658" s="79" t="s">
        <v>581</v>
      </c>
      <c r="D658" s="36" t="s">
        <v>189</v>
      </c>
      <c r="E658" s="36">
        <v>706</v>
      </c>
    </row>
    <row r="659" spans="1:5" s="5" customFormat="1" ht="41.4" x14ac:dyDescent="0.3">
      <c r="A659" s="33" t="s">
        <v>20</v>
      </c>
      <c r="B659" s="117" t="s">
        <v>659</v>
      </c>
      <c r="C659" s="79" t="s">
        <v>582</v>
      </c>
      <c r="D659" s="36" t="s">
        <v>189</v>
      </c>
      <c r="E659" s="36">
        <v>756</v>
      </c>
    </row>
    <row r="660" spans="1:5" s="5" customFormat="1" ht="27.6" x14ac:dyDescent="0.3">
      <c r="A660" s="33" t="s">
        <v>20</v>
      </c>
      <c r="B660" s="117" t="s">
        <v>660</v>
      </c>
      <c r="C660" s="79" t="s">
        <v>583</v>
      </c>
      <c r="D660" s="36" t="s">
        <v>189</v>
      </c>
      <c r="E660" s="36">
        <v>120</v>
      </c>
    </row>
    <row r="661" spans="1:5" s="5" customFormat="1" ht="27.6" x14ac:dyDescent="0.3">
      <c r="A661" s="33" t="s">
        <v>20</v>
      </c>
      <c r="B661" s="117" t="s">
        <v>661</v>
      </c>
      <c r="C661" s="79" t="s">
        <v>584</v>
      </c>
      <c r="D661" s="36" t="s">
        <v>189</v>
      </c>
      <c r="E661" s="36">
        <v>82</v>
      </c>
    </row>
    <row r="662" spans="1:5" s="5" customFormat="1" ht="27.6" x14ac:dyDescent="0.3">
      <c r="A662" s="33" t="s">
        <v>20</v>
      </c>
      <c r="B662" s="117" t="s">
        <v>662</v>
      </c>
      <c r="C662" s="79" t="s">
        <v>557</v>
      </c>
      <c r="D662" s="36" t="s">
        <v>560</v>
      </c>
      <c r="E662" s="36">
        <v>8</v>
      </c>
    </row>
    <row r="663" spans="1:5" s="5" customFormat="1" ht="27.6" x14ac:dyDescent="0.3">
      <c r="A663" s="33" t="s">
        <v>20</v>
      </c>
      <c r="B663" s="117" t="s">
        <v>663</v>
      </c>
      <c r="C663" s="79" t="s">
        <v>558</v>
      </c>
      <c r="D663" s="36" t="s">
        <v>560</v>
      </c>
      <c r="E663" s="36">
        <v>8</v>
      </c>
    </row>
    <row r="664" spans="1:5" s="5" customFormat="1" ht="14.4" x14ac:dyDescent="0.3">
      <c r="A664" s="33" t="s">
        <v>20</v>
      </c>
      <c r="B664" s="117" t="s">
        <v>664</v>
      </c>
      <c r="C664" s="79" t="s">
        <v>559</v>
      </c>
      <c r="D664" s="36" t="s">
        <v>560</v>
      </c>
      <c r="E664" s="36">
        <v>10</v>
      </c>
    </row>
    <row r="665" spans="1:5" s="5" customFormat="1" ht="69" x14ac:dyDescent="0.3">
      <c r="A665" s="33" t="s">
        <v>20</v>
      </c>
      <c r="B665" s="117" t="s">
        <v>665</v>
      </c>
      <c r="C665" s="38" t="s">
        <v>181</v>
      </c>
      <c r="D665" s="36"/>
      <c r="E665" s="37">
        <v>1</v>
      </c>
    </row>
    <row r="666" spans="1:5" s="5" customFormat="1" ht="28.8" x14ac:dyDescent="0.3">
      <c r="A666" s="26" t="s">
        <v>20</v>
      </c>
      <c r="B666" s="27" t="s">
        <v>177</v>
      </c>
      <c r="C666" s="120" t="s">
        <v>626</v>
      </c>
      <c r="D666" s="54" t="s">
        <v>26</v>
      </c>
      <c r="E666" s="30">
        <v>1</v>
      </c>
    </row>
    <row r="667" spans="1:5" s="5" customFormat="1" ht="27.6" x14ac:dyDescent="0.3">
      <c r="A667" s="33" t="s">
        <v>20</v>
      </c>
      <c r="B667" s="34" t="s">
        <v>328</v>
      </c>
      <c r="C667" s="79" t="s">
        <v>585</v>
      </c>
      <c r="D667" s="36" t="s">
        <v>108</v>
      </c>
      <c r="E667" s="36">
        <v>2</v>
      </c>
    </row>
    <row r="668" spans="1:5" s="5" customFormat="1" ht="14.4" x14ac:dyDescent="0.3">
      <c r="A668" s="33" t="s">
        <v>20</v>
      </c>
      <c r="B668" s="34" t="s">
        <v>329</v>
      </c>
      <c r="C668" s="79" t="s">
        <v>586</v>
      </c>
      <c r="D668" s="36" t="s">
        <v>108</v>
      </c>
      <c r="E668" s="36">
        <v>8</v>
      </c>
    </row>
    <row r="669" spans="1:5" s="5" customFormat="1" ht="14.4" x14ac:dyDescent="0.3">
      <c r="A669" s="33" t="s">
        <v>20</v>
      </c>
      <c r="B669" s="34" t="s">
        <v>330</v>
      </c>
      <c r="C669" s="79" t="s">
        <v>587</v>
      </c>
      <c r="D669" s="36" t="s">
        <v>108</v>
      </c>
      <c r="E669" s="36">
        <v>1</v>
      </c>
    </row>
    <row r="670" spans="1:5" s="5" customFormat="1" ht="14.4" x14ac:dyDescent="0.3">
      <c r="A670" s="33" t="s">
        <v>20</v>
      </c>
      <c r="B670" s="34" t="s">
        <v>668</v>
      </c>
      <c r="C670" s="79" t="s">
        <v>588</v>
      </c>
      <c r="D670" s="36" t="s">
        <v>108</v>
      </c>
      <c r="E670" s="36">
        <v>1</v>
      </c>
    </row>
    <row r="671" spans="1:5" s="5" customFormat="1" ht="14.4" x14ac:dyDescent="0.3">
      <c r="A671" s="33" t="s">
        <v>20</v>
      </c>
      <c r="B671" s="34" t="s">
        <v>667</v>
      </c>
      <c r="C671" s="79" t="s">
        <v>589</v>
      </c>
      <c r="D671" s="36" t="s">
        <v>108</v>
      </c>
      <c r="E671" s="36">
        <v>2</v>
      </c>
    </row>
    <row r="672" spans="1:5" s="5" customFormat="1" ht="27.6" x14ac:dyDescent="0.3">
      <c r="A672" s="33" t="s">
        <v>20</v>
      </c>
      <c r="B672" s="34" t="s">
        <v>666</v>
      </c>
      <c r="C672" s="79" t="s">
        <v>590</v>
      </c>
      <c r="D672" s="36" t="s">
        <v>108</v>
      </c>
      <c r="E672" s="36">
        <v>2</v>
      </c>
    </row>
    <row r="673" spans="1:5" s="5" customFormat="1" ht="27.6" x14ac:dyDescent="0.3">
      <c r="A673" s="33" t="s">
        <v>20</v>
      </c>
      <c r="B673" s="34" t="s">
        <v>669</v>
      </c>
      <c r="C673" s="79" t="s">
        <v>591</v>
      </c>
      <c r="D673" s="36" t="s">
        <v>108</v>
      </c>
      <c r="E673" s="36">
        <v>30</v>
      </c>
    </row>
    <row r="674" spans="1:5" s="5" customFormat="1" ht="14.4" x14ac:dyDescent="0.3">
      <c r="A674" s="33" t="s">
        <v>20</v>
      </c>
      <c r="B674" s="34" t="s">
        <v>670</v>
      </c>
      <c r="C674" s="79" t="s">
        <v>592</v>
      </c>
      <c r="D674" s="36" t="s">
        <v>108</v>
      </c>
      <c r="E674" s="36">
        <v>58</v>
      </c>
    </row>
    <row r="675" spans="1:5" s="5" customFormat="1" ht="14.4" x14ac:dyDescent="0.3">
      <c r="A675" s="33" t="s">
        <v>20</v>
      </c>
      <c r="B675" s="34" t="s">
        <v>671</v>
      </c>
      <c r="C675" s="79" t="s">
        <v>593</v>
      </c>
      <c r="D675" s="36" t="s">
        <v>108</v>
      </c>
      <c r="E675" s="36">
        <v>2</v>
      </c>
    </row>
    <row r="676" spans="1:5" s="5" customFormat="1" ht="14.4" x14ac:dyDescent="0.3">
      <c r="A676" s="33" t="s">
        <v>20</v>
      </c>
      <c r="B676" s="34" t="s">
        <v>672</v>
      </c>
      <c r="C676" s="79" t="s">
        <v>594</v>
      </c>
      <c r="D676" s="36" t="s">
        <v>108</v>
      </c>
      <c r="E676" s="36">
        <v>30</v>
      </c>
    </row>
    <row r="677" spans="1:5" s="5" customFormat="1" ht="27.6" x14ac:dyDescent="0.3">
      <c r="A677" s="33" t="s">
        <v>20</v>
      </c>
      <c r="B677" s="34" t="s">
        <v>673</v>
      </c>
      <c r="C677" s="79" t="s">
        <v>595</v>
      </c>
      <c r="D677" s="36" t="s">
        <v>189</v>
      </c>
      <c r="E677" s="36">
        <v>3846</v>
      </c>
    </row>
    <row r="678" spans="1:5" s="5" customFormat="1" ht="27.6" x14ac:dyDescent="0.3">
      <c r="A678" s="33" t="s">
        <v>20</v>
      </c>
      <c r="B678" s="34" t="s">
        <v>674</v>
      </c>
      <c r="C678" s="79" t="s">
        <v>596</v>
      </c>
      <c r="D678" s="36" t="s">
        <v>189</v>
      </c>
      <c r="E678" s="36">
        <v>3576</v>
      </c>
    </row>
    <row r="679" spans="1:5" s="5" customFormat="1" ht="14.4" x14ac:dyDescent="0.3">
      <c r="A679" s="33" t="s">
        <v>20</v>
      </c>
      <c r="B679" s="34" t="s">
        <v>675</v>
      </c>
      <c r="C679" s="79" t="s">
        <v>597</v>
      </c>
      <c r="D679" s="36" t="s">
        <v>598</v>
      </c>
      <c r="E679" s="36">
        <v>1</v>
      </c>
    </row>
    <row r="680" spans="1:5" s="5" customFormat="1" ht="14.4" x14ac:dyDescent="0.3">
      <c r="A680" s="33" t="s">
        <v>20</v>
      </c>
      <c r="B680" s="34" t="s">
        <v>676</v>
      </c>
      <c r="C680" s="79" t="s">
        <v>599</v>
      </c>
      <c r="D680" s="36" t="s">
        <v>600</v>
      </c>
      <c r="E680" s="36">
        <v>2</v>
      </c>
    </row>
    <row r="681" spans="1:5" s="5" customFormat="1" ht="27.6" x14ac:dyDescent="0.3">
      <c r="A681" s="33" t="s">
        <v>20</v>
      </c>
      <c r="B681" s="34" t="s">
        <v>677</v>
      </c>
      <c r="C681" s="79" t="s">
        <v>557</v>
      </c>
      <c r="D681" s="36" t="s">
        <v>560</v>
      </c>
      <c r="E681" s="36">
        <v>39</v>
      </c>
    </row>
    <row r="682" spans="1:5" s="5" customFormat="1" ht="27.6" x14ac:dyDescent="0.3">
      <c r="A682" s="33" t="s">
        <v>20</v>
      </c>
      <c r="B682" s="34" t="s">
        <v>678</v>
      </c>
      <c r="C682" s="79" t="s">
        <v>558</v>
      </c>
      <c r="D682" s="36" t="s">
        <v>560</v>
      </c>
      <c r="E682" s="36">
        <v>39</v>
      </c>
    </row>
    <row r="683" spans="1:5" s="5" customFormat="1" ht="14.4" x14ac:dyDescent="0.3">
      <c r="A683" s="33" t="s">
        <v>20</v>
      </c>
      <c r="B683" s="34" t="s">
        <v>679</v>
      </c>
      <c r="C683" s="79" t="s">
        <v>559</v>
      </c>
      <c r="D683" s="36" t="s">
        <v>560</v>
      </c>
      <c r="E683" s="36">
        <v>42</v>
      </c>
    </row>
    <row r="684" spans="1:5" s="5" customFormat="1" ht="69" x14ac:dyDescent="0.3">
      <c r="A684" s="33" t="s">
        <v>20</v>
      </c>
      <c r="B684" s="34" t="s">
        <v>680</v>
      </c>
      <c r="C684" s="38" t="s">
        <v>179</v>
      </c>
      <c r="D684" s="36" t="s">
        <v>26</v>
      </c>
      <c r="E684" s="37">
        <v>1</v>
      </c>
    </row>
    <row r="685" spans="1:5" s="5" customFormat="1" ht="28.8" x14ac:dyDescent="0.3">
      <c r="A685" s="26" t="s">
        <v>20</v>
      </c>
      <c r="B685" s="27" t="s">
        <v>178</v>
      </c>
      <c r="C685" s="120" t="s">
        <v>627</v>
      </c>
      <c r="D685" s="54" t="s">
        <v>26</v>
      </c>
      <c r="E685" s="30">
        <v>1</v>
      </c>
    </row>
    <row r="686" spans="1:5" s="5" customFormat="1" ht="27.6" x14ac:dyDescent="0.3">
      <c r="A686" s="33" t="s">
        <v>20</v>
      </c>
      <c r="B686" s="34" t="s">
        <v>331</v>
      </c>
      <c r="C686" s="79" t="s">
        <v>601</v>
      </c>
      <c r="D686" s="36" t="s">
        <v>108</v>
      </c>
      <c r="E686" s="36">
        <v>2</v>
      </c>
    </row>
    <row r="687" spans="1:5" s="5" customFormat="1" ht="27.6" x14ac:dyDescent="0.3">
      <c r="A687" s="33" t="s">
        <v>20</v>
      </c>
      <c r="B687" s="34" t="s">
        <v>332</v>
      </c>
      <c r="C687" s="79" t="s">
        <v>602</v>
      </c>
      <c r="D687" s="36" t="s">
        <v>108</v>
      </c>
      <c r="E687" s="36">
        <v>2</v>
      </c>
    </row>
    <row r="688" spans="1:5" s="5" customFormat="1" ht="14.4" x14ac:dyDescent="0.3">
      <c r="A688" s="33" t="s">
        <v>20</v>
      </c>
      <c r="B688" s="34" t="s">
        <v>333</v>
      </c>
      <c r="C688" s="79" t="s">
        <v>603</v>
      </c>
      <c r="D688" s="36" t="s">
        <v>108</v>
      </c>
      <c r="E688" s="36">
        <v>2</v>
      </c>
    </row>
    <row r="689" spans="1:5" s="5" customFormat="1" ht="27.6" x14ac:dyDescent="0.3">
      <c r="A689" s="33" t="s">
        <v>20</v>
      </c>
      <c r="B689" s="34" t="s">
        <v>628</v>
      </c>
      <c r="C689" s="79" t="s">
        <v>604</v>
      </c>
      <c r="D689" s="36" t="s">
        <v>108</v>
      </c>
      <c r="E689" s="36">
        <v>5</v>
      </c>
    </row>
    <row r="690" spans="1:5" s="5" customFormat="1" ht="27.6" x14ac:dyDescent="0.3">
      <c r="A690" s="33" t="s">
        <v>20</v>
      </c>
      <c r="B690" s="34" t="s">
        <v>681</v>
      </c>
      <c r="C690" s="79" t="s">
        <v>605</v>
      </c>
      <c r="D690" s="36" t="s">
        <v>108</v>
      </c>
      <c r="E690" s="36">
        <v>5</v>
      </c>
    </row>
    <row r="691" spans="1:5" s="5" customFormat="1" ht="27.6" x14ac:dyDescent="0.3">
      <c r="A691" s="33" t="s">
        <v>20</v>
      </c>
      <c r="B691" s="34" t="s">
        <v>682</v>
      </c>
      <c r="C691" s="79" t="s">
        <v>606</v>
      </c>
      <c r="D691" s="36" t="s">
        <v>108</v>
      </c>
      <c r="E691" s="36">
        <v>75</v>
      </c>
    </row>
    <row r="692" spans="1:5" s="5" customFormat="1" ht="27.6" x14ac:dyDescent="0.3">
      <c r="A692" s="33" t="s">
        <v>20</v>
      </c>
      <c r="B692" s="34" t="s">
        <v>683</v>
      </c>
      <c r="C692" s="79" t="s">
        <v>607</v>
      </c>
      <c r="D692" s="36" t="s">
        <v>108</v>
      </c>
      <c r="E692" s="36">
        <v>33</v>
      </c>
    </row>
    <row r="693" spans="1:5" s="5" customFormat="1" ht="27.6" x14ac:dyDescent="0.3">
      <c r="A693" s="33" t="s">
        <v>20</v>
      </c>
      <c r="B693" s="34" t="s">
        <v>684</v>
      </c>
      <c r="C693" s="79" t="s">
        <v>608</v>
      </c>
      <c r="D693" s="36" t="s">
        <v>108</v>
      </c>
      <c r="E693" s="36">
        <v>25</v>
      </c>
    </row>
    <row r="694" spans="1:5" s="5" customFormat="1" ht="27.6" x14ac:dyDescent="0.3">
      <c r="A694" s="33" t="s">
        <v>20</v>
      </c>
      <c r="B694" s="34" t="s">
        <v>685</v>
      </c>
      <c r="C694" s="79" t="s">
        <v>609</v>
      </c>
      <c r="D694" s="36" t="s">
        <v>108</v>
      </c>
      <c r="E694" s="36">
        <v>2</v>
      </c>
    </row>
    <row r="695" spans="1:5" s="5" customFormat="1" ht="14.4" x14ac:dyDescent="0.3">
      <c r="A695" s="33" t="s">
        <v>20</v>
      </c>
      <c r="B695" s="34" t="s">
        <v>686</v>
      </c>
      <c r="C695" s="79" t="s">
        <v>610</v>
      </c>
      <c r="D695" s="36" t="s">
        <v>108</v>
      </c>
      <c r="E695" s="36">
        <v>1</v>
      </c>
    </row>
    <row r="696" spans="1:5" s="5" customFormat="1" ht="27.6" x14ac:dyDescent="0.3">
      <c r="A696" s="33" t="s">
        <v>20</v>
      </c>
      <c r="B696" s="34" t="s">
        <v>687</v>
      </c>
      <c r="C696" s="79" t="s">
        <v>611</v>
      </c>
      <c r="D696" s="36" t="s">
        <v>108</v>
      </c>
      <c r="E696" s="36">
        <v>110</v>
      </c>
    </row>
    <row r="697" spans="1:5" s="5" customFormat="1" ht="55.2" x14ac:dyDescent="0.3">
      <c r="A697" s="33" t="s">
        <v>20</v>
      </c>
      <c r="B697" s="34" t="s">
        <v>688</v>
      </c>
      <c r="C697" s="121" t="s">
        <v>612</v>
      </c>
      <c r="D697" s="71" t="s">
        <v>189</v>
      </c>
      <c r="E697" s="71">
        <v>12505</v>
      </c>
    </row>
    <row r="698" spans="1:5" s="5" customFormat="1" ht="64.2" customHeight="1" x14ac:dyDescent="0.3">
      <c r="A698" s="33"/>
      <c r="B698" s="34"/>
      <c r="C698" s="121" t="s">
        <v>612</v>
      </c>
      <c r="D698" s="71" t="s">
        <v>189</v>
      </c>
      <c r="E698" s="71">
        <v>12505</v>
      </c>
    </row>
    <row r="699" spans="1:5" s="5" customFormat="1" ht="27.6" x14ac:dyDescent="0.3">
      <c r="A699" s="33" t="s">
        <v>20</v>
      </c>
      <c r="B699" s="34" t="s">
        <v>689</v>
      </c>
      <c r="C699" s="79" t="s">
        <v>557</v>
      </c>
      <c r="D699" s="36" t="s">
        <v>560</v>
      </c>
      <c r="E699" s="36">
        <v>120</v>
      </c>
    </row>
    <row r="700" spans="1:5" s="5" customFormat="1" ht="27.6" x14ac:dyDescent="0.3">
      <c r="A700" s="33" t="s">
        <v>20</v>
      </c>
      <c r="B700" s="34" t="s">
        <v>690</v>
      </c>
      <c r="C700" s="79" t="s">
        <v>558</v>
      </c>
      <c r="D700" s="36" t="s">
        <v>560</v>
      </c>
      <c r="E700" s="36">
        <v>128</v>
      </c>
    </row>
    <row r="701" spans="1:5" s="5" customFormat="1" ht="14.4" x14ac:dyDescent="0.3">
      <c r="A701" s="33" t="s">
        <v>20</v>
      </c>
      <c r="B701" s="34" t="s">
        <v>691</v>
      </c>
      <c r="C701" s="79" t="s">
        <v>559</v>
      </c>
      <c r="D701" s="36" t="s">
        <v>560</v>
      </c>
      <c r="E701" s="36">
        <v>120</v>
      </c>
    </row>
    <row r="702" spans="1:5" s="5" customFormat="1" ht="27.6" x14ac:dyDescent="0.3">
      <c r="A702" s="33" t="s">
        <v>20</v>
      </c>
      <c r="B702" s="34" t="s">
        <v>692</v>
      </c>
      <c r="C702" s="79" t="s">
        <v>613</v>
      </c>
      <c r="D702" s="36" t="s">
        <v>108</v>
      </c>
      <c r="E702" s="36">
        <v>39</v>
      </c>
    </row>
    <row r="703" spans="1:5" s="5" customFormat="1" ht="27.6" x14ac:dyDescent="0.3">
      <c r="A703" s="33" t="s">
        <v>20</v>
      </c>
      <c r="B703" s="34" t="s">
        <v>693</v>
      </c>
      <c r="C703" s="79" t="s">
        <v>614</v>
      </c>
      <c r="D703" s="36" t="s">
        <v>108</v>
      </c>
      <c r="E703" s="36">
        <v>63</v>
      </c>
    </row>
    <row r="704" spans="1:5" s="5" customFormat="1" ht="27.6" x14ac:dyDescent="0.3">
      <c r="A704" s="33" t="s">
        <v>20</v>
      </c>
      <c r="B704" s="34" t="s">
        <v>694</v>
      </c>
      <c r="C704" s="79" t="s">
        <v>615</v>
      </c>
      <c r="D704" s="36" t="s">
        <v>108</v>
      </c>
      <c r="E704" s="36">
        <v>4</v>
      </c>
    </row>
    <row r="705" spans="1:220" s="5" customFormat="1" ht="27.6" x14ac:dyDescent="0.3">
      <c r="A705" s="33" t="s">
        <v>20</v>
      </c>
      <c r="B705" s="34" t="s">
        <v>695</v>
      </c>
      <c r="C705" s="79" t="s">
        <v>616</v>
      </c>
      <c r="D705" s="36" t="s">
        <v>108</v>
      </c>
      <c r="E705" s="36">
        <v>1</v>
      </c>
    </row>
    <row r="706" spans="1:220" s="5" customFormat="1" ht="27.6" x14ac:dyDescent="0.3">
      <c r="A706" s="33" t="s">
        <v>20</v>
      </c>
      <c r="B706" s="34" t="s">
        <v>696</v>
      </c>
      <c r="C706" s="79" t="s">
        <v>617</v>
      </c>
      <c r="D706" s="36" t="s">
        <v>108</v>
      </c>
      <c r="E706" s="36">
        <v>4</v>
      </c>
    </row>
    <row r="707" spans="1:220" s="5" customFormat="1" ht="14.4" x14ac:dyDescent="0.3">
      <c r="A707" s="33" t="s">
        <v>20</v>
      </c>
      <c r="B707" s="34" t="s">
        <v>697</v>
      </c>
      <c r="C707" s="79" t="s">
        <v>618</v>
      </c>
      <c r="D707" s="36" t="s">
        <v>108</v>
      </c>
      <c r="E707" s="36">
        <v>42</v>
      </c>
    </row>
    <row r="708" spans="1:220" s="5" customFormat="1" ht="14.4" x14ac:dyDescent="0.3">
      <c r="A708" s="33" t="s">
        <v>20</v>
      </c>
      <c r="B708" s="34" t="s">
        <v>698</v>
      </c>
      <c r="C708" s="79" t="s">
        <v>619</v>
      </c>
      <c r="D708" s="36" t="s">
        <v>108</v>
      </c>
      <c r="E708" s="36">
        <v>20</v>
      </c>
    </row>
    <row r="709" spans="1:220" s="5" customFormat="1" ht="27.6" x14ac:dyDescent="0.3">
      <c r="A709" s="33" t="s">
        <v>20</v>
      </c>
      <c r="B709" s="34" t="s">
        <v>699</v>
      </c>
      <c r="C709" s="79" t="s">
        <v>620</v>
      </c>
      <c r="D709" s="36" t="s">
        <v>108</v>
      </c>
      <c r="E709" s="36">
        <v>3</v>
      </c>
    </row>
    <row r="710" spans="1:220" s="5" customFormat="1" ht="27.6" x14ac:dyDescent="0.3">
      <c r="A710" s="33" t="s">
        <v>20</v>
      </c>
      <c r="B710" s="34" t="s">
        <v>700</v>
      </c>
      <c r="C710" s="79" t="s">
        <v>621</v>
      </c>
      <c r="D710" s="36" t="s">
        <v>108</v>
      </c>
      <c r="E710" s="36">
        <v>5</v>
      </c>
    </row>
    <row r="711" spans="1:220" s="5" customFormat="1" ht="14.4" x14ac:dyDescent="0.3">
      <c r="A711" s="33" t="s">
        <v>20</v>
      </c>
      <c r="B711" s="34" t="s">
        <v>701</v>
      </c>
      <c r="C711" s="79" t="s">
        <v>622</v>
      </c>
      <c r="D711" s="36" t="s">
        <v>108</v>
      </c>
      <c r="E711" s="36">
        <v>100</v>
      </c>
    </row>
    <row r="712" spans="1:220" s="5" customFormat="1" ht="14.4" x14ac:dyDescent="0.3">
      <c r="A712" s="33" t="s">
        <v>20</v>
      </c>
      <c r="B712" s="34" t="s">
        <v>702</v>
      </c>
      <c r="C712" s="79" t="s">
        <v>623</v>
      </c>
      <c r="D712" s="36" t="s">
        <v>108</v>
      </c>
      <c r="E712" s="36">
        <v>11280</v>
      </c>
    </row>
    <row r="713" spans="1:220" s="5" customFormat="1" ht="69" x14ac:dyDescent="0.3">
      <c r="A713" s="33" t="s">
        <v>20</v>
      </c>
      <c r="B713" s="34" t="s">
        <v>703</v>
      </c>
      <c r="C713" s="38" t="s">
        <v>179</v>
      </c>
      <c r="D713" s="36" t="s">
        <v>26</v>
      </c>
      <c r="E713" s="37">
        <v>1</v>
      </c>
    </row>
    <row r="714" spans="1:220" s="7" customFormat="1" ht="23.4" customHeight="1" x14ac:dyDescent="0.25">
      <c r="A714" s="26" t="s">
        <v>20</v>
      </c>
      <c r="B714" s="76"/>
      <c r="C714" s="57" t="s">
        <v>1251</v>
      </c>
      <c r="D714" s="77"/>
      <c r="E714" s="3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</row>
    <row r="715" spans="1:220" s="3" customFormat="1" ht="18.600000000000001" customHeight="1" x14ac:dyDescent="0.25">
      <c r="A715" s="62" t="s">
        <v>29</v>
      </c>
      <c r="B715" s="63"/>
      <c r="C715" s="64" t="s">
        <v>30</v>
      </c>
      <c r="D715" s="65"/>
      <c r="E715" s="6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</row>
    <row r="716" spans="1:220" s="3" customFormat="1" ht="14.4" x14ac:dyDescent="0.3">
      <c r="A716" s="106" t="s">
        <v>29</v>
      </c>
      <c r="B716" s="22">
        <v>1</v>
      </c>
      <c r="C716" s="28" t="s">
        <v>238</v>
      </c>
      <c r="D716" s="67"/>
      <c r="E716" s="6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</row>
    <row r="717" spans="1:220" s="3" customFormat="1" ht="27.6" x14ac:dyDescent="0.3">
      <c r="A717" s="26" t="s">
        <v>29</v>
      </c>
      <c r="B717" s="34" t="s">
        <v>704</v>
      </c>
      <c r="C717" s="38" t="s">
        <v>705</v>
      </c>
      <c r="D717" s="122"/>
      <c r="E717" s="12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</row>
    <row r="718" spans="1:220" s="3" customFormat="1" x14ac:dyDescent="0.25">
      <c r="A718" s="33" t="s">
        <v>29</v>
      </c>
      <c r="B718" s="34"/>
      <c r="C718" s="38" t="s">
        <v>706</v>
      </c>
      <c r="D718" s="36" t="s">
        <v>35</v>
      </c>
      <c r="E718" s="123">
        <v>1775.3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</row>
    <row r="719" spans="1:220" s="3" customFormat="1" x14ac:dyDescent="0.25">
      <c r="A719" s="33" t="s">
        <v>29</v>
      </c>
      <c r="B719" s="34"/>
      <c r="C719" s="38" t="s">
        <v>707</v>
      </c>
      <c r="D719" s="36" t="s">
        <v>35</v>
      </c>
      <c r="E719" s="123">
        <v>51.1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</row>
    <row r="720" spans="1:220" s="3" customFormat="1" x14ac:dyDescent="0.25">
      <c r="A720" s="33" t="s">
        <v>29</v>
      </c>
      <c r="B720" s="34"/>
      <c r="C720" s="38" t="s">
        <v>708</v>
      </c>
      <c r="D720" s="36" t="s">
        <v>35</v>
      </c>
      <c r="E720" s="123">
        <v>1149.47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</row>
    <row r="721" spans="1:220" s="3" customFormat="1" ht="14.4" x14ac:dyDescent="0.25">
      <c r="A721" s="26" t="s">
        <v>29</v>
      </c>
      <c r="B721" s="34" t="s">
        <v>709</v>
      </c>
      <c r="C721" s="108" t="s">
        <v>710</v>
      </c>
      <c r="D721" s="36" t="s">
        <v>26</v>
      </c>
      <c r="E721" s="123">
        <v>0.66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</row>
    <row r="722" spans="1:220" s="3" customFormat="1" x14ac:dyDescent="0.25">
      <c r="A722" s="33" t="s">
        <v>29</v>
      </c>
      <c r="B722" s="34"/>
      <c r="C722" s="108" t="s">
        <v>239</v>
      </c>
      <c r="D722" s="36" t="s">
        <v>108</v>
      </c>
      <c r="E722" s="123">
        <v>6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</row>
    <row r="723" spans="1:220" s="3" customFormat="1" x14ac:dyDescent="0.25">
      <c r="A723" s="33" t="s">
        <v>29</v>
      </c>
      <c r="B723" s="34"/>
      <c r="C723" s="108" t="s">
        <v>711</v>
      </c>
      <c r="D723" s="36" t="s">
        <v>189</v>
      </c>
      <c r="E723" s="123">
        <v>25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</row>
    <row r="724" spans="1:220" s="3" customFormat="1" x14ac:dyDescent="0.25">
      <c r="A724" s="33" t="s">
        <v>29</v>
      </c>
      <c r="B724" s="34"/>
      <c r="C724" s="108" t="s">
        <v>712</v>
      </c>
      <c r="D724" s="36" t="s">
        <v>189</v>
      </c>
      <c r="E724" s="123">
        <v>92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</row>
    <row r="725" spans="1:220" s="3" customFormat="1" x14ac:dyDescent="0.25">
      <c r="A725" s="33" t="s">
        <v>29</v>
      </c>
      <c r="B725" s="34"/>
      <c r="C725" s="108" t="s">
        <v>713</v>
      </c>
      <c r="D725" s="36" t="s">
        <v>189</v>
      </c>
      <c r="E725" s="123">
        <v>116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</row>
    <row r="726" spans="1:220" s="3" customFormat="1" x14ac:dyDescent="0.25">
      <c r="A726" s="33" t="s">
        <v>29</v>
      </c>
      <c r="B726" s="34"/>
      <c r="C726" s="108" t="s">
        <v>714</v>
      </c>
      <c r="D726" s="36" t="s">
        <v>189</v>
      </c>
      <c r="E726" s="123">
        <v>134.6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</row>
    <row r="727" spans="1:220" s="3" customFormat="1" x14ac:dyDescent="0.25">
      <c r="A727" s="33" t="s">
        <v>29</v>
      </c>
      <c r="B727" s="34"/>
      <c r="C727" s="108" t="s">
        <v>715</v>
      </c>
      <c r="D727" s="36" t="s">
        <v>108</v>
      </c>
      <c r="E727" s="123">
        <v>5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</row>
    <row r="728" spans="1:220" s="3" customFormat="1" x14ac:dyDescent="0.25">
      <c r="A728" s="33" t="s">
        <v>29</v>
      </c>
      <c r="B728" s="34"/>
      <c r="C728" s="108" t="s">
        <v>716</v>
      </c>
      <c r="D728" s="36" t="s">
        <v>108</v>
      </c>
      <c r="E728" s="123">
        <v>4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</row>
    <row r="729" spans="1:220" s="3" customFormat="1" x14ac:dyDescent="0.25">
      <c r="A729" s="33" t="s">
        <v>29</v>
      </c>
      <c r="B729" s="34"/>
      <c r="C729" s="108" t="s">
        <v>717</v>
      </c>
      <c r="D729" s="36" t="s">
        <v>108</v>
      </c>
      <c r="E729" s="123">
        <v>2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</row>
    <row r="730" spans="1:220" s="3" customFormat="1" x14ac:dyDescent="0.25">
      <c r="A730" s="33" t="s">
        <v>29</v>
      </c>
      <c r="B730" s="34"/>
      <c r="C730" s="108" t="s">
        <v>718</v>
      </c>
      <c r="D730" s="36" t="s">
        <v>108</v>
      </c>
      <c r="E730" s="123">
        <v>6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</row>
    <row r="731" spans="1:220" s="3" customFormat="1" x14ac:dyDescent="0.25">
      <c r="A731" s="124"/>
      <c r="B731" s="34"/>
      <c r="C731" s="108" t="s">
        <v>719</v>
      </c>
      <c r="D731" s="36" t="s">
        <v>108</v>
      </c>
      <c r="E731" s="123">
        <v>1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</row>
    <row r="732" spans="1:220" s="3" customFormat="1" x14ac:dyDescent="0.25">
      <c r="A732" s="33" t="s">
        <v>29</v>
      </c>
      <c r="B732" s="34"/>
      <c r="C732" s="108" t="s">
        <v>720</v>
      </c>
      <c r="D732" s="36" t="s">
        <v>108</v>
      </c>
      <c r="E732" s="123">
        <v>10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</row>
    <row r="733" spans="1:220" s="3" customFormat="1" ht="14.4" x14ac:dyDescent="0.3">
      <c r="A733" s="106" t="s">
        <v>29</v>
      </c>
      <c r="B733" s="27">
        <v>2</v>
      </c>
      <c r="C733" s="28" t="s">
        <v>240</v>
      </c>
      <c r="D733" s="54" t="s">
        <v>26</v>
      </c>
      <c r="E733" s="125">
        <v>1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</row>
    <row r="734" spans="1:220" s="3" customFormat="1" ht="43.2" x14ac:dyDescent="0.25">
      <c r="A734" s="26" t="s">
        <v>29</v>
      </c>
      <c r="B734" s="27" t="s">
        <v>721</v>
      </c>
      <c r="C734" s="60" t="s">
        <v>705</v>
      </c>
      <c r="D734" s="54" t="s">
        <v>26</v>
      </c>
      <c r="E734" s="126">
        <v>0.34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</row>
    <row r="735" spans="1:220" s="3" customFormat="1" x14ac:dyDescent="0.25">
      <c r="A735" s="33" t="s">
        <v>29</v>
      </c>
      <c r="B735" s="34"/>
      <c r="C735" s="38" t="s">
        <v>706</v>
      </c>
      <c r="D735" s="36" t="s">
        <v>35</v>
      </c>
      <c r="E735" s="123">
        <v>887.7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</row>
    <row r="736" spans="1:220" s="3" customFormat="1" x14ac:dyDescent="0.25">
      <c r="A736" s="33" t="s">
        <v>29</v>
      </c>
      <c r="B736" s="34"/>
      <c r="C736" s="38" t="s">
        <v>707</v>
      </c>
      <c r="D736" s="36" t="s">
        <v>35</v>
      </c>
      <c r="E736" s="123">
        <v>25.6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</row>
    <row r="737" spans="1:220" s="3" customFormat="1" x14ac:dyDescent="0.25">
      <c r="A737" s="33" t="s">
        <v>29</v>
      </c>
      <c r="B737" s="34"/>
      <c r="C737" s="38" t="s">
        <v>708</v>
      </c>
      <c r="D737" s="36" t="s">
        <v>35</v>
      </c>
      <c r="E737" s="123">
        <v>862.1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</row>
    <row r="738" spans="1:220" s="3" customFormat="1" x14ac:dyDescent="0.25">
      <c r="A738" s="33" t="s">
        <v>29</v>
      </c>
      <c r="B738" s="34" t="s">
        <v>722</v>
      </c>
      <c r="C738" s="108" t="s">
        <v>723</v>
      </c>
      <c r="D738" s="36" t="s">
        <v>26</v>
      </c>
      <c r="E738" s="123">
        <v>0.66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</row>
    <row r="739" spans="1:220" s="3" customFormat="1" x14ac:dyDescent="0.25">
      <c r="A739" s="33" t="s">
        <v>29</v>
      </c>
      <c r="B739" s="34"/>
      <c r="C739" s="108" t="s">
        <v>724</v>
      </c>
      <c r="D739" s="36" t="s">
        <v>108</v>
      </c>
      <c r="E739" s="123">
        <v>8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</row>
    <row r="740" spans="1:220" s="3" customFormat="1" x14ac:dyDescent="0.25">
      <c r="A740" s="33" t="s">
        <v>29</v>
      </c>
      <c r="B740" s="34"/>
      <c r="C740" s="108" t="s">
        <v>725</v>
      </c>
      <c r="D740" s="36" t="s">
        <v>189</v>
      </c>
      <c r="E740" s="123">
        <v>22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</row>
    <row r="741" spans="1:220" s="3" customFormat="1" x14ac:dyDescent="0.25">
      <c r="A741" s="33" t="s">
        <v>29</v>
      </c>
      <c r="B741" s="34"/>
      <c r="C741" s="108" t="s">
        <v>726</v>
      </c>
      <c r="D741" s="36" t="s">
        <v>189</v>
      </c>
      <c r="E741" s="123">
        <v>60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</row>
    <row r="742" spans="1:220" s="3" customFormat="1" x14ac:dyDescent="0.25">
      <c r="A742" s="33" t="s">
        <v>29</v>
      </c>
      <c r="B742" s="34"/>
      <c r="C742" s="108" t="s">
        <v>727</v>
      </c>
      <c r="D742" s="36" t="s">
        <v>189</v>
      </c>
      <c r="E742" s="123">
        <v>70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</row>
    <row r="743" spans="1:220" s="3" customFormat="1" x14ac:dyDescent="0.25">
      <c r="A743" s="33" t="s">
        <v>29</v>
      </c>
      <c r="B743" s="34"/>
      <c r="C743" s="108" t="s">
        <v>728</v>
      </c>
      <c r="D743" s="36" t="s">
        <v>108</v>
      </c>
      <c r="E743" s="123">
        <v>8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</row>
    <row r="744" spans="1:220" s="3" customFormat="1" ht="14.4" x14ac:dyDescent="0.3">
      <c r="A744" s="106" t="s">
        <v>29</v>
      </c>
      <c r="B744" s="34" t="s">
        <v>729</v>
      </c>
      <c r="C744" s="127" t="s">
        <v>0</v>
      </c>
      <c r="D744" s="128" t="s">
        <v>26</v>
      </c>
      <c r="E744" s="123">
        <v>1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</row>
    <row r="745" spans="1:220" s="3" customFormat="1" ht="28.8" x14ac:dyDescent="0.25">
      <c r="A745" s="26" t="s">
        <v>29</v>
      </c>
      <c r="B745" s="27" t="s">
        <v>18</v>
      </c>
      <c r="C745" s="60" t="s">
        <v>241</v>
      </c>
      <c r="D745" s="54" t="s">
        <v>26</v>
      </c>
      <c r="E745" s="126">
        <v>0.34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</row>
    <row r="746" spans="1:220" s="3" customFormat="1" ht="14.4" x14ac:dyDescent="0.25">
      <c r="A746" s="33" t="s">
        <v>29</v>
      </c>
      <c r="B746" s="27"/>
      <c r="C746" s="38" t="s">
        <v>242</v>
      </c>
      <c r="D746" s="36" t="s">
        <v>35</v>
      </c>
      <c r="E746" s="123">
        <v>1445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</row>
    <row r="747" spans="1:220" s="3" customFormat="1" ht="14.4" x14ac:dyDescent="0.25">
      <c r="A747" s="33" t="s">
        <v>29</v>
      </c>
      <c r="B747" s="27"/>
      <c r="C747" s="38" t="s">
        <v>243</v>
      </c>
      <c r="D747" s="36" t="s">
        <v>35</v>
      </c>
      <c r="E747" s="123">
        <f>E746-(E748+101.5)</f>
        <v>1326.8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</row>
    <row r="748" spans="1:220" s="3" customFormat="1" x14ac:dyDescent="0.25">
      <c r="A748" s="33" t="s">
        <v>29</v>
      </c>
      <c r="B748" s="34"/>
      <c r="C748" s="38" t="s">
        <v>244</v>
      </c>
      <c r="D748" s="36" t="s">
        <v>35</v>
      </c>
      <c r="E748" s="123">
        <v>16.7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</row>
    <row r="749" spans="1:220" s="3" customFormat="1" x14ac:dyDescent="0.25">
      <c r="A749" s="33" t="s">
        <v>29</v>
      </c>
      <c r="B749" s="34"/>
      <c r="C749" s="38" t="s">
        <v>245</v>
      </c>
      <c r="D749" s="36" t="s">
        <v>108</v>
      </c>
      <c r="E749" s="123">
        <v>149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</row>
    <row r="750" spans="1:220" s="3" customFormat="1" x14ac:dyDescent="0.25">
      <c r="A750" s="33" t="s">
        <v>29</v>
      </c>
      <c r="B750" s="34"/>
      <c r="C750" s="38" t="s">
        <v>246</v>
      </c>
      <c r="D750" s="36" t="s">
        <v>35</v>
      </c>
      <c r="E750" s="123">
        <v>2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</row>
    <row r="751" spans="1:220" s="3" customFormat="1" x14ac:dyDescent="0.25">
      <c r="A751" s="33" t="s">
        <v>29</v>
      </c>
      <c r="B751" s="34"/>
      <c r="C751" s="38" t="s">
        <v>247</v>
      </c>
      <c r="D751" s="36" t="s">
        <v>236</v>
      </c>
      <c r="E751" s="123">
        <v>31.76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</row>
    <row r="752" spans="1:220" s="3" customFormat="1" x14ac:dyDescent="0.25">
      <c r="A752" s="33" t="s">
        <v>29</v>
      </c>
      <c r="B752" s="34"/>
      <c r="C752" s="38" t="s">
        <v>248</v>
      </c>
      <c r="D752" s="36" t="s">
        <v>108</v>
      </c>
      <c r="E752" s="123">
        <v>24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</row>
    <row r="753" spans="1:220" s="3" customFormat="1" x14ac:dyDescent="0.25">
      <c r="A753" s="33" t="s">
        <v>29</v>
      </c>
      <c r="B753" s="34" t="s">
        <v>249</v>
      </c>
      <c r="C753" s="38" t="s">
        <v>250</v>
      </c>
      <c r="D753" s="36" t="s">
        <v>35</v>
      </c>
      <c r="E753" s="123">
        <v>1.4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</row>
    <row r="754" spans="1:220" s="3" customFormat="1" x14ac:dyDescent="0.25">
      <c r="A754" s="33" t="s">
        <v>29</v>
      </c>
      <c r="B754" s="34"/>
      <c r="C754" s="38" t="s">
        <v>251</v>
      </c>
      <c r="D754" s="36" t="s">
        <v>108</v>
      </c>
      <c r="E754" s="123">
        <v>11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</row>
    <row r="755" spans="1:220" s="3" customFormat="1" x14ac:dyDescent="0.25">
      <c r="A755" s="33" t="s">
        <v>29</v>
      </c>
      <c r="B755" s="34"/>
      <c r="C755" s="38" t="s">
        <v>252</v>
      </c>
      <c r="D755" s="36" t="s">
        <v>236</v>
      </c>
      <c r="E755" s="123">
        <v>308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</row>
    <row r="756" spans="1:220" s="3" customFormat="1" x14ac:dyDescent="0.25">
      <c r="A756" s="33" t="s">
        <v>29</v>
      </c>
      <c r="B756" s="34"/>
      <c r="C756" s="38" t="s">
        <v>253</v>
      </c>
      <c r="D756" s="36" t="s">
        <v>35</v>
      </c>
      <c r="E756" s="123">
        <v>8.6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</row>
    <row r="757" spans="1:220" s="3" customFormat="1" x14ac:dyDescent="0.25">
      <c r="A757" s="33" t="s">
        <v>29</v>
      </c>
      <c r="B757" s="34"/>
      <c r="C757" s="38" t="s">
        <v>254</v>
      </c>
      <c r="D757" s="36" t="s">
        <v>236</v>
      </c>
      <c r="E757" s="123">
        <v>23.6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</row>
    <row r="758" spans="1:220" s="3" customFormat="1" ht="14.4" x14ac:dyDescent="0.25">
      <c r="A758" s="26" t="s">
        <v>29</v>
      </c>
      <c r="B758" s="27" t="s">
        <v>9</v>
      </c>
      <c r="C758" s="28" t="s">
        <v>255</v>
      </c>
      <c r="D758" s="54" t="s">
        <v>26</v>
      </c>
      <c r="E758" s="126">
        <v>0.66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</row>
    <row r="759" spans="1:220" s="3" customFormat="1" x14ac:dyDescent="0.25">
      <c r="A759" s="33" t="s">
        <v>29</v>
      </c>
      <c r="B759" s="34"/>
      <c r="C759" s="38" t="s">
        <v>256</v>
      </c>
      <c r="D759" s="36" t="s">
        <v>189</v>
      </c>
      <c r="E759" s="123">
        <v>80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</row>
    <row r="760" spans="1:220" s="3" customFormat="1" x14ac:dyDescent="0.25">
      <c r="A760" s="33" t="s">
        <v>29</v>
      </c>
      <c r="B760" s="34"/>
      <c r="C760" s="38" t="s">
        <v>257</v>
      </c>
      <c r="D760" s="36" t="s">
        <v>189</v>
      </c>
      <c r="E760" s="123">
        <v>80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</row>
    <row r="761" spans="1:220" s="3" customFormat="1" x14ac:dyDescent="0.25">
      <c r="A761" s="33" t="s">
        <v>29</v>
      </c>
      <c r="B761" s="34"/>
      <c r="C761" s="38" t="s">
        <v>258</v>
      </c>
      <c r="D761" s="36" t="s">
        <v>189</v>
      </c>
      <c r="E761" s="123">
        <v>160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</row>
    <row r="762" spans="1:220" s="3" customFormat="1" x14ac:dyDescent="0.25">
      <c r="A762" s="33" t="s">
        <v>29</v>
      </c>
      <c r="B762" s="34"/>
      <c r="C762" s="38" t="s">
        <v>259</v>
      </c>
      <c r="D762" s="36" t="s">
        <v>189</v>
      </c>
      <c r="E762" s="123">
        <v>180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</row>
    <row r="763" spans="1:220" s="3" customFormat="1" x14ac:dyDescent="0.25">
      <c r="A763" s="33" t="s">
        <v>29</v>
      </c>
      <c r="B763" s="34"/>
      <c r="C763" s="38" t="s">
        <v>260</v>
      </c>
      <c r="D763" s="36" t="s">
        <v>189</v>
      </c>
      <c r="E763" s="123">
        <v>90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</row>
    <row r="764" spans="1:220" s="3" customFormat="1" x14ac:dyDescent="0.25">
      <c r="A764" s="33" t="s">
        <v>29</v>
      </c>
      <c r="B764" s="34"/>
      <c r="C764" s="38" t="s">
        <v>261</v>
      </c>
      <c r="D764" s="36" t="s">
        <v>189</v>
      </c>
      <c r="E764" s="123">
        <v>90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</row>
    <row r="765" spans="1:220" s="3" customFormat="1" x14ac:dyDescent="0.25">
      <c r="A765" s="33" t="s">
        <v>29</v>
      </c>
      <c r="B765" s="34"/>
      <c r="C765" s="38" t="s">
        <v>262</v>
      </c>
      <c r="D765" s="36" t="s">
        <v>189</v>
      </c>
      <c r="E765" s="123">
        <v>4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</row>
    <row r="766" spans="1:220" s="3" customFormat="1" ht="27.6" x14ac:dyDescent="0.25">
      <c r="A766" s="33" t="s">
        <v>29</v>
      </c>
      <c r="B766" s="34"/>
      <c r="C766" s="38" t="s">
        <v>263</v>
      </c>
      <c r="D766" s="36" t="s">
        <v>66</v>
      </c>
      <c r="E766" s="123">
        <v>184.73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</row>
    <row r="767" spans="1:220" s="3" customFormat="1" ht="27.6" x14ac:dyDescent="0.25">
      <c r="A767" s="33" t="s">
        <v>29</v>
      </c>
      <c r="B767" s="34"/>
      <c r="C767" s="38" t="s">
        <v>264</v>
      </c>
      <c r="D767" s="36" t="s">
        <v>66</v>
      </c>
      <c r="E767" s="123">
        <v>19.14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</row>
    <row r="768" spans="1:220" s="3" customFormat="1" x14ac:dyDescent="0.25">
      <c r="A768" s="33" t="s">
        <v>29</v>
      </c>
      <c r="B768" s="34"/>
      <c r="C768" s="38" t="s">
        <v>265</v>
      </c>
      <c r="D768" s="36" t="s">
        <v>66</v>
      </c>
      <c r="E768" s="123">
        <v>453.44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</row>
    <row r="769" spans="1:220" s="3" customFormat="1" ht="27.6" x14ac:dyDescent="0.25">
      <c r="A769" s="33" t="s">
        <v>29</v>
      </c>
      <c r="B769" s="27"/>
      <c r="C769" s="38" t="s">
        <v>266</v>
      </c>
      <c r="D769" s="36" t="s">
        <v>66</v>
      </c>
      <c r="E769" s="123">
        <v>32.33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</row>
    <row r="770" spans="1:220" s="3" customFormat="1" ht="14.4" x14ac:dyDescent="0.25">
      <c r="A770" s="33" t="s">
        <v>29</v>
      </c>
      <c r="B770" s="27"/>
      <c r="C770" s="38" t="s">
        <v>267</v>
      </c>
      <c r="D770" s="36" t="s">
        <v>108</v>
      </c>
      <c r="E770" s="123">
        <v>23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</row>
    <row r="771" spans="1:220" s="3" customFormat="1" ht="14.4" x14ac:dyDescent="0.25">
      <c r="A771" s="33" t="s">
        <v>29</v>
      </c>
      <c r="B771" s="27"/>
      <c r="C771" s="38" t="s">
        <v>268</v>
      </c>
      <c r="D771" s="36" t="s">
        <v>108</v>
      </c>
      <c r="E771" s="123">
        <v>180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</row>
    <row r="772" spans="1:220" s="3" customFormat="1" x14ac:dyDescent="0.25">
      <c r="A772" s="33" t="s">
        <v>29</v>
      </c>
      <c r="B772" s="34"/>
      <c r="C772" s="108" t="s">
        <v>269</v>
      </c>
      <c r="D772" s="36" t="s">
        <v>108</v>
      </c>
      <c r="E772" s="123">
        <v>26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</row>
    <row r="773" spans="1:220" s="3" customFormat="1" x14ac:dyDescent="0.25">
      <c r="A773" s="33" t="s">
        <v>29</v>
      </c>
      <c r="B773" s="34"/>
      <c r="C773" s="108" t="s">
        <v>270</v>
      </c>
      <c r="D773" s="36" t="s">
        <v>108</v>
      </c>
      <c r="E773" s="123">
        <v>20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</row>
    <row r="774" spans="1:220" s="3" customFormat="1" x14ac:dyDescent="0.25">
      <c r="A774" s="33" t="s">
        <v>29</v>
      </c>
      <c r="B774" s="34"/>
      <c r="C774" s="108" t="s">
        <v>271</v>
      </c>
      <c r="D774" s="36" t="s">
        <v>108</v>
      </c>
      <c r="E774" s="123">
        <v>2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</row>
    <row r="775" spans="1:220" s="3" customFormat="1" x14ac:dyDescent="0.25">
      <c r="A775" s="33" t="s">
        <v>29</v>
      </c>
      <c r="B775" s="34"/>
      <c r="C775" s="108" t="s">
        <v>272</v>
      </c>
      <c r="D775" s="36" t="s">
        <v>108</v>
      </c>
      <c r="E775" s="123">
        <v>2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</row>
    <row r="776" spans="1:220" s="3" customFormat="1" x14ac:dyDescent="0.25">
      <c r="A776" s="33" t="s">
        <v>29</v>
      </c>
      <c r="B776" s="34"/>
      <c r="C776" s="108" t="s">
        <v>273</v>
      </c>
      <c r="D776" s="36" t="s">
        <v>108</v>
      </c>
      <c r="E776" s="123">
        <v>1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s="3" customFormat="1" x14ac:dyDescent="0.25">
      <c r="A777" s="33" t="s">
        <v>29</v>
      </c>
      <c r="B777" s="34"/>
      <c r="C777" s="108" t="s">
        <v>274</v>
      </c>
      <c r="D777" s="36" t="s">
        <v>108</v>
      </c>
      <c r="E777" s="123">
        <v>1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</row>
    <row r="778" spans="1:220" s="3" customFormat="1" x14ac:dyDescent="0.25">
      <c r="A778" s="33" t="s">
        <v>29</v>
      </c>
      <c r="B778" s="34"/>
      <c r="C778" s="108" t="s">
        <v>275</v>
      </c>
      <c r="D778" s="36" t="s">
        <v>108</v>
      </c>
      <c r="E778" s="123">
        <v>1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</row>
    <row r="779" spans="1:220" s="3" customFormat="1" x14ac:dyDescent="0.25">
      <c r="A779" s="33" t="s">
        <v>29</v>
      </c>
      <c r="B779" s="34"/>
      <c r="C779" s="108" t="s">
        <v>276</v>
      </c>
      <c r="D779" s="36" t="s">
        <v>108</v>
      </c>
      <c r="E779" s="123">
        <v>1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</row>
    <row r="780" spans="1:220" s="3" customFormat="1" ht="14.4" x14ac:dyDescent="0.3">
      <c r="A780" s="106" t="s">
        <v>29</v>
      </c>
      <c r="B780" s="27">
        <v>4</v>
      </c>
      <c r="C780" s="127" t="s">
        <v>1</v>
      </c>
      <c r="D780" s="128" t="s">
        <v>26</v>
      </c>
      <c r="E780" s="123">
        <v>1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</row>
    <row r="781" spans="1:220" s="3" customFormat="1" ht="14.4" x14ac:dyDescent="0.25">
      <c r="A781" s="26" t="s">
        <v>29</v>
      </c>
      <c r="B781" s="27" t="s">
        <v>4</v>
      </c>
      <c r="C781" s="28" t="s">
        <v>730</v>
      </c>
      <c r="D781" s="54" t="s">
        <v>26</v>
      </c>
      <c r="E781" s="126">
        <v>0.34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</row>
    <row r="782" spans="1:220" s="3" customFormat="1" x14ac:dyDescent="0.25">
      <c r="A782" s="33"/>
      <c r="B782" s="34"/>
      <c r="C782" s="38" t="s">
        <v>242</v>
      </c>
      <c r="D782" s="36" t="s">
        <v>35</v>
      </c>
      <c r="E782" s="123">
        <v>998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</row>
    <row r="783" spans="1:220" s="3" customFormat="1" x14ac:dyDescent="0.25">
      <c r="A783" s="33" t="s">
        <v>29</v>
      </c>
      <c r="B783" s="34"/>
      <c r="C783" s="38" t="s">
        <v>731</v>
      </c>
      <c r="D783" s="36" t="s">
        <v>35</v>
      </c>
      <c r="E783" s="123">
        <v>21.6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</row>
    <row r="784" spans="1:220" s="3" customFormat="1" x14ac:dyDescent="0.25">
      <c r="A784" s="33" t="s">
        <v>29</v>
      </c>
      <c r="B784" s="34"/>
      <c r="C784" s="38" t="s">
        <v>732</v>
      </c>
      <c r="D784" s="36" t="s">
        <v>237</v>
      </c>
      <c r="E784" s="123">
        <v>180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</row>
    <row r="785" spans="1:220" s="3" customFormat="1" x14ac:dyDescent="0.25">
      <c r="A785" s="33" t="s">
        <v>29</v>
      </c>
      <c r="B785" s="34"/>
      <c r="C785" s="38" t="s">
        <v>243</v>
      </c>
      <c r="D785" s="36" t="s">
        <v>35</v>
      </c>
      <c r="E785" s="123">
        <v>713.6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</row>
    <row r="786" spans="1:220" s="3" customFormat="1" x14ac:dyDescent="0.25">
      <c r="A786" s="33" t="s">
        <v>29</v>
      </c>
      <c r="B786" s="34"/>
      <c r="C786" s="38" t="s">
        <v>733</v>
      </c>
      <c r="D786" s="36" t="s">
        <v>237</v>
      </c>
      <c r="E786" s="123">
        <v>27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</row>
    <row r="787" spans="1:220" s="3" customFormat="1" x14ac:dyDescent="0.25">
      <c r="A787" s="33" t="s">
        <v>29</v>
      </c>
      <c r="B787" s="34"/>
      <c r="C787" s="38" t="s">
        <v>734</v>
      </c>
      <c r="D787" s="36" t="s">
        <v>108</v>
      </c>
      <c r="E787" s="123">
        <v>1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</row>
    <row r="788" spans="1:220" s="3" customFormat="1" x14ac:dyDescent="0.25">
      <c r="A788" s="59" t="s">
        <v>29</v>
      </c>
      <c r="B788" s="72" t="s">
        <v>5</v>
      </c>
      <c r="C788" s="127" t="s">
        <v>1</v>
      </c>
      <c r="D788" s="128" t="s">
        <v>26</v>
      </c>
      <c r="E788" s="129">
        <v>0.66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</row>
    <row r="789" spans="1:220" s="3" customFormat="1" x14ac:dyDescent="0.25">
      <c r="A789" s="33" t="s">
        <v>29</v>
      </c>
      <c r="B789" s="34"/>
      <c r="C789" s="108" t="s">
        <v>277</v>
      </c>
      <c r="D789" s="36" t="s">
        <v>108</v>
      </c>
      <c r="E789" s="123">
        <v>1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</row>
    <row r="790" spans="1:220" s="3" customFormat="1" x14ac:dyDescent="0.25">
      <c r="A790" s="33" t="s">
        <v>29</v>
      </c>
      <c r="B790" s="34"/>
      <c r="C790" s="108" t="s">
        <v>278</v>
      </c>
      <c r="D790" s="36" t="s">
        <v>108</v>
      </c>
      <c r="E790" s="123">
        <v>1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</row>
    <row r="791" spans="1:220" s="3" customFormat="1" ht="27.6" x14ac:dyDescent="0.25">
      <c r="A791" s="33" t="s">
        <v>29</v>
      </c>
      <c r="B791" s="27"/>
      <c r="C791" s="38" t="s">
        <v>735</v>
      </c>
      <c r="D791" s="36" t="s">
        <v>237</v>
      </c>
      <c r="E791" s="123">
        <v>336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</row>
    <row r="792" spans="1:220" s="3" customFormat="1" ht="27.6" x14ac:dyDescent="0.25">
      <c r="A792" s="33" t="s">
        <v>29</v>
      </c>
      <c r="B792" s="34"/>
      <c r="C792" s="38" t="s">
        <v>736</v>
      </c>
      <c r="D792" s="36" t="s">
        <v>237</v>
      </c>
      <c r="E792" s="123">
        <v>222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</row>
    <row r="793" spans="1:220" s="3" customFormat="1" x14ac:dyDescent="0.25">
      <c r="A793" s="33" t="s">
        <v>29</v>
      </c>
      <c r="B793" s="34"/>
      <c r="C793" s="38" t="s">
        <v>737</v>
      </c>
      <c r="D793" s="36" t="s">
        <v>108</v>
      </c>
      <c r="E793" s="123">
        <v>4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</row>
    <row r="794" spans="1:220" s="3" customFormat="1" ht="14.4" x14ac:dyDescent="0.3">
      <c r="A794" s="106" t="s">
        <v>29</v>
      </c>
      <c r="B794" s="27">
        <v>5</v>
      </c>
      <c r="C794" s="127" t="s">
        <v>2</v>
      </c>
      <c r="D794" s="128" t="s">
        <v>26</v>
      </c>
      <c r="E794" s="130">
        <v>1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</row>
    <row r="795" spans="1:220" s="3" customFormat="1" ht="14.4" x14ac:dyDescent="0.25">
      <c r="A795" s="26" t="s">
        <v>29</v>
      </c>
      <c r="B795" s="34" t="s">
        <v>16</v>
      </c>
      <c r="C795" s="108" t="s">
        <v>2</v>
      </c>
      <c r="D795" s="36" t="s">
        <v>26</v>
      </c>
      <c r="E795" s="123">
        <v>0.5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</row>
    <row r="796" spans="1:220" s="3" customFormat="1" x14ac:dyDescent="0.25">
      <c r="A796" s="33"/>
      <c r="B796" s="34"/>
      <c r="C796" s="108" t="s">
        <v>279</v>
      </c>
      <c r="D796" s="36" t="s">
        <v>237</v>
      </c>
      <c r="E796" s="123">
        <v>226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</row>
    <row r="797" spans="1:220" s="3" customFormat="1" x14ac:dyDescent="0.25">
      <c r="A797" s="33"/>
      <c r="B797" s="34"/>
      <c r="C797" s="108"/>
      <c r="D797" s="36"/>
      <c r="E797" s="12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</row>
    <row r="798" spans="1:220" s="3" customFormat="1" x14ac:dyDescent="0.25">
      <c r="A798" s="33"/>
      <c r="B798" s="34"/>
      <c r="C798" s="108" t="s">
        <v>280</v>
      </c>
      <c r="D798" s="36" t="s">
        <v>66</v>
      </c>
      <c r="E798" s="131">
        <f>1040+810+330+1975+375+245+1380</f>
        <v>6155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</row>
    <row r="799" spans="1:220" s="3" customFormat="1" ht="28.8" x14ac:dyDescent="0.25">
      <c r="A799" s="26" t="s">
        <v>29</v>
      </c>
      <c r="B799" s="27"/>
      <c r="C799" s="60" t="s">
        <v>281</v>
      </c>
      <c r="D799" s="54" t="s">
        <v>66</v>
      </c>
      <c r="E799" s="126">
        <v>810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</row>
    <row r="800" spans="1:220" s="3" customFormat="1" x14ac:dyDescent="0.25">
      <c r="A800" s="33"/>
      <c r="B800" s="34"/>
      <c r="C800" s="38" t="s">
        <v>282</v>
      </c>
      <c r="D800" s="36" t="s">
        <v>66</v>
      </c>
      <c r="E800" s="123">
        <f>810*1.2</f>
        <v>972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</row>
    <row r="801" spans="1:220" s="3" customFormat="1" x14ac:dyDescent="0.25">
      <c r="A801" s="33"/>
      <c r="B801" s="34"/>
      <c r="C801" s="38" t="s">
        <v>283</v>
      </c>
      <c r="D801" s="36" t="s">
        <v>66</v>
      </c>
      <c r="E801" s="123">
        <v>972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</row>
    <row r="802" spans="1:220" s="3" customFormat="1" ht="55.2" x14ac:dyDescent="0.25">
      <c r="A802" s="33"/>
      <c r="B802" s="34"/>
      <c r="C802" s="38" t="s">
        <v>284</v>
      </c>
      <c r="D802" s="36" t="s">
        <v>66</v>
      </c>
      <c r="E802" s="123">
        <v>810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</row>
    <row r="803" spans="1:220" s="3" customFormat="1" x14ac:dyDescent="0.25">
      <c r="A803" s="33"/>
      <c r="B803" s="34"/>
      <c r="C803" s="38" t="s">
        <v>285</v>
      </c>
      <c r="D803" s="36" t="s">
        <v>66</v>
      </c>
      <c r="E803" s="123">
        <v>330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</row>
    <row r="804" spans="1:220" s="3" customFormat="1" ht="28.8" x14ac:dyDescent="0.25">
      <c r="A804" s="26" t="s">
        <v>29</v>
      </c>
      <c r="B804" s="27"/>
      <c r="C804" s="60" t="s">
        <v>286</v>
      </c>
      <c r="D804" s="54" t="s">
        <v>66</v>
      </c>
      <c r="E804" s="126">
        <v>1975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</row>
    <row r="805" spans="1:220" s="3" customFormat="1" x14ac:dyDescent="0.25">
      <c r="A805" s="33"/>
      <c r="B805" s="34"/>
      <c r="C805" s="38" t="s">
        <v>282</v>
      </c>
      <c r="D805" s="36" t="s">
        <v>66</v>
      </c>
      <c r="E805" s="123">
        <f>E804*1.2</f>
        <v>2370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</row>
    <row r="806" spans="1:220" s="3" customFormat="1" x14ac:dyDescent="0.25">
      <c r="A806" s="33"/>
      <c r="B806" s="34"/>
      <c r="C806" s="38" t="s">
        <v>287</v>
      </c>
      <c r="D806" s="36" t="s">
        <v>66</v>
      </c>
      <c r="E806" s="123">
        <f>E805</f>
        <v>2370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</row>
    <row r="807" spans="1:220" s="3" customFormat="1" x14ac:dyDescent="0.25">
      <c r="A807" s="33"/>
      <c r="B807" s="34"/>
      <c r="C807" s="38" t="s">
        <v>288</v>
      </c>
      <c r="D807" s="36" t="s">
        <v>66</v>
      </c>
      <c r="E807" s="123">
        <v>2370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</row>
    <row r="808" spans="1:220" s="3" customFormat="1" ht="27.6" x14ac:dyDescent="0.25">
      <c r="A808" s="33"/>
      <c r="B808" s="34"/>
      <c r="C808" s="38" t="s">
        <v>289</v>
      </c>
      <c r="D808" s="36" t="s">
        <v>237</v>
      </c>
      <c r="E808" s="123">
        <v>712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</row>
    <row r="809" spans="1:220" s="3" customFormat="1" x14ac:dyDescent="0.25">
      <c r="A809" s="33"/>
      <c r="B809" s="34"/>
      <c r="C809" s="38" t="s">
        <v>290</v>
      </c>
      <c r="D809" s="36" t="s">
        <v>66</v>
      </c>
      <c r="E809" s="123">
        <v>2370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</row>
    <row r="810" spans="1:220" s="3" customFormat="1" x14ac:dyDescent="0.25">
      <c r="A810" s="33"/>
      <c r="B810" s="34"/>
      <c r="C810" s="38" t="s">
        <v>291</v>
      </c>
      <c r="D810" s="36" t="s">
        <v>66</v>
      </c>
      <c r="E810" s="123">
        <v>1975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</row>
    <row r="811" spans="1:220" s="3" customFormat="1" ht="27.6" x14ac:dyDescent="0.25">
      <c r="A811" s="33"/>
      <c r="B811" s="34"/>
      <c r="C811" s="38" t="s">
        <v>292</v>
      </c>
      <c r="D811" s="36" t="s">
        <v>66</v>
      </c>
      <c r="E811" s="123">
        <v>1975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</row>
    <row r="812" spans="1:220" s="3" customFormat="1" ht="14.4" x14ac:dyDescent="0.25">
      <c r="A812" s="26" t="s">
        <v>29</v>
      </c>
      <c r="B812" s="27"/>
      <c r="C812" s="60" t="s">
        <v>293</v>
      </c>
      <c r="D812" s="54" t="s">
        <v>66</v>
      </c>
      <c r="E812" s="126">
        <v>375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</row>
    <row r="813" spans="1:220" s="3" customFormat="1" x14ac:dyDescent="0.25">
      <c r="A813" s="33"/>
      <c r="B813" s="34"/>
      <c r="C813" s="38" t="s">
        <v>282</v>
      </c>
      <c r="D813" s="36" t="s">
        <v>66</v>
      </c>
      <c r="E813" s="123">
        <f>E812*1.2</f>
        <v>450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</row>
    <row r="814" spans="1:220" s="3" customFormat="1" x14ac:dyDescent="0.25">
      <c r="A814" s="33"/>
      <c r="B814" s="34"/>
      <c r="C814" s="38" t="s">
        <v>294</v>
      </c>
      <c r="D814" s="36" t="s">
        <v>66</v>
      </c>
      <c r="E814" s="123">
        <f>E812*1.2</f>
        <v>450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</row>
    <row r="815" spans="1:220" s="3" customFormat="1" ht="45" customHeight="1" x14ac:dyDescent="0.25">
      <c r="A815" s="33"/>
      <c r="B815" s="34"/>
      <c r="C815" s="38" t="s">
        <v>295</v>
      </c>
      <c r="D815" s="36" t="s">
        <v>237</v>
      </c>
      <c r="E815" s="123">
        <v>395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</row>
    <row r="816" spans="1:220" s="3" customFormat="1" ht="19.8" customHeight="1" x14ac:dyDescent="0.25">
      <c r="A816" s="33"/>
      <c r="B816" s="34"/>
      <c r="C816" s="38" t="s">
        <v>291</v>
      </c>
      <c r="D816" s="36" t="s">
        <v>66</v>
      </c>
      <c r="E816" s="123">
        <v>375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</row>
    <row r="817" spans="1:220" s="3" customFormat="1" x14ac:dyDescent="0.25">
      <c r="A817" s="33"/>
      <c r="B817" s="34"/>
      <c r="C817" s="38" t="s">
        <v>296</v>
      </c>
      <c r="D817" s="36" t="s">
        <v>66</v>
      </c>
      <c r="E817" s="123">
        <v>375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</row>
    <row r="818" spans="1:220" s="3" customFormat="1" ht="14.4" x14ac:dyDescent="0.25">
      <c r="A818" s="26" t="s">
        <v>29</v>
      </c>
      <c r="B818" s="27"/>
      <c r="C818" s="60" t="s">
        <v>297</v>
      </c>
      <c r="D818" s="54" t="s">
        <v>66</v>
      </c>
      <c r="E818" s="126">
        <v>245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</row>
    <row r="819" spans="1:220" s="3" customFormat="1" x14ac:dyDescent="0.25">
      <c r="A819" s="33"/>
      <c r="B819" s="34"/>
      <c r="C819" s="38" t="s">
        <v>298</v>
      </c>
      <c r="D819" s="36" t="s">
        <v>66</v>
      </c>
      <c r="E819" s="123">
        <v>686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</row>
    <row r="820" spans="1:220" s="3" customFormat="1" x14ac:dyDescent="0.25">
      <c r="A820" s="33"/>
      <c r="B820" s="34"/>
      <c r="C820" s="38" t="s">
        <v>283</v>
      </c>
      <c r="D820" s="36" t="s">
        <v>66</v>
      </c>
      <c r="E820" s="123">
        <v>686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</row>
    <row r="821" spans="1:220" s="3" customFormat="1" x14ac:dyDescent="0.25">
      <c r="A821" s="33"/>
      <c r="B821" s="34"/>
      <c r="C821" s="38" t="s">
        <v>299</v>
      </c>
      <c r="D821" s="36" t="s">
        <v>66</v>
      </c>
      <c r="E821" s="123">
        <v>345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</row>
    <row r="822" spans="1:220" s="3" customFormat="1" x14ac:dyDescent="0.25">
      <c r="A822" s="33"/>
      <c r="B822" s="34"/>
      <c r="C822" s="38" t="s">
        <v>288</v>
      </c>
      <c r="D822" s="36" t="s">
        <v>66</v>
      </c>
      <c r="E822" s="123">
        <f>343*1.5</f>
        <v>514.5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</row>
    <row r="823" spans="1:220" s="3" customFormat="1" ht="15" customHeight="1" x14ac:dyDescent="0.25">
      <c r="A823" s="33"/>
      <c r="B823" s="34"/>
      <c r="C823" s="38" t="s">
        <v>300</v>
      </c>
      <c r="D823" s="36" t="s">
        <v>66</v>
      </c>
      <c r="E823" s="123">
        <f>343*1.2</f>
        <v>411.59999999999997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</row>
    <row r="824" spans="1:220" s="3" customFormat="1" ht="27.6" x14ac:dyDescent="0.25">
      <c r="A824" s="33"/>
      <c r="B824" s="34"/>
      <c r="C824" s="38" t="s">
        <v>301</v>
      </c>
      <c r="D824" s="36" t="s">
        <v>66</v>
      </c>
      <c r="E824" s="123">
        <f>343*1.2</f>
        <v>411.59999999999997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</row>
    <row r="825" spans="1:220" s="3" customFormat="1" ht="18.600000000000001" customHeight="1" x14ac:dyDescent="0.25">
      <c r="A825" s="33"/>
      <c r="B825" s="34"/>
      <c r="C825" s="38" t="s">
        <v>295</v>
      </c>
      <c r="D825" s="36" t="s">
        <v>237</v>
      </c>
      <c r="E825" s="123">
        <v>250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</row>
    <row r="826" spans="1:220" s="3" customFormat="1" ht="18" customHeight="1" x14ac:dyDescent="0.25">
      <c r="A826" s="26" t="s">
        <v>29</v>
      </c>
      <c r="B826" s="27"/>
      <c r="C826" s="60" t="s">
        <v>302</v>
      </c>
      <c r="D826" s="54" t="s">
        <v>66</v>
      </c>
      <c r="E826" s="126">
        <v>1380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</row>
    <row r="827" spans="1:220" s="3" customFormat="1" x14ac:dyDescent="0.25">
      <c r="A827" s="33"/>
      <c r="B827" s="34"/>
      <c r="C827" s="38" t="s">
        <v>303</v>
      </c>
      <c r="D827" s="36" t="s">
        <v>35</v>
      </c>
      <c r="E827" s="123">
        <v>40.4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</row>
    <row r="828" spans="1:220" s="3" customFormat="1" ht="14.4" x14ac:dyDescent="0.25">
      <c r="A828" s="26" t="s">
        <v>29</v>
      </c>
      <c r="B828" s="27" t="s">
        <v>17</v>
      </c>
      <c r="C828" s="28" t="s">
        <v>304</v>
      </c>
      <c r="D828" s="54" t="s">
        <v>26</v>
      </c>
      <c r="E828" s="126">
        <v>0.5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</row>
    <row r="829" spans="1:220" s="3" customFormat="1" x14ac:dyDescent="0.25">
      <c r="A829" s="33"/>
      <c r="B829" s="34"/>
      <c r="C829" s="132" t="s">
        <v>305</v>
      </c>
      <c r="D829" s="71" t="s">
        <v>237</v>
      </c>
      <c r="E829" s="133">
        <v>343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</row>
    <row r="830" spans="1:220" s="3" customFormat="1" x14ac:dyDescent="0.25">
      <c r="A830" s="33"/>
      <c r="B830" s="34"/>
      <c r="C830" s="132"/>
      <c r="D830" s="71"/>
      <c r="E830" s="13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</row>
    <row r="831" spans="1:220" s="3" customFormat="1" x14ac:dyDescent="0.25">
      <c r="A831" s="33"/>
      <c r="B831" s="34"/>
      <c r="C831" s="38" t="s">
        <v>306</v>
      </c>
      <c r="D831" s="36" t="s">
        <v>35</v>
      </c>
      <c r="E831" s="123">
        <v>32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</row>
    <row r="832" spans="1:220" s="3" customFormat="1" x14ac:dyDescent="0.25">
      <c r="A832" s="33"/>
      <c r="B832" s="34"/>
      <c r="C832" s="108" t="s">
        <v>307</v>
      </c>
      <c r="D832" s="36" t="s">
        <v>35</v>
      </c>
      <c r="E832" s="123">
        <v>3.45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</row>
    <row r="833" spans="1:220" s="3" customFormat="1" x14ac:dyDescent="0.25">
      <c r="A833" s="33"/>
      <c r="B833" s="34"/>
      <c r="C833" s="108" t="s">
        <v>308</v>
      </c>
      <c r="D833" s="36" t="s">
        <v>35</v>
      </c>
      <c r="E833" s="123">
        <f>210*0.1</f>
        <v>21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</row>
    <row r="834" spans="1:220" s="3" customFormat="1" x14ac:dyDescent="0.25">
      <c r="A834" s="33"/>
      <c r="B834" s="34"/>
      <c r="C834" s="108" t="s">
        <v>309</v>
      </c>
      <c r="D834" s="36" t="s">
        <v>237</v>
      </c>
      <c r="E834" s="123">
        <v>195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</row>
    <row r="835" spans="1:220" s="3" customFormat="1" x14ac:dyDescent="0.25">
      <c r="A835" s="33"/>
      <c r="B835" s="34"/>
      <c r="C835" s="108" t="s">
        <v>310</v>
      </c>
      <c r="D835" s="36" t="s">
        <v>237</v>
      </c>
      <c r="E835" s="123">
        <v>96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</row>
    <row r="836" spans="1:220" s="3" customFormat="1" x14ac:dyDescent="0.25">
      <c r="A836" s="33"/>
      <c r="B836" s="34"/>
      <c r="C836" s="108" t="s">
        <v>311</v>
      </c>
      <c r="D836" s="36" t="s">
        <v>237</v>
      </c>
      <c r="E836" s="123">
        <v>15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</row>
    <row r="837" spans="1:220" s="3" customFormat="1" x14ac:dyDescent="0.25">
      <c r="A837" s="33"/>
      <c r="B837" s="34"/>
      <c r="C837" s="38" t="s">
        <v>312</v>
      </c>
      <c r="D837" s="36" t="s">
        <v>108</v>
      </c>
      <c r="E837" s="123">
        <v>62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</row>
    <row r="838" spans="1:220" s="3" customFormat="1" x14ac:dyDescent="0.25">
      <c r="A838" s="33"/>
      <c r="B838" s="34"/>
      <c r="C838" s="108" t="s">
        <v>313</v>
      </c>
      <c r="D838" s="36" t="s">
        <v>108</v>
      </c>
      <c r="E838" s="123">
        <v>62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</row>
    <row r="839" spans="1:220" s="3" customFormat="1" ht="27.6" x14ac:dyDescent="0.25">
      <c r="A839" s="33"/>
      <c r="B839" s="34"/>
      <c r="C839" s="38" t="s">
        <v>314</v>
      </c>
      <c r="D839" s="36" t="s">
        <v>237</v>
      </c>
      <c r="E839" s="123">
        <v>9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</row>
    <row r="840" spans="1:220" s="3" customFormat="1" x14ac:dyDescent="0.25">
      <c r="A840" s="33"/>
      <c r="B840" s="34"/>
      <c r="C840" s="38" t="s">
        <v>315</v>
      </c>
      <c r="D840" s="36" t="s">
        <v>108</v>
      </c>
      <c r="E840" s="123">
        <v>5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</row>
    <row r="841" spans="1:220" s="3" customFormat="1" x14ac:dyDescent="0.25">
      <c r="A841" s="33"/>
      <c r="B841" s="34"/>
      <c r="C841" s="38" t="s">
        <v>316</v>
      </c>
      <c r="D841" s="36" t="s">
        <v>108</v>
      </c>
      <c r="E841" s="123">
        <v>9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</row>
    <row r="842" spans="1:220" s="3" customFormat="1" x14ac:dyDescent="0.25">
      <c r="A842" s="33"/>
      <c r="B842" s="34"/>
      <c r="C842" s="38" t="s">
        <v>317</v>
      </c>
      <c r="D842" s="36" t="s">
        <v>108</v>
      </c>
      <c r="E842" s="123">
        <v>15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</row>
    <row r="843" spans="1:220" s="3" customFormat="1" x14ac:dyDescent="0.25">
      <c r="A843" s="33"/>
      <c r="B843" s="34"/>
      <c r="C843" s="38" t="s">
        <v>318</v>
      </c>
      <c r="D843" s="36" t="s">
        <v>108</v>
      </c>
      <c r="E843" s="123">
        <v>32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</row>
    <row r="844" spans="1:220" s="3" customFormat="1" x14ac:dyDescent="0.25">
      <c r="A844" s="33"/>
      <c r="B844" s="34"/>
      <c r="C844" s="38" t="s">
        <v>319</v>
      </c>
      <c r="D844" s="36" t="s">
        <v>108</v>
      </c>
      <c r="E844" s="123">
        <v>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</row>
    <row r="845" spans="1:220" s="3" customFormat="1" ht="41.4" x14ac:dyDescent="0.25">
      <c r="A845" s="33"/>
      <c r="B845" s="34"/>
      <c r="C845" s="38" t="s">
        <v>320</v>
      </c>
      <c r="D845" s="36" t="s">
        <v>66</v>
      </c>
      <c r="E845" s="123">
        <v>989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</row>
    <row r="846" spans="1:220" s="3" customFormat="1" x14ac:dyDescent="0.25">
      <c r="A846" s="33"/>
      <c r="B846" s="34"/>
      <c r="C846" s="38" t="s">
        <v>321</v>
      </c>
      <c r="D846" s="36" t="s">
        <v>322</v>
      </c>
      <c r="E846" s="123">
        <v>7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</row>
    <row r="847" spans="1:220" s="3" customFormat="1" x14ac:dyDescent="0.25">
      <c r="A847" s="33"/>
      <c r="B847" s="34"/>
      <c r="C847" s="38" t="s">
        <v>323</v>
      </c>
      <c r="D847" s="36" t="s">
        <v>322</v>
      </c>
      <c r="E847" s="123">
        <v>7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</row>
    <row r="848" spans="1:220" s="3" customFormat="1" x14ac:dyDescent="0.25">
      <c r="A848" s="33"/>
      <c r="B848" s="34"/>
      <c r="C848" s="38" t="s">
        <v>324</v>
      </c>
      <c r="D848" s="36" t="s">
        <v>322</v>
      </c>
      <c r="E848" s="123">
        <v>1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</row>
    <row r="849" spans="1:220" s="3" customFormat="1" x14ac:dyDescent="0.25">
      <c r="A849" s="33"/>
      <c r="B849" s="34"/>
      <c r="C849" s="38" t="s">
        <v>325</v>
      </c>
      <c r="D849" s="36" t="s">
        <v>322</v>
      </c>
      <c r="E849" s="123">
        <v>1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</row>
    <row r="850" spans="1:220" s="3" customFormat="1" x14ac:dyDescent="0.25">
      <c r="A850" s="33"/>
      <c r="B850" s="34"/>
      <c r="C850" s="108" t="s">
        <v>326</v>
      </c>
      <c r="D850" s="36" t="s">
        <v>322</v>
      </c>
      <c r="E850" s="123">
        <v>2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</row>
    <row r="851" spans="1:220" s="3" customFormat="1" x14ac:dyDescent="0.25">
      <c r="A851" s="33"/>
      <c r="B851" s="34"/>
      <c r="C851" s="108" t="s">
        <v>327</v>
      </c>
      <c r="D851" s="36" t="s">
        <v>237</v>
      </c>
      <c r="E851" s="123">
        <v>420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</row>
    <row r="852" spans="1:220" ht="14.4" x14ac:dyDescent="0.3">
      <c r="A852" s="26" t="s">
        <v>29</v>
      </c>
      <c r="B852" s="27">
        <v>6</v>
      </c>
      <c r="C852" s="134" t="s">
        <v>25</v>
      </c>
      <c r="D852" s="67"/>
      <c r="E852" s="67"/>
    </row>
    <row r="853" spans="1:220" s="17" customFormat="1" ht="21" customHeight="1" x14ac:dyDescent="0.3">
      <c r="A853" s="104" t="s">
        <v>29</v>
      </c>
      <c r="B853" s="36"/>
      <c r="C853" s="57" t="s">
        <v>31</v>
      </c>
      <c r="D853" s="135"/>
      <c r="E853" s="135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  <c r="GM853" s="16"/>
      <c r="GN853" s="16"/>
      <c r="GO853" s="16"/>
      <c r="GP853" s="16"/>
      <c r="GQ853" s="16"/>
      <c r="GR853" s="16"/>
      <c r="GS853" s="16"/>
      <c r="GT853" s="16"/>
      <c r="GU853" s="16"/>
      <c r="GV853" s="16"/>
      <c r="GW853" s="16"/>
      <c r="GX853" s="16"/>
      <c r="GY853" s="16"/>
      <c r="GZ853" s="16"/>
      <c r="HA853" s="16"/>
      <c r="HB853" s="16"/>
      <c r="HC853" s="16"/>
      <c r="HD853" s="16"/>
      <c r="HE853" s="16"/>
      <c r="HF853" s="16"/>
      <c r="HG853" s="16"/>
      <c r="HH853" s="16"/>
      <c r="HI853" s="16"/>
      <c r="HJ853" s="16"/>
      <c r="HK853" s="16"/>
      <c r="HL853" s="16"/>
    </row>
  </sheetData>
  <phoneticPr fontId="14" type="noConversion"/>
  <pageMargins left="0.7" right="0.7" top="0.75" bottom="0.75" header="0.3" footer="0.3"/>
  <pageSetup paperSize="8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ВОР</vt:lpstr>
      <vt:lpstr>ВОР!Область_печати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Громыко Сергей Станиславович</cp:lastModifiedBy>
  <cp:lastPrinted>2026-04-03T12:27:57Z</cp:lastPrinted>
  <dcterms:created xsi:type="dcterms:W3CDTF">2022-10-26T09:31:51Z</dcterms:created>
  <dcterms:modified xsi:type="dcterms:W3CDTF">2026-06-20T10:50:24Z</dcterms:modified>
</cp:coreProperties>
</file>