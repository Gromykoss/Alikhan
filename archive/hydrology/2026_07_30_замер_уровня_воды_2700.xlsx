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jerui\08_Hydrogeology\уровни\"/>
    </mc:Choice>
  </mc:AlternateContent>
  <xr:revisionPtr revIDLastSave="0" documentId="13_ncr:1_{86F54140-0275-4C3A-94A6-DC69013587F2}" xr6:coauthVersionLast="47" xr6:coauthVersionMax="47" xr10:uidLastSave="{00000000-0000-0000-0000-000000000000}"/>
  <bookViews>
    <workbookView xWindow="28680" yWindow="555" windowWidth="29040" windowHeight="15720" xr2:uid="{3F88BEFF-E95F-4255-A4AB-C3894B002391}"/>
  </bookViews>
  <sheets>
    <sheet name="Июнь" sheetId="2" r:id="rId1"/>
    <sheet name="Лист1" sheetId="3" r:id="rId2"/>
  </sheets>
  <definedNames>
    <definedName name="_xlnm._FilterDatabase" localSheetId="0" hidden="1">Июнь!$A$3:$H$144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6" i="3" l="1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5" i="3"/>
  <c r="D143" i="2"/>
  <c r="G143" i="2" s="1"/>
  <c r="D144" i="2"/>
  <c r="G144" i="2" s="1"/>
  <c r="D141" i="2"/>
  <c r="G141" i="2" s="1"/>
  <c r="D142" i="2"/>
  <c r="G142" i="2" s="1"/>
  <c r="D140" i="2"/>
  <c r="G140" i="2" s="1"/>
  <c r="D139" i="2"/>
  <c r="G139" i="2" s="1"/>
  <c r="D137" i="2"/>
  <c r="D138" i="2"/>
  <c r="G137" i="2"/>
  <c r="G138" i="2"/>
  <c r="D136" i="2"/>
  <c r="G136" i="2" s="1"/>
  <c r="D135" i="2"/>
  <c r="G135" i="2" s="1"/>
  <c r="D134" i="2"/>
  <c r="G134" i="2" s="1"/>
  <c r="D133" i="2"/>
  <c r="G133" i="2" s="1"/>
  <c r="D132" i="2"/>
  <c r="G132" i="2" s="1"/>
  <c r="D131" i="2"/>
  <c r="G131" i="2" s="1"/>
  <c r="D128" i="2"/>
  <c r="G128" i="2" s="1"/>
  <c r="D130" i="2"/>
  <c r="G130" i="2" s="1"/>
  <c r="D129" i="2"/>
  <c r="G129" i="2" s="1"/>
  <c r="D127" i="2"/>
  <c r="G127" i="2" s="1"/>
  <c r="D126" i="2"/>
  <c r="G126" i="2" s="1"/>
  <c r="D125" i="2"/>
  <c r="G125" i="2" s="1"/>
  <c r="D124" i="2"/>
  <c r="G124" i="2" s="1"/>
  <c r="D123" i="2"/>
  <c r="G123" i="2" s="1"/>
  <c r="D120" i="2"/>
  <c r="G120" i="2" s="1"/>
  <c r="D121" i="2"/>
  <c r="G121" i="2" s="1"/>
  <c r="D122" i="2"/>
  <c r="G122" i="2" s="1"/>
  <c r="D117" i="2"/>
  <c r="G117" i="2" s="1"/>
  <c r="D118" i="2"/>
  <c r="G118" i="2" s="1"/>
  <c r="D119" i="2"/>
  <c r="G119" i="2" s="1"/>
  <c r="D116" i="2"/>
  <c r="G116" i="2" s="1"/>
  <c r="D115" i="2"/>
  <c r="G115" i="2" s="1"/>
  <c r="D114" i="2"/>
  <c r="G114" i="2" s="1"/>
  <c r="D113" i="2"/>
  <c r="G113" i="2" s="1"/>
  <c r="D112" i="2"/>
  <c r="G112" i="2" s="1"/>
  <c r="D111" i="2"/>
  <c r="G111" i="2" s="1"/>
  <c r="D107" i="2"/>
  <c r="G107" i="2" s="1"/>
  <c r="D106" i="2"/>
  <c r="G106" i="2" s="1"/>
  <c r="D105" i="2"/>
  <c r="G105" i="2" s="1"/>
  <c r="D104" i="2"/>
  <c r="G104" i="2" s="1"/>
  <c r="D103" i="2"/>
  <c r="G103" i="2" s="1"/>
  <c r="D102" i="2"/>
  <c r="G102" i="2" s="1"/>
  <c r="G110" i="2"/>
  <c r="G109" i="2"/>
  <c r="G108" i="2"/>
  <c r="G101" i="2"/>
  <c r="G100" i="2"/>
  <c r="G99" i="2"/>
  <c r="G96" i="2"/>
  <c r="G98" i="2"/>
  <c r="G97" i="2"/>
  <c r="G95" i="2"/>
  <c r="G94" i="2"/>
  <c r="G93" i="2"/>
  <c r="G92" i="2"/>
  <c r="G91" i="2"/>
  <c r="G90" i="2"/>
  <c r="G87" i="2"/>
  <c r="G88" i="2"/>
  <c r="G89" i="2"/>
  <c r="G86" i="2"/>
  <c r="G83" i="2"/>
  <c r="D79" i="2"/>
  <c r="G79" i="2" s="1"/>
  <c r="D68" i="2"/>
  <c r="G68" i="2" s="1"/>
  <c r="D69" i="2"/>
  <c r="G69" i="2" s="1"/>
  <c r="D70" i="2"/>
  <c r="G70" i="2" s="1"/>
  <c r="D71" i="2"/>
  <c r="G71" i="2" s="1"/>
  <c r="D72" i="2"/>
  <c r="G72" i="2" s="1"/>
  <c r="D73" i="2"/>
  <c r="G73" i="2" s="1"/>
  <c r="D74" i="2"/>
  <c r="G74" i="2" s="1"/>
  <c r="D75" i="2"/>
  <c r="G75" i="2" s="1"/>
  <c r="D67" i="2"/>
  <c r="G67" i="2" s="1"/>
  <c r="D66" i="2"/>
  <c r="G66" i="2" s="1"/>
  <c r="D65" i="2"/>
  <c r="G65" i="2" s="1"/>
  <c r="D64" i="2"/>
  <c r="G64" i="2" s="1"/>
  <c r="D63" i="2"/>
  <c r="G63" i="2" s="1"/>
  <c r="D62" i="2"/>
  <c r="G62" i="2" s="1"/>
  <c r="D61" i="2"/>
  <c r="G61" i="2" s="1"/>
  <c r="D60" i="2"/>
  <c r="G60" i="2" s="1"/>
  <c r="D56" i="2"/>
  <c r="G56" i="2" s="1"/>
  <c r="D57" i="2"/>
  <c r="G57" i="2" s="1"/>
  <c r="D58" i="2"/>
  <c r="G58" i="2" s="1"/>
  <c r="D59" i="2"/>
  <c r="G59" i="2" s="1"/>
  <c r="D55" i="2"/>
  <c r="G55" i="2" s="1"/>
  <c r="D54" i="2"/>
  <c r="G54" i="2" s="1"/>
  <c r="D53" i="2"/>
  <c r="G53" i="2" s="1"/>
  <c r="D52" i="2"/>
  <c r="G52" i="2" s="1"/>
  <c r="D48" i="2"/>
  <c r="G48" i="2" s="1"/>
  <c r="D49" i="2"/>
  <c r="G49" i="2" s="1"/>
  <c r="D50" i="2"/>
  <c r="G50" i="2" s="1"/>
  <c r="D51" i="2"/>
  <c r="G51" i="2" s="1"/>
  <c r="D28" i="2"/>
  <c r="G28" i="2" s="1"/>
  <c r="D29" i="2"/>
  <c r="G29" i="2" s="1"/>
  <c r="D30" i="2"/>
  <c r="G30" i="2" s="1"/>
  <c r="D31" i="2"/>
  <c r="G31" i="2" s="1"/>
  <c r="D32" i="2"/>
  <c r="G32" i="2" s="1"/>
  <c r="D33" i="2"/>
  <c r="G33" i="2" s="1"/>
  <c r="D34" i="2"/>
  <c r="G34" i="2" s="1"/>
  <c r="D35" i="2"/>
  <c r="G35" i="2" s="1"/>
  <c r="D36" i="2"/>
  <c r="G36" i="2" s="1"/>
  <c r="D37" i="2"/>
  <c r="G37" i="2" s="1"/>
  <c r="D38" i="2"/>
  <c r="G38" i="2" s="1"/>
  <c r="D39" i="2"/>
  <c r="G39" i="2" s="1"/>
  <c r="D40" i="2"/>
  <c r="G40" i="2" s="1"/>
  <c r="D41" i="2"/>
  <c r="G41" i="2" s="1"/>
  <c r="D42" i="2"/>
  <c r="G42" i="2" s="1"/>
  <c r="D43" i="2"/>
  <c r="G43" i="2" s="1"/>
  <c r="D44" i="2"/>
  <c r="G44" i="2" s="1"/>
  <c r="D45" i="2"/>
  <c r="G45" i="2" s="1"/>
  <c r="D46" i="2"/>
  <c r="G46" i="2" s="1"/>
  <c r="D47" i="2"/>
  <c r="G47" i="2" s="1"/>
  <c r="D25" i="2"/>
  <c r="G25" i="2" s="1"/>
  <c r="D26" i="2"/>
  <c r="G26" i="2" s="1"/>
  <c r="D27" i="2"/>
  <c r="G27" i="2" s="1"/>
  <c r="D24" i="2"/>
  <c r="G24" i="2" s="1"/>
  <c r="G20" i="2"/>
  <c r="G21" i="2"/>
  <c r="G22" i="2"/>
  <c r="G23" i="2"/>
  <c r="G17" i="2"/>
  <c r="G18" i="2"/>
  <c r="G19" i="2"/>
  <c r="G16" i="2"/>
  <c r="D8" i="2"/>
  <c r="D9" i="2"/>
  <c r="D10" i="2"/>
  <c r="D11" i="2"/>
  <c r="D6" i="2"/>
  <c r="D7" i="2"/>
</calcChain>
</file>

<file path=xl/sharedStrings.xml><?xml version="1.0" encoding="utf-8"?>
<sst xmlns="http://schemas.openxmlformats.org/spreadsheetml/2006/main" count="291" uniqueCount="20">
  <si>
    <t>замера уровней воды в наблюдателных скважинах</t>
  </si>
  <si>
    <t>Бланк</t>
  </si>
  <si>
    <t>№ скважины</t>
  </si>
  <si>
    <t xml:space="preserve">Дата </t>
  </si>
  <si>
    <t>Время</t>
  </si>
  <si>
    <t>Погодные условия (осадки)</t>
  </si>
  <si>
    <t>Глубина от верха трубы, м</t>
  </si>
  <si>
    <t>Высота оголовка, м</t>
  </si>
  <si>
    <t>Глубина от поверхности земли, м</t>
  </si>
  <si>
    <t>НС-1</t>
  </si>
  <si>
    <t>НС-2</t>
  </si>
  <si>
    <t>С-3</t>
  </si>
  <si>
    <t>НС-4 (шурф)</t>
  </si>
  <si>
    <t>осадки</t>
  </si>
  <si>
    <t>ясное</t>
  </si>
  <si>
    <t>Глубина от верха трубы  ft</t>
  </si>
  <si>
    <t>туман, дождь</t>
  </si>
  <si>
    <t>туман, снег</t>
  </si>
  <si>
    <t>туман</t>
  </si>
  <si>
    <t>пасмурное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</si>
</sst>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14" fontId="0" fillId="3" borderId="1" xfId="0" applyNumberFormat="1" applyFill="1" applyBorder="1" applyAlignment="1">
      <alignment horizontal="center"/>
    </xf>
    <xf numFmtId="20" fontId="0" fillId="3" borderId="1" xfId="0" applyNumberForma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14" fontId="0" fillId="4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20" fontId="0" fillId="4" borderId="1" xfId="0" applyNumberFormat="1" applyFill="1" applyBorder="1" applyAlignment="1">
      <alignment horizontal="center"/>
    </xf>
    <xf numFmtId="14" fontId="0" fillId="2" borderId="1" xfId="0" applyNumberFormat="1" applyFill="1" applyBorder="1"/>
    <xf numFmtId="2" fontId="0" fillId="2" borderId="1" xfId="0" applyNumberFormat="1" applyFill="1" applyBorder="1" applyAlignment="1">
      <alignment horizontal="center"/>
    </xf>
    <xf numFmtId="20" fontId="0" fillId="2" borderId="1" xfId="0" applyNumberForma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14" fontId="0" fillId="6" borderId="1" xfId="0" applyNumberFormat="1" applyFill="1" applyBorder="1"/>
    <xf numFmtId="20" fontId="0" fillId="6" borderId="1" xfId="0" applyNumberFormat="1" applyFill="1" applyBorder="1" applyAlignment="1">
      <alignment horizontal="center"/>
    </xf>
    <xf numFmtId="2" fontId="0" fillId="6" borderId="1" xfId="0" applyNumberFormat="1" applyFill="1" applyBorder="1" applyAlignment="1">
      <alignment horizontal="center"/>
    </xf>
    <xf numFmtId="0" fontId="0" fillId="6" borderId="0" xfId="0" applyFill="1" applyAlignment="1">
      <alignment horizontal="center"/>
    </xf>
    <xf numFmtId="14" fontId="0" fillId="2" borderId="1" xfId="0" applyNumberFormat="1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7" borderId="1" xfId="0" applyFill="1" applyBorder="1" applyAlignment="1">
      <alignment horizontal="center"/>
    </xf>
    <xf numFmtId="14" fontId="0" fillId="7" borderId="1" xfId="0" applyNumberFormat="1" applyFill="1" applyBorder="1"/>
    <xf numFmtId="20" fontId="0" fillId="7" borderId="1" xfId="0" applyNumberFormat="1" applyFill="1" applyBorder="1" applyAlignment="1">
      <alignment horizontal="center"/>
    </xf>
    <xf numFmtId="2" fontId="0" fillId="7" borderId="1" xfId="0" applyNumberFormat="1" applyFill="1" applyBorder="1" applyAlignment="1">
      <alignment horizontal="center"/>
    </xf>
    <xf numFmtId="2" fontId="0" fillId="0" borderId="0" xfId="0" applyNumberFormat="1"/>
    <xf numFmtId="0" fontId="0" fillId="7" borderId="0" xfId="0" applyFill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164" fontId="0" fillId="7" borderId="2" xfId="0" applyNumberFormat="1" applyFill="1" applyBorder="1" applyAlignment="1">
      <alignment horizontal="center"/>
    </xf>
    <xf numFmtId="2" fontId="0" fillId="7" borderId="2" xfId="0" applyNumberFormat="1" applyFill="1" applyBorder="1" applyAlignment="1">
      <alignment horizontal="center"/>
    </xf>
    <xf numFmtId="0" fontId="1" fillId="0" borderId="1" xfId="0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/>
    </xf>
    <xf numFmtId="14" fontId="0" fillId="8" borderId="1" xfId="0" applyNumberFormat="1" applyFill="1" applyBorder="1"/>
    <xf numFmtId="20" fontId="0" fillId="8" borderId="1" xfId="0" applyNumberFormat="1" applyFill="1" applyBorder="1" applyAlignment="1">
      <alignment horizontal="center"/>
    </xf>
    <xf numFmtId="2" fontId="0" fillId="8" borderId="1" xfId="0" applyNumberFormat="1" applyFill="1" applyBorder="1" applyAlignment="1">
      <alignment horizontal="center"/>
    </xf>
    <xf numFmtId="164" fontId="0" fillId="8" borderId="2" xfId="0" applyNumberFormat="1" applyFill="1" applyBorder="1" applyAlignment="1">
      <alignment horizontal="center"/>
    </xf>
    <xf numFmtId="0" fontId="0" fillId="8" borderId="0" xfId="0" applyFill="1" applyAlignment="1">
      <alignment horizontal="center"/>
    </xf>
    <xf numFmtId="2" fontId="0" fillId="8" borderId="2" xfId="0" applyNumberFormat="1" applyFill="1" applyBorder="1" applyAlignment="1">
      <alignment horizontal="center"/>
    </xf>
    <xf numFmtId="164" fontId="0" fillId="8" borderId="1" xfId="0" applyNumberFormat="1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14" fontId="0" fillId="9" borderId="1" xfId="0" applyNumberFormat="1" applyFill="1" applyBorder="1"/>
    <xf numFmtId="20" fontId="0" fillId="9" borderId="1" xfId="0" applyNumberFormat="1" applyFill="1" applyBorder="1" applyAlignment="1">
      <alignment horizontal="center"/>
    </xf>
    <xf numFmtId="2" fontId="0" fillId="9" borderId="1" xfId="0" applyNumberFormat="1" applyFill="1" applyBorder="1" applyAlignment="1">
      <alignment horizontal="center"/>
    </xf>
    <xf numFmtId="164" fontId="0" fillId="9" borderId="1" xfId="0" applyNumberFormat="1" applyFill="1" applyBorder="1" applyAlignment="1">
      <alignment horizontal="center"/>
    </xf>
    <xf numFmtId="164" fontId="0" fillId="7" borderId="1" xfId="0" applyNumberFormat="1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14" fontId="0" fillId="10" borderId="1" xfId="0" applyNumberFormat="1" applyFill="1" applyBorder="1"/>
    <xf numFmtId="20" fontId="0" fillId="10" borderId="1" xfId="0" applyNumberFormat="1" applyFill="1" applyBorder="1" applyAlignment="1">
      <alignment horizontal="center"/>
    </xf>
    <xf numFmtId="2" fontId="0" fillId="10" borderId="1" xfId="0" applyNumberFormat="1" applyFill="1" applyBorder="1" applyAlignment="1">
      <alignment horizontal="center"/>
    </xf>
    <xf numFmtId="164" fontId="0" fillId="10" borderId="1" xfId="0" applyNumberFormat="1" applyFill="1" applyBorder="1" applyAlignment="1">
      <alignment horizontal="center"/>
    </xf>
    <xf numFmtId="14" fontId="0" fillId="4" borderId="1" xfId="0" applyNumberFormat="1" applyFill="1" applyBorder="1"/>
    <xf numFmtId="2" fontId="0" fillId="4" borderId="1" xfId="0" applyNumberFormat="1" applyFill="1" applyBorder="1" applyAlignment="1">
      <alignment horizontal="center"/>
    </xf>
    <xf numFmtId="0" fontId="2" fillId="0" borderId="0" xfId="0" applyFon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Лист1!$G$5:$G$48</c:f>
              <c:numCache>
                <c:formatCode>m/d/yyyy</c:formatCode>
                <c:ptCount val="44"/>
                <c:pt idx="0">
                  <c:v>45923</c:v>
                </c:pt>
                <c:pt idx="1">
                  <c:v>45924</c:v>
                </c:pt>
                <c:pt idx="2">
                  <c:v>45924</c:v>
                </c:pt>
                <c:pt idx="3">
                  <c:v>45925</c:v>
                </c:pt>
                <c:pt idx="4">
                  <c:v>45925</c:v>
                </c:pt>
                <c:pt idx="5">
                  <c:v>45926</c:v>
                </c:pt>
                <c:pt idx="6">
                  <c:v>45926</c:v>
                </c:pt>
                <c:pt idx="7">
                  <c:v>45927</c:v>
                </c:pt>
                <c:pt idx="8">
                  <c:v>45927</c:v>
                </c:pt>
                <c:pt idx="9">
                  <c:v>45928</c:v>
                </c:pt>
                <c:pt idx="10">
                  <c:v>45928</c:v>
                </c:pt>
                <c:pt idx="11">
                  <c:v>45929</c:v>
                </c:pt>
                <c:pt idx="12">
                  <c:v>45929</c:v>
                </c:pt>
                <c:pt idx="13">
                  <c:v>45930</c:v>
                </c:pt>
                <c:pt idx="14">
                  <c:v>45930</c:v>
                </c:pt>
                <c:pt idx="15">
                  <c:v>45931</c:v>
                </c:pt>
                <c:pt idx="16">
                  <c:v>45931</c:v>
                </c:pt>
                <c:pt idx="17">
                  <c:v>45932</c:v>
                </c:pt>
                <c:pt idx="18">
                  <c:v>45934</c:v>
                </c:pt>
                <c:pt idx="19">
                  <c:v>45935</c:v>
                </c:pt>
                <c:pt idx="20">
                  <c:v>45936</c:v>
                </c:pt>
                <c:pt idx="21">
                  <c:v>45937</c:v>
                </c:pt>
                <c:pt idx="22">
                  <c:v>45938</c:v>
                </c:pt>
                <c:pt idx="23">
                  <c:v>45939</c:v>
                </c:pt>
                <c:pt idx="24">
                  <c:v>45940</c:v>
                </c:pt>
                <c:pt idx="25">
                  <c:v>45945</c:v>
                </c:pt>
                <c:pt idx="26">
                  <c:v>45950</c:v>
                </c:pt>
                <c:pt idx="27">
                  <c:v>45955</c:v>
                </c:pt>
                <c:pt idx="28">
                  <c:v>45971</c:v>
                </c:pt>
                <c:pt idx="29">
                  <c:v>45981</c:v>
                </c:pt>
                <c:pt idx="30">
                  <c:v>46002</c:v>
                </c:pt>
                <c:pt idx="31">
                  <c:v>46011</c:v>
                </c:pt>
                <c:pt idx="32">
                  <c:v>46021</c:v>
                </c:pt>
                <c:pt idx="33">
                  <c:v>46037</c:v>
                </c:pt>
                <c:pt idx="34">
                  <c:v>46124</c:v>
                </c:pt>
                <c:pt idx="35">
                  <c:v>46114</c:v>
                </c:pt>
                <c:pt idx="36">
                  <c:v>46129</c:v>
                </c:pt>
                <c:pt idx="37">
                  <c:v>46154</c:v>
                </c:pt>
                <c:pt idx="38">
                  <c:v>46183</c:v>
                </c:pt>
                <c:pt idx="39">
                  <c:v>46193</c:v>
                </c:pt>
                <c:pt idx="40">
                  <c:v>46203</c:v>
                </c:pt>
                <c:pt idx="41">
                  <c:v>46213</c:v>
                </c:pt>
                <c:pt idx="42">
                  <c:v>46223</c:v>
                </c:pt>
                <c:pt idx="43">
                  <c:v>46233</c:v>
                </c:pt>
              </c:numCache>
            </c:numRef>
          </c:cat>
          <c:val>
            <c:numRef>
              <c:f>Лист1!$H$5:$H$48</c:f>
              <c:numCache>
                <c:formatCode>General</c:formatCode>
                <c:ptCount val="44"/>
                <c:pt idx="0">
                  <c:v>-4.6900000000000004</c:v>
                </c:pt>
                <c:pt idx="1">
                  <c:v>-4.5999999999999996</c:v>
                </c:pt>
                <c:pt idx="2">
                  <c:v>-4.5999999999999996</c:v>
                </c:pt>
                <c:pt idx="3">
                  <c:v>-4.6900000000000004</c:v>
                </c:pt>
                <c:pt idx="4">
                  <c:v>-4.7191760000000009</c:v>
                </c:pt>
                <c:pt idx="5">
                  <c:v>-4.7191760000000009</c:v>
                </c:pt>
                <c:pt idx="6">
                  <c:v>-4.7191760000000009</c:v>
                </c:pt>
                <c:pt idx="7">
                  <c:v>-4.7283200000000001</c:v>
                </c:pt>
                <c:pt idx="8">
                  <c:v>-4.7283200000000001</c:v>
                </c:pt>
                <c:pt idx="9">
                  <c:v>-4.7283200000000001</c:v>
                </c:pt>
                <c:pt idx="10">
                  <c:v>-4.6978400000000002</c:v>
                </c:pt>
                <c:pt idx="11">
                  <c:v>-4.6978400000000002</c:v>
                </c:pt>
                <c:pt idx="12">
                  <c:v>-4.7283200000000001</c:v>
                </c:pt>
                <c:pt idx="13">
                  <c:v>-4.7283200000000001</c:v>
                </c:pt>
                <c:pt idx="14">
                  <c:v>-4.7283200000000001</c:v>
                </c:pt>
                <c:pt idx="15">
                  <c:v>-4.7283200000000001</c:v>
                </c:pt>
                <c:pt idx="16">
                  <c:v>-4.7283200000000001</c:v>
                </c:pt>
                <c:pt idx="17">
                  <c:v>-4.7435600000000004</c:v>
                </c:pt>
                <c:pt idx="18">
                  <c:v>-4.66</c:v>
                </c:pt>
                <c:pt idx="19">
                  <c:v>-4.5999999999999996</c:v>
                </c:pt>
                <c:pt idx="20">
                  <c:v>-4.63</c:v>
                </c:pt>
                <c:pt idx="21">
                  <c:v>-4.72</c:v>
                </c:pt>
                <c:pt idx="22">
                  <c:v>-4.66</c:v>
                </c:pt>
                <c:pt idx="23">
                  <c:v>-4.72</c:v>
                </c:pt>
                <c:pt idx="24">
                  <c:v>-4.8</c:v>
                </c:pt>
                <c:pt idx="25">
                  <c:v>-4.78</c:v>
                </c:pt>
                <c:pt idx="26">
                  <c:v>-4.8197600000000005</c:v>
                </c:pt>
                <c:pt idx="27">
                  <c:v>-4.8502400000000003</c:v>
                </c:pt>
                <c:pt idx="28">
                  <c:v>-4.6900000000000004</c:v>
                </c:pt>
                <c:pt idx="29">
                  <c:v>-4.9416800000000007</c:v>
                </c:pt>
                <c:pt idx="30">
                  <c:v>-5.0636000000000001</c:v>
                </c:pt>
                <c:pt idx="31">
                  <c:v>-5.0940800000000008</c:v>
                </c:pt>
                <c:pt idx="32">
                  <c:v>-5.0636000000000001</c:v>
                </c:pt>
                <c:pt idx="33">
                  <c:v>-5.0636000000000001</c:v>
                </c:pt>
                <c:pt idx="34">
                  <c:v>-4.9416800000000007</c:v>
                </c:pt>
                <c:pt idx="35">
                  <c:v>-4.7588000000000008</c:v>
                </c:pt>
                <c:pt idx="36">
                  <c:v>-4.9416800000000007</c:v>
                </c:pt>
                <c:pt idx="37">
                  <c:v>-4.9416800000000007</c:v>
                </c:pt>
                <c:pt idx="38">
                  <c:v>-4.4540000000000006</c:v>
                </c:pt>
                <c:pt idx="39">
                  <c:v>-4.4540000000000006</c:v>
                </c:pt>
                <c:pt idx="40">
                  <c:v>-4.3016000000000005</c:v>
                </c:pt>
                <c:pt idx="41">
                  <c:v>-4.3320800000000004</c:v>
                </c:pt>
                <c:pt idx="42">
                  <c:v>-4.4540000000000006</c:v>
                </c:pt>
                <c:pt idx="43">
                  <c:v>-4.4235199999999999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F3E-4686-9D52-4E382915C6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66714799"/>
        <c:axId val="366724367"/>
      </c:lineChart>
      <c:dateAx>
        <c:axId val="366714799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66724367"/>
        <c:crosses val="autoZero"/>
        <c:auto val="1"/>
        <c:lblOffset val="100"/>
        <c:baseTimeUnit val="days"/>
      </c:dateAx>
      <c:valAx>
        <c:axId val="366724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667147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504825</xdr:colOff>
      <xdr:row>18</xdr:row>
      <xdr:rowOff>180975</xdr:rowOff>
    </xdr:from>
    <xdr:to>
      <xdr:col>24</xdr:col>
      <xdr:colOff>466725</xdr:colOff>
      <xdr:row>35</xdr:row>
      <xdr:rowOff>14287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745E189-571F-4FB6-BB88-BC7AD3761B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B5833-C8D5-4332-BEAF-60D258FE6FE9}">
  <sheetPr filterMode="1">
    <pageSetUpPr fitToPage="1"/>
  </sheetPr>
  <dimension ref="A1:O144"/>
  <sheetViews>
    <sheetView tabSelected="1" workbookViewId="0">
      <pane ySplit="3" topLeftCell="A56" activePane="bottomLeft" state="frozenSplit"/>
      <selection pane="bottomLeft" activeCell="G128" sqref="G128"/>
    </sheetView>
  </sheetViews>
  <sheetFormatPr defaultRowHeight="15" x14ac:dyDescent="0.25"/>
  <cols>
    <col min="1" max="1" width="12.5703125" style="3" customWidth="1"/>
    <col min="2" max="2" width="10.140625" bestFit="1" customWidth="1"/>
    <col min="3" max="3" width="9.140625" style="3"/>
    <col min="4" max="4" width="15.5703125" customWidth="1"/>
    <col min="5" max="5" width="15.5703125" style="3" customWidth="1"/>
    <col min="6" max="6" width="14.42578125" style="3" customWidth="1"/>
    <col min="7" max="7" width="16.85546875" style="3" customWidth="1"/>
    <col min="8" max="8" width="17.28515625" style="3" customWidth="1"/>
  </cols>
  <sheetData>
    <row r="1" spans="1:10" ht="15.75" x14ac:dyDescent="0.25">
      <c r="A1" s="53" t="s">
        <v>1</v>
      </c>
      <c r="B1" s="53"/>
      <c r="C1" s="53"/>
      <c r="D1" s="53"/>
      <c r="E1" s="53"/>
      <c r="F1" s="53"/>
      <c r="G1" s="53"/>
      <c r="H1" s="53"/>
    </row>
    <row r="2" spans="1:10" ht="15.75" x14ac:dyDescent="0.25">
      <c r="A2" s="53" t="s">
        <v>0</v>
      </c>
      <c r="B2" s="53"/>
      <c r="C2" s="53"/>
      <c r="D2" s="53"/>
      <c r="E2" s="53"/>
      <c r="F2" s="53"/>
      <c r="G2" s="53"/>
      <c r="H2" s="53"/>
    </row>
    <row r="3" spans="1:10" ht="45" x14ac:dyDescent="0.25">
      <c r="A3" s="31" t="s">
        <v>2</v>
      </c>
      <c r="B3" s="31" t="s">
        <v>3</v>
      </c>
      <c r="C3" s="31" t="s">
        <v>4</v>
      </c>
      <c r="D3" s="31" t="s">
        <v>6</v>
      </c>
      <c r="E3" s="31" t="s">
        <v>15</v>
      </c>
      <c r="F3" s="31" t="s">
        <v>7</v>
      </c>
      <c r="G3" s="31" t="s">
        <v>8</v>
      </c>
      <c r="H3" s="31" t="s">
        <v>5</v>
      </c>
      <c r="I3" s="1"/>
      <c r="J3" s="2"/>
    </row>
    <row r="4" spans="1:10" x14ac:dyDescent="0.25">
      <c r="A4" s="4" t="s">
        <v>9</v>
      </c>
      <c r="B4" s="20">
        <v>45923</v>
      </c>
      <c r="C4" s="14">
        <v>0.29166666666666669</v>
      </c>
      <c r="D4" s="4">
        <v>5.57</v>
      </c>
      <c r="E4" s="4">
        <v>18.3</v>
      </c>
      <c r="F4" s="10">
        <v>0.88</v>
      </c>
      <c r="G4" s="4">
        <v>4.6900000000000004</v>
      </c>
      <c r="H4" s="4" t="s">
        <v>13</v>
      </c>
    </row>
    <row r="5" spans="1:10" hidden="1" x14ac:dyDescent="0.25">
      <c r="A5" s="4" t="s">
        <v>10</v>
      </c>
      <c r="B5" s="20">
        <v>45923</v>
      </c>
      <c r="C5" s="14">
        <v>0.29166666666666669</v>
      </c>
      <c r="D5" s="4">
        <v>9.11</v>
      </c>
      <c r="E5" s="4">
        <v>29.9</v>
      </c>
      <c r="F5" s="10">
        <v>1.1000000000000001</v>
      </c>
      <c r="G5" s="4">
        <v>8.01</v>
      </c>
      <c r="H5" s="4" t="s">
        <v>13</v>
      </c>
    </row>
    <row r="6" spans="1:10" hidden="1" x14ac:dyDescent="0.25">
      <c r="A6" s="4" t="s">
        <v>11</v>
      </c>
      <c r="B6" s="20">
        <v>45923</v>
      </c>
      <c r="C6" s="14">
        <v>0.29166666666666669</v>
      </c>
      <c r="D6" s="4">
        <f t="shared" ref="D6:D11" si="0">G6+F6</f>
        <v>5.18</v>
      </c>
      <c r="E6" s="4">
        <v>17</v>
      </c>
      <c r="F6" s="10">
        <v>0</v>
      </c>
      <c r="G6" s="4">
        <v>5.18</v>
      </c>
      <c r="H6" s="4" t="s">
        <v>13</v>
      </c>
    </row>
    <row r="7" spans="1:10" hidden="1" x14ac:dyDescent="0.25">
      <c r="A7" s="4" t="s">
        <v>12</v>
      </c>
      <c r="B7" s="20">
        <v>45923</v>
      </c>
      <c r="C7" s="14">
        <v>0.29166666666666669</v>
      </c>
      <c r="D7" s="4">
        <f t="shared" si="0"/>
        <v>6.7</v>
      </c>
      <c r="E7" s="4">
        <v>22</v>
      </c>
      <c r="F7" s="10">
        <v>1.26</v>
      </c>
      <c r="G7" s="4">
        <v>5.44</v>
      </c>
      <c r="H7" s="4" t="s">
        <v>13</v>
      </c>
    </row>
    <row r="8" spans="1:10" x14ac:dyDescent="0.25">
      <c r="A8" s="5" t="s">
        <v>9</v>
      </c>
      <c r="B8" s="6">
        <v>45924</v>
      </c>
      <c r="C8" s="7">
        <v>0.45833333333333331</v>
      </c>
      <c r="D8" s="5">
        <f t="shared" si="0"/>
        <v>5.4799999999999995</v>
      </c>
      <c r="E8" s="5">
        <v>18.3</v>
      </c>
      <c r="F8" s="10">
        <v>0.88</v>
      </c>
      <c r="G8" s="5">
        <v>4.5999999999999996</v>
      </c>
      <c r="H8" s="5" t="s">
        <v>14</v>
      </c>
    </row>
    <row r="9" spans="1:10" hidden="1" x14ac:dyDescent="0.25">
      <c r="A9" s="5" t="s">
        <v>10</v>
      </c>
      <c r="B9" s="6">
        <v>45924</v>
      </c>
      <c r="C9" s="7">
        <v>0.45833333333333331</v>
      </c>
      <c r="D9" s="5">
        <f t="shared" si="0"/>
        <v>8.8800000000000008</v>
      </c>
      <c r="E9" s="5">
        <v>29.95</v>
      </c>
      <c r="F9" s="10">
        <v>1.1000000000000001</v>
      </c>
      <c r="G9" s="5">
        <v>7.7800000000000011</v>
      </c>
      <c r="H9" s="5" t="s">
        <v>14</v>
      </c>
    </row>
    <row r="10" spans="1:10" hidden="1" x14ac:dyDescent="0.25">
      <c r="A10" s="5" t="s">
        <v>11</v>
      </c>
      <c r="B10" s="6">
        <v>45924</v>
      </c>
      <c r="C10" s="7">
        <v>0.45833333333333331</v>
      </c>
      <c r="D10" s="5">
        <f t="shared" si="0"/>
        <v>5.18</v>
      </c>
      <c r="E10" s="5">
        <v>17</v>
      </c>
      <c r="F10" s="10">
        <v>0</v>
      </c>
      <c r="G10" s="5">
        <v>5.18</v>
      </c>
      <c r="H10" s="5" t="s">
        <v>14</v>
      </c>
    </row>
    <row r="11" spans="1:10" hidden="1" x14ac:dyDescent="0.25">
      <c r="A11" s="5" t="s">
        <v>12</v>
      </c>
      <c r="B11" s="6">
        <v>45924</v>
      </c>
      <c r="C11" s="7">
        <v>0.45833333333333331</v>
      </c>
      <c r="D11" s="5">
        <f t="shared" si="0"/>
        <v>6.75</v>
      </c>
      <c r="E11" s="5">
        <v>22.05</v>
      </c>
      <c r="F11" s="10">
        <v>1.26</v>
      </c>
      <c r="G11" s="5">
        <v>5.49</v>
      </c>
      <c r="H11" s="5" t="s">
        <v>14</v>
      </c>
    </row>
    <row r="12" spans="1:10" x14ac:dyDescent="0.25">
      <c r="A12" s="8" t="s">
        <v>9</v>
      </c>
      <c r="B12" s="9">
        <v>45924</v>
      </c>
      <c r="C12" s="11">
        <v>0.8125</v>
      </c>
      <c r="D12" s="8">
        <v>5.4799999999999995</v>
      </c>
      <c r="E12" s="8">
        <v>18.3</v>
      </c>
      <c r="F12" s="10">
        <v>0.88</v>
      </c>
      <c r="G12" s="8">
        <v>4.5999999999999996</v>
      </c>
      <c r="H12" s="8" t="s">
        <v>14</v>
      </c>
    </row>
    <row r="13" spans="1:10" hidden="1" x14ac:dyDescent="0.25">
      <c r="A13" s="8" t="s">
        <v>10</v>
      </c>
      <c r="B13" s="9">
        <v>45924</v>
      </c>
      <c r="C13" s="11">
        <v>0.81388888888888888</v>
      </c>
      <c r="D13" s="8">
        <v>8.8800000000000008</v>
      </c>
      <c r="E13" s="8">
        <v>29.95</v>
      </c>
      <c r="F13" s="10">
        <v>1.1000000000000001</v>
      </c>
      <c r="G13" s="8">
        <v>7.7800000000000011</v>
      </c>
      <c r="H13" s="8" t="s">
        <v>14</v>
      </c>
    </row>
    <row r="14" spans="1:10" hidden="1" x14ac:dyDescent="0.25">
      <c r="A14" s="8" t="s">
        <v>11</v>
      </c>
      <c r="B14" s="9">
        <v>45924</v>
      </c>
      <c r="C14" s="11">
        <v>0.81527777777777777</v>
      </c>
      <c r="D14" s="8">
        <v>5.18</v>
      </c>
      <c r="E14" s="8">
        <v>17</v>
      </c>
      <c r="F14" s="10">
        <v>0</v>
      </c>
      <c r="G14" s="8">
        <v>5.18</v>
      </c>
      <c r="H14" s="8" t="s">
        <v>14</v>
      </c>
    </row>
    <row r="15" spans="1:10" hidden="1" x14ac:dyDescent="0.25">
      <c r="A15" s="8" t="s">
        <v>12</v>
      </c>
      <c r="B15" s="9">
        <v>45924</v>
      </c>
      <c r="C15" s="11">
        <v>0.81736111111111109</v>
      </c>
      <c r="D15" s="8">
        <v>6.75</v>
      </c>
      <c r="E15" s="8">
        <v>22.05</v>
      </c>
      <c r="F15" s="10">
        <v>1.26</v>
      </c>
      <c r="G15" s="8">
        <v>5.49</v>
      </c>
      <c r="H15" s="8" t="s">
        <v>14</v>
      </c>
    </row>
    <row r="16" spans="1:10" x14ac:dyDescent="0.25">
      <c r="A16" s="4" t="s">
        <v>9</v>
      </c>
      <c r="B16" s="12">
        <v>45925</v>
      </c>
      <c r="C16" s="14">
        <v>0.30555555555555558</v>
      </c>
      <c r="D16" s="4">
        <v>5.57</v>
      </c>
      <c r="E16" s="4">
        <v>18.3</v>
      </c>
      <c r="F16" s="10">
        <v>0.88</v>
      </c>
      <c r="G16" s="4">
        <f>D16-F16</f>
        <v>4.6900000000000004</v>
      </c>
      <c r="H16" s="4" t="s">
        <v>14</v>
      </c>
    </row>
    <row r="17" spans="1:8" hidden="1" x14ac:dyDescent="0.25">
      <c r="A17" s="4" t="s">
        <v>10</v>
      </c>
      <c r="B17" s="12">
        <v>45925</v>
      </c>
      <c r="C17" s="14">
        <v>0.30694444444444446</v>
      </c>
      <c r="D17" s="4">
        <v>9.1199999999999992</v>
      </c>
      <c r="E17" s="4">
        <v>29.93</v>
      </c>
      <c r="F17" s="10">
        <v>1.1000000000000001</v>
      </c>
      <c r="G17" s="4">
        <f t="shared" ref="G17:G75" si="1">D17-F17</f>
        <v>8.02</v>
      </c>
      <c r="H17" s="4" t="s">
        <v>14</v>
      </c>
    </row>
    <row r="18" spans="1:8" hidden="1" x14ac:dyDescent="0.25">
      <c r="A18" s="4" t="s">
        <v>11</v>
      </c>
      <c r="B18" s="12">
        <v>45925</v>
      </c>
      <c r="C18" s="14">
        <v>0.30833333333333335</v>
      </c>
      <c r="D18" s="4">
        <v>5.18</v>
      </c>
      <c r="E18" s="4">
        <v>17</v>
      </c>
      <c r="F18" s="10">
        <v>0</v>
      </c>
      <c r="G18" s="4">
        <f t="shared" si="1"/>
        <v>5.18</v>
      </c>
      <c r="H18" s="4" t="s">
        <v>14</v>
      </c>
    </row>
    <row r="19" spans="1:8" hidden="1" x14ac:dyDescent="0.25">
      <c r="A19" s="4" t="s">
        <v>12</v>
      </c>
      <c r="B19" s="12">
        <v>45925</v>
      </c>
      <c r="C19" s="14">
        <v>0.31041666666666667</v>
      </c>
      <c r="D19" s="4">
        <v>6.75</v>
      </c>
      <c r="E19" s="4">
        <v>22</v>
      </c>
      <c r="F19" s="10">
        <v>1.26</v>
      </c>
      <c r="G19" s="4">
        <f t="shared" si="1"/>
        <v>5.49</v>
      </c>
      <c r="H19" s="4" t="s">
        <v>14</v>
      </c>
    </row>
    <row r="20" spans="1:8" x14ac:dyDescent="0.25">
      <c r="A20" s="15" t="s">
        <v>9</v>
      </c>
      <c r="B20" s="16">
        <v>45925</v>
      </c>
      <c r="C20" s="17">
        <v>0.8125</v>
      </c>
      <c r="D20" s="18">
        <v>5.5991760000000008</v>
      </c>
      <c r="E20" s="15">
        <v>18.37</v>
      </c>
      <c r="F20" s="10">
        <v>0.88</v>
      </c>
      <c r="G20" s="18">
        <f t="shared" si="1"/>
        <v>4.7191760000000009</v>
      </c>
      <c r="H20" s="15" t="s">
        <v>16</v>
      </c>
    </row>
    <row r="21" spans="1:8" hidden="1" x14ac:dyDescent="0.25">
      <c r="A21" s="15" t="s">
        <v>10</v>
      </c>
      <c r="B21" s="16">
        <v>45925</v>
      </c>
      <c r="C21" s="17">
        <v>0.81388888888888888</v>
      </c>
      <c r="D21" s="18">
        <v>9.2964000000000002</v>
      </c>
      <c r="E21" s="15">
        <v>30.5</v>
      </c>
      <c r="F21" s="10">
        <v>1.1000000000000001</v>
      </c>
      <c r="G21" s="18">
        <f t="shared" si="1"/>
        <v>8.1964000000000006</v>
      </c>
      <c r="H21" s="15" t="s">
        <v>16</v>
      </c>
    </row>
    <row r="22" spans="1:8" hidden="1" x14ac:dyDescent="0.25">
      <c r="A22" s="15" t="s">
        <v>11</v>
      </c>
      <c r="B22" s="16">
        <v>45925</v>
      </c>
      <c r="C22" s="17">
        <v>0.81527777777777777</v>
      </c>
      <c r="D22" s="18">
        <v>5.2120800000000003</v>
      </c>
      <c r="E22" s="15">
        <v>17.100000000000001</v>
      </c>
      <c r="F22" s="10">
        <v>0</v>
      </c>
      <c r="G22" s="18">
        <f t="shared" si="1"/>
        <v>5.2120800000000003</v>
      </c>
      <c r="H22" s="15" t="s">
        <v>16</v>
      </c>
    </row>
    <row r="23" spans="1:8" hidden="1" x14ac:dyDescent="0.25">
      <c r="A23" s="15" t="s">
        <v>12</v>
      </c>
      <c r="B23" s="16">
        <v>45925</v>
      </c>
      <c r="C23" s="17">
        <v>0.81736111111111109</v>
      </c>
      <c r="D23" s="18">
        <v>6.7970400000000009</v>
      </c>
      <c r="E23" s="15">
        <v>22.3</v>
      </c>
      <c r="F23" s="10">
        <v>1.26</v>
      </c>
      <c r="G23" s="18">
        <f t="shared" si="1"/>
        <v>5.5370400000000011</v>
      </c>
      <c r="H23" s="15" t="s">
        <v>16</v>
      </c>
    </row>
    <row r="24" spans="1:8" x14ac:dyDescent="0.25">
      <c r="A24" s="4" t="s">
        <v>9</v>
      </c>
      <c r="B24" s="12">
        <v>45926</v>
      </c>
      <c r="C24" s="14">
        <v>0.30555555555555558</v>
      </c>
      <c r="D24" s="13">
        <f>E24*0.3048</f>
        <v>5.5991760000000008</v>
      </c>
      <c r="E24" s="21">
        <v>18.37</v>
      </c>
      <c r="F24" s="10">
        <v>0.88</v>
      </c>
      <c r="G24" s="13">
        <f t="shared" si="1"/>
        <v>4.7191760000000009</v>
      </c>
      <c r="H24" s="4" t="s">
        <v>16</v>
      </c>
    </row>
    <row r="25" spans="1:8" hidden="1" x14ac:dyDescent="0.25">
      <c r="A25" s="4" t="s">
        <v>10</v>
      </c>
      <c r="B25" s="12">
        <v>45926</v>
      </c>
      <c r="C25" s="14">
        <v>0.30694444444444446</v>
      </c>
      <c r="D25" s="13">
        <f t="shared" ref="D25:D75" si="2">E25*0.3048</f>
        <v>9.2964000000000002</v>
      </c>
      <c r="E25" s="4">
        <v>30.5</v>
      </c>
      <c r="F25" s="10">
        <v>1.1000000000000001</v>
      </c>
      <c r="G25" s="13">
        <f t="shared" si="1"/>
        <v>8.1964000000000006</v>
      </c>
      <c r="H25" s="4" t="s">
        <v>16</v>
      </c>
    </row>
    <row r="26" spans="1:8" hidden="1" x14ac:dyDescent="0.25">
      <c r="A26" s="4" t="s">
        <v>11</v>
      </c>
      <c r="B26" s="12">
        <v>45926</v>
      </c>
      <c r="C26" s="14">
        <v>0.30833333333333335</v>
      </c>
      <c r="D26" s="13">
        <f t="shared" si="2"/>
        <v>5.2120800000000003</v>
      </c>
      <c r="E26" s="4">
        <v>17.100000000000001</v>
      </c>
      <c r="F26" s="10">
        <v>0</v>
      </c>
      <c r="G26" s="13">
        <f t="shared" si="1"/>
        <v>5.2120800000000003</v>
      </c>
      <c r="H26" s="4" t="s">
        <v>16</v>
      </c>
    </row>
    <row r="27" spans="1:8" hidden="1" x14ac:dyDescent="0.25">
      <c r="A27" s="4" t="s">
        <v>12</v>
      </c>
      <c r="B27" s="12">
        <v>45926</v>
      </c>
      <c r="C27" s="14">
        <v>0.31041666666666667</v>
      </c>
      <c r="D27" s="13">
        <f t="shared" si="2"/>
        <v>6.7970400000000009</v>
      </c>
      <c r="E27" s="4">
        <v>22.3</v>
      </c>
      <c r="F27" s="10">
        <v>1.26</v>
      </c>
      <c r="G27" s="13">
        <f t="shared" si="1"/>
        <v>5.5370400000000011</v>
      </c>
      <c r="H27" s="4" t="s">
        <v>16</v>
      </c>
    </row>
    <row r="28" spans="1:8" ht="12.75" customHeight="1" x14ac:dyDescent="0.25">
      <c r="A28" s="15" t="s">
        <v>9</v>
      </c>
      <c r="B28" s="16">
        <v>45926</v>
      </c>
      <c r="C28" s="17">
        <v>0.8125</v>
      </c>
      <c r="D28" s="18">
        <f t="shared" si="2"/>
        <v>5.5991760000000008</v>
      </c>
      <c r="E28" s="19">
        <v>18.37</v>
      </c>
      <c r="F28" s="10">
        <v>0.88</v>
      </c>
      <c r="G28" s="18">
        <f t="shared" si="1"/>
        <v>4.7191760000000009</v>
      </c>
      <c r="H28" s="15" t="s">
        <v>14</v>
      </c>
    </row>
    <row r="29" spans="1:8" ht="12.75" hidden="1" customHeight="1" x14ac:dyDescent="0.25">
      <c r="A29" s="15" t="s">
        <v>10</v>
      </c>
      <c r="B29" s="16">
        <v>45926</v>
      </c>
      <c r="C29" s="17">
        <v>0.81388888888888888</v>
      </c>
      <c r="D29" s="18">
        <f t="shared" si="2"/>
        <v>9.2964000000000002</v>
      </c>
      <c r="E29" s="15">
        <v>30.5</v>
      </c>
      <c r="F29" s="10">
        <v>1.1000000000000001</v>
      </c>
      <c r="G29" s="18">
        <f t="shared" si="1"/>
        <v>8.1964000000000006</v>
      </c>
      <c r="H29" s="15" t="s">
        <v>14</v>
      </c>
    </row>
    <row r="30" spans="1:8" hidden="1" x14ac:dyDescent="0.25">
      <c r="A30" s="15" t="s">
        <v>11</v>
      </c>
      <c r="B30" s="16">
        <v>45926</v>
      </c>
      <c r="C30" s="17">
        <v>0.81527777777777777</v>
      </c>
      <c r="D30" s="18">
        <f t="shared" si="2"/>
        <v>5.2120800000000003</v>
      </c>
      <c r="E30" s="15">
        <v>17.100000000000001</v>
      </c>
      <c r="F30" s="10">
        <v>0</v>
      </c>
      <c r="G30" s="18">
        <f t="shared" si="1"/>
        <v>5.2120800000000003</v>
      </c>
      <c r="H30" s="15" t="s">
        <v>14</v>
      </c>
    </row>
    <row r="31" spans="1:8" hidden="1" x14ac:dyDescent="0.25">
      <c r="A31" s="15" t="s">
        <v>12</v>
      </c>
      <c r="B31" s="16">
        <v>45926</v>
      </c>
      <c r="C31" s="17">
        <v>0.81736111111111109</v>
      </c>
      <c r="D31" s="18">
        <f t="shared" si="2"/>
        <v>6.7970400000000009</v>
      </c>
      <c r="E31" s="15">
        <v>22.3</v>
      </c>
      <c r="F31" s="10">
        <v>1.26</v>
      </c>
      <c r="G31" s="18">
        <f t="shared" si="1"/>
        <v>5.5370400000000011</v>
      </c>
      <c r="H31" s="15" t="s">
        <v>14</v>
      </c>
    </row>
    <row r="32" spans="1:8" x14ac:dyDescent="0.25">
      <c r="A32" s="4" t="s">
        <v>9</v>
      </c>
      <c r="B32" s="12">
        <v>45927</v>
      </c>
      <c r="C32" s="14">
        <v>0.30555555555555558</v>
      </c>
      <c r="D32" s="13">
        <f t="shared" si="2"/>
        <v>5.60832</v>
      </c>
      <c r="E32" s="4">
        <v>18.399999999999999</v>
      </c>
      <c r="F32" s="10">
        <v>0.88</v>
      </c>
      <c r="G32" s="13">
        <f t="shared" si="1"/>
        <v>4.7283200000000001</v>
      </c>
      <c r="H32" s="4" t="s">
        <v>14</v>
      </c>
    </row>
    <row r="33" spans="1:8" hidden="1" x14ac:dyDescent="0.25">
      <c r="A33" s="4" t="s">
        <v>10</v>
      </c>
      <c r="B33" s="12">
        <v>45927</v>
      </c>
      <c r="C33" s="14">
        <v>0.30694444444444446</v>
      </c>
      <c r="D33" s="13">
        <f t="shared" si="2"/>
        <v>9.4488000000000003</v>
      </c>
      <c r="E33" s="4">
        <v>31</v>
      </c>
      <c r="F33" s="10">
        <v>1.1000000000000001</v>
      </c>
      <c r="G33" s="13">
        <f t="shared" si="1"/>
        <v>8.3488000000000007</v>
      </c>
      <c r="H33" s="4" t="s">
        <v>14</v>
      </c>
    </row>
    <row r="34" spans="1:8" hidden="1" x14ac:dyDescent="0.25">
      <c r="A34" s="4" t="s">
        <v>11</v>
      </c>
      <c r="B34" s="12">
        <v>45927</v>
      </c>
      <c r="C34" s="14">
        <v>0.30833333333333335</v>
      </c>
      <c r="D34" s="13">
        <f t="shared" si="2"/>
        <v>5.2120800000000003</v>
      </c>
      <c r="E34" s="4">
        <v>17.100000000000001</v>
      </c>
      <c r="F34" s="10">
        <v>0</v>
      </c>
      <c r="G34" s="13">
        <f t="shared" si="1"/>
        <v>5.2120800000000003</v>
      </c>
      <c r="H34" s="4" t="s">
        <v>14</v>
      </c>
    </row>
    <row r="35" spans="1:8" hidden="1" x14ac:dyDescent="0.25">
      <c r="A35" s="4" t="s">
        <v>12</v>
      </c>
      <c r="B35" s="12">
        <v>45927</v>
      </c>
      <c r="C35" s="14">
        <v>0.31041666666666667</v>
      </c>
      <c r="D35" s="13">
        <f t="shared" si="2"/>
        <v>6.7665600000000001</v>
      </c>
      <c r="E35" s="4">
        <v>22.2</v>
      </c>
      <c r="F35" s="10">
        <v>1.26</v>
      </c>
      <c r="G35" s="13">
        <f t="shared" si="1"/>
        <v>5.5065600000000003</v>
      </c>
      <c r="H35" s="4" t="s">
        <v>14</v>
      </c>
    </row>
    <row r="36" spans="1:8" x14ac:dyDescent="0.25">
      <c r="A36" s="15" t="s">
        <v>9</v>
      </c>
      <c r="B36" s="16">
        <v>45927</v>
      </c>
      <c r="C36" s="17">
        <v>0.8125</v>
      </c>
      <c r="D36" s="18">
        <f t="shared" si="2"/>
        <v>5.60832</v>
      </c>
      <c r="E36" s="15">
        <v>18.399999999999999</v>
      </c>
      <c r="F36" s="10">
        <v>0.88</v>
      </c>
      <c r="G36" s="18">
        <f t="shared" si="1"/>
        <v>4.7283200000000001</v>
      </c>
      <c r="H36" s="15" t="s">
        <v>14</v>
      </c>
    </row>
    <row r="37" spans="1:8" hidden="1" x14ac:dyDescent="0.25">
      <c r="A37" s="15" t="s">
        <v>10</v>
      </c>
      <c r="B37" s="16">
        <v>45927</v>
      </c>
      <c r="C37" s="17">
        <v>0.81388888888888888</v>
      </c>
      <c r="D37" s="18">
        <f t="shared" si="2"/>
        <v>9.4488000000000003</v>
      </c>
      <c r="E37" s="15">
        <v>31</v>
      </c>
      <c r="F37" s="10">
        <v>1.1000000000000001</v>
      </c>
      <c r="G37" s="18">
        <f t="shared" si="1"/>
        <v>8.3488000000000007</v>
      </c>
      <c r="H37" s="15" t="s">
        <v>14</v>
      </c>
    </row>
    <row r="38" spans="1:8" hidden="1" x14ac:dyDescent="0.25">
      <c r="A38" s="15" t="s">
        <v>11</v>
      </c>
      <c r="B38" s="16">
        <v>45927</v>
      </c>
      <c r="C38" s="17">
        <v>0.81527777777777777</v>
      </c>
      <c r="D38" s="18">
        <f t="shared" si="2"/>
        <v>5.2120800000000003</v>
      </c>
      <c r="E38" s="15">
        <v>17.100000000000001</v>
      </c>
      <c r="F38" s="10">
        <v>0</v>
      </c>
      <c r="G38" s="18">
        <f t="shared" si="1"/>
        <v>5.2120800000000003</v>
      </c>
      <c r="H38" s="15" t="s">
        <v>14</v>
      </c>
    </row>
    <row r="39" spans="1:8" hidden="1" x14ac:dyDescent="0.25">
      <c r="A39" s="15" t="s">
        <v>12</v>
      </c>
      <c r="B39" s="16">
        <v>45927</v>
      </c>
      <c r="C39" s="17">
        <v>0.81736111111111109</v>
      </c>
      <c r="D39" s="18">
        <f t="shared" si="2"/>
        <v>6.7056000000000004</v>
      </c>
      <c r="E39" s="15">
        <v>22</v>
      </c>
      <c r="F39" s="10">
        <v>1.26</v>
      </c>
      <c r="G39" s="18">
        <f t="shared" si="1"/>
        <v>5.4456000000000007</v>
      </c>
      <c r="H39" s="15" t="s">
        <v>14</v>
      </c>
    </row>
    <row r="40" spans="1:8" x14ac:dyDescent="0.25">
      <c r="A40" s="4" t="s">
        <v>9</v>
      </c>
      <c r="B40" s="12">
        <v>45928</v>
      </c>
      <c r="C40" s="14">
        <v>0.30555555555555558</v>
      </c>
      <c r="D40" s="13">
        <f t="shared" si="2"/>
        <v>5.60832</v>
      </c>
      <c r="E40" s="13">
        <v>18.399999999999999</v>
      </c>
      <c r="F40" s="10">
        <v>0.88</v>
      </c>
      <c r="G40" s="13">
        <f t="shared" si="1"/>
        <v>4.7283200000000001</v>
      </c>
      <c r="H40" s="4" t="s">
        <v>14</v>
      </c>
    </row>
    <row r="41" spans="1:8" hidden="1" x14ac:dyDescent="0.25">
      <c r="A41" s="4" t="s">
        <v>10</v>
      </c>
      <c r="B41" s="12">
        <v>45928</v>
      </c>
      <c r="C41" s="14">
        <v>0.30694444444444446</v>
      </c>
      <c r="D41" s="13">
        <f t="shared" si="2"/>
        <v>9.4488000000000003</v>
      </c>
      <c r="E41" s="13">
        <v>31</v>
      </c>
      <c r="F41" s="10">
        <v>1.1000000000000001</v>
      </c>
      <c r="G41" s="13">
        <f t="shared" si="1"/>
        <v>8.3488000000000007</v>
      </c>
      <c r="H41" s="4" t="s">
        <v>14</v>
      </c>
    </row>
    <row r="42" spans="1:8" hidden="1" x14ac:dyDescent="0.25">
      <c r="A42" s="4" t="s">
        <v>11</v>
      </c>
      <c r="B42" s="12">
        <v>45928</v>
      </c>
      <c r="C42" s="14">
        <v>0.30833333333333335</v>
      </c>
      <c r="D42" s="13">
        <f t="shared" si="2"/>
        <v>5.2120800000000003</v>
      </c>
      <c r="E42" s="13">
        <v>17.100000000000001</v>
      </c>
      <c r="F42" s="10">
        <v>0</v>
      </c>
      <c r="G42" s="13">
        <f t="shared" si="1"/>
        <v>5.2120800000000003</v>
      </c>
      <c r="H42" s="4" t="s">
        <v>14</v>
      </c>
    </row>
    <row r="43" spans="1:8" hidden="1" x14ac:dyDescent="0.25">
      <c r="A43" s="4" t="s">
        <v>12</v>
      </c>
      <c r="B43" s="12">
        <v>45928</v>
      </c>
      <c r="C43" s="14">
        <v>0.31041666666666667</v>
      </c>
      <c r="D43" s="13">
        <f t="shared" si="2"/>
        <v>6.7056000000000004</v>
      </c>
      <c r="E43" s="13">
        <v>22</v>
      </c>
      <c r="F43" s="10">
        <v>1.26</v>
      </c>
      <c r="G43" s="13">
        <f t="shared" si="1"/>
        <v>5.4456000000000007</v>
      </c>
      <c r="H43" s="4" t="s">
        <v>14</v>
      </c>
    </row>
    <row r="44" spans="1:8" x14ac:dyDescent="0.25">
      <c r="A44" s="15" t="s">
        <v>9</v>
      </c>
      <c r="B44" s="16">
        <v>45928</v>
      </c>
      <c r="C44" s="17">
        <v>0.81944444444444442</v>
      </c>
      <c r="D44" s="18">
        <f t="shared" si="2"/>
        <v>5.5778400000000001</v>
      </c>
      <c r="E44" s="15">
        <v>18.3</v>
      </c>
      <c r="F44" s="10">
        <v>0.88</v>
      </c>
      <c r="G44" s="18">
        <f t="shared" si="1"/>
        <v>4.6978400000000002</v>
      </c>
      <c r="H44" s="15" t="s">
        <v>14</v>
      </c>
    </row>
    <row r="45" spans="1:8" hidden="1" x14ac:dyDescent="0.25">
      <c r="A45" s="15" t="s">
        <v>10</v>
      </c>
      <c r="B45" s="16">
        <v>45928</v>
      </c>
      <c r="C45" s="17">
        <v>0.8208333333333333</v>
      </c>
      <c r="D45" s="18">
        <f t="shared" si="2"/>
        <v>9.4488000000000003</v>
      </c>
      <c r="E45" s="15">
        <v>31</v>
      </c>
      <c r="F45" s="10">
        <v>1.1000000000000001</v>
      </c>
      <c r="G45" s="18">
        <f t="shared" si="1"/>
        <v>8.3488000000000007</v>
      </c>
      <c r="H45" s="15" t="s">
        <v>14</v>
      </c>
    </row>
    <row r="46" spans="1:8" hidden="1" x14ac:dyDescent="0.25">
      <c r="A46" s="15" t="s">
        <v>11</v>
      </c>
      <c r="B46" s="16">
        <v>45928</v>
      </c>
      <c r="C46" s="17">
        <v>0.82222222222222219</v>
      </c>
      <c r="D46" s="18">
        <f t="shared" si="2"/>
        <v>5.2120800000000003</v>
      </c>
      <c r="E46" s="15">
        <v>17.100000000000001</v>
      </c>
      <c r="F46" s="10">
        <v>0</v>
      </c>
      <c r="G46" s="18">
        <f t="shared" si="1"/>
        <v>5.2120800000000003</v>
      </c>
      <c r="H46" s="15" t="s">
        <v>14</v>
      </c>
    </row>
    <row r="47" spans="1:8" hidden="1" x14ac:dyDescent="0.25">
      <c r="A47" s="15" t="s">
        <v>12</v>
      </c>
      <c r="B47" s="16">
        <v>45928</v>
      </c>
      <c r="C47" s="17">
        <v>0.82430555555555551</v>
      </c>
      <c r="D47" s="18">
        <f t="shared" si="2"/>
        <v>6.7056000000000004</v>
      </c>
      <c r="E47" s="15">
        <v>22</v>
      </c>
      <c r="F47" s="10">
        <v>1.26</v>
      </c>
      <c r="G47" s="18">
        <f t="shared" si="1"/>
        <v>5.4456000000000007</v>
      </c>
      <c r="H47" s="15" t="s">
        <v>14</v>
      </c>
    </row>
    <row r="48" spans="1:8" x14ac:dyDescent="0.25">
      <c r="A48" s="4" t="s">
        <v>9</v>
      </c>
      <c r="B48" s="12">
        <v>45929</v>
      </c>
      <c r="C48" s="14">
        <v>0.30555555555555558</v>
      </c>
      <c r="D48" s="13">
        <f t="shared" si="2"/>
        <v>5.5778400000000001</v>
      </c>
      <c r="E48" s="4">
        <v>18.3</v>
      </c>
      <c r="F48" s="10">
        <v>0.88</v>
      </c>
      <c r="G48" s="13">
        <f t="shared" si="1"/>
        <v>4.6978400000000002</v>
      </c>
      <c r="H48" s="4" t="s">
        <v>14</v>
      </c>
    </row>
    <row r="49" spans="1:8" hidden="1" x14ac:dyDescent="0.25">
      <c r="A49" s="4" t="s">
        <v>10</v>
      </c>
      <c r="B49" s="12">
        <v>45929</v>
      </c>
      <c r="C49" s="14">
        <v>0.30694444444444446</v>
      </c>
      <c r="D49" s="13">
        <f t="shared" si="2"/>
        <v>9.4488000000000003</v>
      </c>
      <c r="E49" s="4">
        <v>31</v>
      </c>
      <c r="F49" s="10">
        <v>1.1000000000000001</v>
      </c>
      <c r="G49" s="13">
        <f t="shared" si="1"/>
        <v>8.3488000000000007</v>
      </c>
      <c r="H49" s="4" t="s">
        <v>14</v>
      </c>
    </row>
    <row r="50" spans="1:8" hidden="1" x14ac:dyDescent="0.25">
      <c r="A50" s="4" t="s">
        <v>11</v>
      </c>
      <c r="B50" s="12">
        <v>45929</v>
      </c>
      <c r="C50" s="14">
        <v>0.30833333333333335</v>
      </c>
      <c r="D50" s="13">
        <f t="shared" si="2"/>
        <v>5.2120800000000003</v>
      </c>
      <c r="E50" s="4">
        <v>17.100000000000001</v>
      </c>
      <c r="F50" s="10">
        <v>0</v>
      </c>
      <c r="G50" s="13">
        <f t="shared" si="1"/>
        <v>5.2120800000000003</v>
      </c>
      <c r="H50" s="4" t="s">
        <v>14</v>
      </c>
    </row>
    <row r="51" spans="1:8" hidden="1" x14ac:dyDescent="0.25">
      <c r="A51" s="4" t="s">
        <v>12</v>
      </c>
      <c r="B51" s="12">
        <v>45929</v>
      </c>
      <c r="C51" s="14">
        <v>0.31041666666666667</v>
      </c>
      <c r="D51" s="13">
        <f t="shared" si="2"/>
        <v>6.7056000000000004</v>
      </c>
      <c r="E51" s="4">
        <v>22</v>
      </c>
      <c r="F51" s="10">
        <v>1.26</v>
      </c>
      <c r="G51" s="13">
        <f t="shared" si="1"/>
        <v>5.4456000000000007</v>
      </c>
      <c r="H51" s="4" t="s">
        <v>14</v>
      </c>
    </row>
    <row r="52" spans="1:8" x14ac:dyDescent="0.25">
      <c r="A52" s="15" t="s">
        <v>9</v>
      </c>
      <c r="B52" s="16">
        <v>45929</v>
      </c>
      <c r="C52" s="17">
        <v>0.81944444444444442</v>
      </c>
      <c r="D52" s="18">
        <f t="shared" si="2"/>
        <v>5.60832</v>
      </c>
      <c r="E52" s="15">
        <v>18.399999999999999</v>
      </c>
      <c r="F52" s="10">
        <v>0.88</v>
      </c>
      <c r="G52" s="18">
        <f t="shared" si="1"/>
        <v>4.7283200000000001</v>
      </c>
      <c r="H52" s="15" t="s">
        <v>14</v>
      </c>
    </row>
    <row r="53" spans="1:8" hidden="1" x14ac:dyDescent="0.25">
      <c r="A53" s="15" t="s">
        <v>10</v>
      </c>
      <c r="B53" s="16">
        <v>45929</v>
      </c>
      <c r="C53" s="17">
        <v>0.8208333333333333</v>
      </c>
      <c r="D53" s="18">
        <f t="shared" si="2"/>
        <v>9.4488000000000003</v>
      </c>
      <c r="E53" s="15">
        <v>31</v>
      </c>
      <c r="F53" s="10">
        <v>1.1000000000000001</v>
      </c>
      <c r="G53" s="18">
        <f t="shared" si="1"/>
        <v>8.3488000000000007</v>
      </c>
      <c r="H53" s="15" t="s">
        <v>14</v>
      </c>
    </row>
    <row r="54" spans="1:8" hidden="1" x14ac:dyDescent="0.25">
      <c r="A54" s="15" t="s">
        <v>11</v>
      </c>
      <c r="B54" s="16">
        <v>45929</v>
      </c>
      <c r="C54" s="17">
        <v>0.82222222222222219</v>
      </c>
      <c r="D54" s="18">
        <f t="shared" si="2"/>
        <v>5.2120800000000003</v>
      </c>
      <c r="E54" s="15">
        <v>17.100000000000001</v>
      </c>
      <c r="F54" s="10">
        <v>0</v>
      </c>
      <c r="G54" s="18">
        <f t="shared" si="1"/>
        <v>5.2120800000000003</v>
      </c>
      <c r="H54" s="15" t="s">
        <v>14</v>
      </c>
    </row>
    <row r="55" spans="1:8" hidden="1" x14ac:dyDescent="0.25">
      <c r="A55" s="15" t="s">
        <v>12</v>
      </c>
      <c r="B55" s="16">
        <v>45929</v>
      </c>
      <c r="C55" s="17">
        <v>0.82430555555555551</v>
      </c>
      <c r="D55" s="18">
        <f t="shared" si="2"/>
        <v>6.7056000000000004</v>
      </c>
      <c r="E55" s="15">
        <v>22</v>
      </c>
      <c r="F55" s="10">
        <v>1.26</v>
      </c>
      <c r="G55" s="18">
        <f t="shared" si="1"/>
        <v>5.4456000000000007</v>
      </c>
      <c r="H55" s="15" t="s">
        <v>14</v>
      </c>
    </row>
    <row r="56" spans="1:8" x14ac:dyDescent="0.25">
      <c r="A56" s="4" t="s">
        <v>9</v>
      </c>
      <c r="B56" s="12">
        <v>45930</v>
      </c>
      <c r="C56" s="14">
        <v>0.30555555555555558</v>
      </c>
      <c r="D56" s="13">
        <f t="shared" si="2"/>
        <v>5.60832</v>
      </c>
      <c r="E56" s="4">
        <v>18.399999999999999</v>
      </c>
      <c r="F56" s="10">
        <v>0.88</v>
      </c>
      <c r="G56" s="13">
        <f t="shared" si="1"/>
        <v>4.7283200000000001</v>
      </c>
      <c r="H56" s="4" t="s">
        <v>14</v>
      </c>
    </row>
    <row r="57" spans="1:8" hidden="1" x14ac:dyDescent="0.25">
      <c r="A57" s="4" t="s">
        <v>10</v>
      </c>
      <c r="B57" s="12">
        <v>45930</v>
      </c>
      <c r="C57" s="14">
        <v>0.30694444444444446</v>
      </c>
      <c r="D57" s="13">
        <f t="shared" si="2"/>
        <v>9.4488000000000003</v>
      </c>
      <c r="E57" s="4">
        <v>31</v>
      </c>
      <c r="F57" s="10">
        <v>1.1000000000000001</v>
      </c>
      <c r="G57" s="13">
        <f t="shared" si="1"/>
        <v>8.3488000000000007</v>
      </c>
      <c r="H57" s="4" t="s">
        <v>14</v>
      </c>
    </row>
    <row r="58" spans="1:8" hidden="1" x14ac:dyDescent="0.25">
      <c r="A58" s="4" t="s">
        <v>11</v>
      </c>
      <c r="B58" s="12">
        <v>45930</v>
      </c>
      <c r="C58" s="14">
        <v>0.30833333333333335</v>
      </c>
      <c r="D58" s="13">
        <f t="shared" si="2"/>
        <v>5.2120800000000003</v>
      </c>
      <c r="E58" s="4">
        <v>17.100000000000001</v>
      </c>
      <c r="F58" s="10">
        <v>0</v>
      </c>
      <c r="G58" s="13">
        <f t="shared" si="1"/>
        <v>5.2120800000000003</v>
      </c>
      <c r="H58" s="4" t="s">
        <v>14</v>
      </c>
    </row>
    <row r="59" spans="1:8" hidden="1" x14ac:dyDescent="0.25">
      <c r="A59" s="4" t="s">
        <v>12</v>
      </c>
      <c r="B59" s="12">
        <v>45930</v>
      </c>
      <c r="C59" s="14">
        <v>0.31041666666666667</v>
      </c>
      <c r="D59" s="13">
        <f t="shared" si="2"/>
        <v>6.7056000000000004</v>
      </c>
      <c r="E59" s="4">
        <v>22</v>
      </c>
      <c r="F59" s="10">
        <v>1.26</v>
      </c>
      <c r="G59" s="13">
        <f t="shared" si="1"/>
        <v>5.4456000000000007</v>
      </c>
      <c r="H59" s="4" t="s">
        <v>14</v>
      </c>
    </row>
    <row r="60" spans="1:8" x14ac:dyDescent="0.25">
      <c r="A60" s="15" t="s">
        <v>9</v>
      </c>
      <c r="B60" s="16">
        <v>45930</v>
      </c>
      <c r="C60" s="17">
        <v>0.79861111111111116</v>
      </c>
      <c r="D60" s="18">
        <f t="shared" si="2"/>
        <v>5.60832</v>
      </c>
      <c r="E60" s="15">
        <v>18.399999999999999</v>
      </c>
      <c r="F60" s="10">
        <v>0.88</v>
      </c>
      <c r="G60" s="18">
        <f t="shared" si="1"/>
        <v>4.7283200000000001</v>
      </c>
      <c r="H60" s="15" t="s">
        <v>14</v>
      </c>
    </row>
    <row r="61" spans="1:8" hidden="1" x14ac:dyDescent="0.25">
      <c r="A61" s="15" t="s">
        <v>10</v>
      </c>
      <c r="B61" s="16">
        <v>45930</v>
      </c>
      <c r="C61" s="17">
        <v>0.8</v>
      </c>
      <c r="D61" s="18">
        <f t="shared" si="2"/>
        <v>9.4488000000000003</v>
      </c>
      <c r="E61" s="15">
        <v>31</v>
      </c>
      <c r="F61" s="10">
        <v>1.1000000000000001</v>
      </c>
      <c r="G61" s="18">
        <f t="shared" si="1"/>
        <v>8.3488000000000007</v>
      </c>
      <c r="H61" s="15" t="s">
        <v>14</v>
      </c>
    </row>
    <row r="62" spans="1:8" hidden="1" x14ac:dyDescent="0.25">
      <c r="A62" s="15" t="s">
        <v>11</v>
      </c>
      <c r="B62" s="16">
        <v>45930</v>
      </c>
      <c r="C62" s="17">
        <v>0.80208333333333337</v>
      </c>
      <c r="D62" s="18">
        <f t="shared" si="2"/>
        <v>5.2120800000000003</v>
      </c>
      <c r="E62" s="15">
        <v>17.100000000000001</v>
      </c>
      <c r="F62" s="10">
        <v>0</v>
      </c>
      <c r="G62" s="18">
        <f t="shared" si="1"/>
        <v>5.2120800000000003</v>
      </c>
      <c r="H62" s="15" t="s">
        <v>14</v>
      </c>
    </row>
    <row r="63" spans="1:8" hidden="1" x14ac:dyDescent="0.25">
      <c r="A63" s="15" t="s">
        <v>12</v>
      </c>
      <c r="B63" s="16">
        <v>45930</v>
      </c>
      <c r="C63" s="17">
        <v>0.80347222222222225</v>
      </c>
      <c r="D63" s="18">
        <f t="shared" si="2"/>
        <v>6.7056000000000004</v>
      </c>
      <c r="E63" s="15">
        <v>22</v>
      </c>
      <c r="F63" s="10">
        <v>1.26</v>
      </c>
      <c r="G63" s="18">
        <f t="shared" si="1"/>
        <v>5.4456000000000007</v>
      </c>
      <c r="H63" s="15" t="s">
        <v>14</v>
      </c>
    </row>
    <row r="64" spans="1:8" x14ac:dyDescent="0.25">
      <c r="A64" s="4" t="s">
        <v>9</v>
      </c>
      <c r="B64" s="12">
        <v>45931</v>
      </c>
      <c r="C64" s="14">
        <v>0.30555555555555558</v>
      </c>
      <c r="D64" s="13">
        <f t="shared" si="2"/>
        <v>5.60832</v>
      </c>
      <c r="E64" s="4">
        <v>18.399999999999999</v>
      </c>
      <c r="F64" s="10">
        <v>0.88</v>
      </c>
      <c r="G64" s="13">
        <f t="shared" si="1"/>
        <v>4.7283200000000001</v>
      </c>
      <c r="H64" s="4" t="s">
        <v>17</v>
      </c>
    </row>
    <row r="65" spans="1:15" hidden="1" x14ac:dyDescent="0.25">
      <c r="A65" s="4" t="s">
        <v>10</v>
      </c>
      <c r="B65" s="12">
        <v>45931</v>
      </c>
      <c r="C65" s="14">
        <v>0.30694444444444446</v>
      </c>
      <c r="D65" s="13">
        <f t="shared" si="2"/>
        <v>9.4488000000000003</v>
      </c>
      <c r="E65" s="4">
        <v>31</v>
      </c>
      <c r="F65" s="10">
        <v>1.1000000000000001</v>
      </c>
      <c r="G65" s="13">
        <f t="shared" si="1"/>
        <v>8.3488000000000007</v>
      </c>
      <c r="H65" s="4" t="s">
        <v>17</v>
      </c>
    </row>
    <row r="66" spans="1:15" hidden="1" x14ac:dyDescent="0.25">
      <c r="A66" s="4" t="s">
        <v>11</v>
      </c>
      <c r="B66" s="12">
        <v>45931</v>
      </c>
      <c r="C66" s="14">
        <v>0.30833333333333335</v>
      </c>
      <c r="D66" s="13">
        <f t="shared" si="2"/>
        <v>5.2120800000000003</v>
      </c>
      <c r="E66" s="4">
        <v>17.100000000000001</v>
      </c>
      <c r="F66" s="10">
        <v>0</v>
      </c>
      <c r="G66" s="13">
        <f t="shared" si="1"/>
        <v>5.2120800000000003</v>
      </c>
      <c r="H66" s="4" t="s">
        <v>17</v>
      </c>
    </row>
    <row r="67" spans="1:15" hidden="1" x14ac:dyDescent="0.25">
      <c r="A67" s="4" t="s">
        <v>12</v>
      </c>
      <c r="B67" s="12">
        <v>45931</v>
      </c>
      <c r="C67" s="14">
        <v>0.31041666666666667</v>
      </c>
      <c r="D67" s="13">
        <f t="shared" si="2"/>
        <v>6.7056000000000004</v>
      </c>
      <c r="E67" s="4">
        <v>22</v>
      </c>
      <c r="F67" s="10">
        <v>1.26</v>
      </c>
      <c r="G67" s="13">
        <f t="shared" si="1"/>
        <v>5.4456000000000007</v>
      </c>
      <c r="H67" s="4" t="s">
        <v>17</v>
      </c>
    </row>
    <row r="68" spans="1:15" x14ac:dyDescent="0.25">
      <c r="A68" s="15" t="s">
        <v>9</v>
      </c>
      <c r="B68" s="16">
        <v>45931</v>
      </c>
      <c r="C68" s="17">
        <v>0.79861111111111116</v>
      </c>
      <c r="D68" s="18">
        <f t="shared" si="2"/>
        <v>5.60832</v>
      </c>
      <c r="E68" s="15">
        <v>18.399999999999999</v>
      </c>
      <c r="F68" s="10">
        <v>0.88</v>
      </c>
      <c r="G68" s="18">
        <f t="shared" si="1"/>
        <v>4.7283200000000001</v>
      </c>
      <c r="H68" s="15" t="s">
        <v>17</v>
      </c>
    </row>
    <row r="69" spans="1:15" hidden="1" x14ac:dyDescent="0.25">
      <c r="A69" s="15" t="s">
        <v>10</v>
      </c>
      <c r="B69" s="16">
        <v>45931</v>
      </c>
      <c r="C69" s="17">
        <v>0.8</v>
      </c>
      <c r="D69" s="18">
        <f t="shared" si="2"/>
        <v>9.4488000000000003</v>
      </c>
      <c r="E69" s="15">
        <v>31</v>
      </c>
      <c r="F69" s="10">
        <v>1.1000000000000001</v>
      </c>
      <c r="G69" s="18">
        <f t="shared" si="1"/>
        <v>8.3488000000000007</v>
      </c>
      <c r="H69" s="15" t="s">
        <v>17</v>
      </c>
    </row>
    <row r="70" spans="1:15" hidden="1" x14ac:dyDescent="0.25">
      <c r="A70" s="15" t="s">
        <v>11</v>
      </c>
      <c r="B70" s="16">
        <v>45931</v>
      </c>
      <c r="C70" s="17">
        <v>0.80208333333333337</v>
      </c>
      <c r="D70" s="18">
        <f t="shared" si="2"/>
        <v>5.2120800000000003</v>
      </c>
      <c r="E70" s="15">
        <v>17.100000000000001</v>
      </c>
      <c r="F70" s="10">
        <v>0</v>
      </c>
      <c r="G70" s="18">
        <f t="shared" si="1"/>
        <v>5.2120800000000003</v>
      </c>
      <c r="H70" s="15" t="s">
        <v>17</v>
      </c>
    </row>
    <row r="71" spans="1:15" hidden="1" x14ac:dyDescent="0.25">
      <c r="A71" s="15" t="s">
        <v>12</v>
      </c>
      <c r="B71" s="16">
        <v>45931</v>
      </c>
      <c r="C71" s="17">
        <v>0.80347222222222225</v>
      </c>
      <c r="D71" s="18">
        <f t="shared" si="2"/>
        <v>6.7056000000000004</v>
      </c>
      <c r="E71" s="15">
        <v>22</v>
      </c>
      <c r="F71" s="10">
        <v>1.26</v>
      </c>
      <c r="G71" s="18">
        <f t="shared" si="1"/>
        <v>5.4456000000000007</v>
      </c>
      <c r="H71" s="15" t="s">
        <v>17</v>
      </c>
    </row>
    <row r="72" spans="1:15" x14ac:dyDescent="0.25">
      <c r="A72" s="4" t="s">
        <v>9</v>
      </c>
      <c r="B72" s="12">
        <v>45932</v>
      </c>
      <c r="C72" s="14">
        <v>0.2986111111111111</v>
      </c>
      <c r="D72" s="13">
        <f t="shared" si="2"/>
        <v>5.6235600000000003</v>
      </c>
      <c r="E72" s="4">
        <v>18.45</v>
      </c>
      <c r="F72" s="10">
        <v>0.88</v>
      </c>
      <c r="G72" s="13">
        <f t="shared" si="1"/>
        <v>4.7435600000000004</v>
      </c>
      <c r="H72" s="4" t="s">
        <v>18</v>
      </c>
    </row>
    <row r="73" spans="1:15" hidden="1" x14ac:dyDescent="0.25">
      <c r="A73" s="4" t="s">
        <v>10</v>
      </c>
      <c r="B73" s="12">
        <v>45932</v>
      </c>
      <c r="C73" s="14">
        <v>0.3</v>
      </c>
      <c r="D73" s="13">
        <f t="shared" si="2"/>
        <v>9.2049599999999998</v>
      </c>
      <c r="E73" s="4">
        <v>30.2</v>
      </c>
      <c r="F73" s="10">
        <v>1.1000000000000001</v>
      </c>
      <c r="G73" s="13">
        <f t="shared" si="1"/>
        <v>8.1049600000000002</v>
      </c>
      <c r="H73" s="4" t="s">
        <v>18</v>
      </c>
    </row>
    <row r="74" spans="1:15" hidden="1" x14ac:dyDescent="0.25">
      <c r="A74" s="4" t="s">
        <v>11</v>
      </c>
      <c r="B74" s="12">
        <v>45932</v>
      </c>
      <c r="C74" s="14">
        <v>0.30138888888888887</v>
      </c>
      <c r="D74" s="13">
        <f t="shared" si="2"/>
        <v>5.2120800000000003</v>
      </c>
      <c r="E74" s="4">
        <v>17.100000000000001</v>
      </c>
      <c r="F74" s="10">
        <v>0</v>
      </c>
      <c r="G74" s="13">
        <f t="shared" si="1"/>
        <v>5.2120800000000003</v>
      </c>
      <c r="H74" s="4" t="s">
        <v>18</v>
      </c>
    </row>
    <row r="75" spans="1:15" hidden="1" x14ac:dyDescent="0.25">
      <c r="A75" s="4" t="s">
        <v>12</v>
      </c>
      <c r="B75" s="12">
        <v>45932</v>
      </c>
      <c r="C75" s="14">
        <v>0.3034722222222222</v>
      </c>
      <c r="D75" s="13">
        <f t="shared" si="2"/>
        <v>6.7970400000000009</v>
      </c>
      <c r="E75" s="4">
        <v>22.3</v>
      </c>
      <c r="F75" s="10">
        <v>1.26</v>
      </c>
      <c r="G75" s="13">
        <f t="shared" si="1"/>
        <v>5.5370400000000011</v>
      </c>
      <c r="H75" s="4" t="s">
        <v>18</v>
      </c>
    </row>
    <row r="76" spans="1:15" x14ac:dyDescent="0.25">
      <c r="A76" s="22" t="s">
        <v>9</v>
      </c>
      <c r="B76" s="23">
        <v>45934</v>
      </c>
      <c r="C76" s="24">
        <v>0.3125</v>
      </c>
      <c r="D76" s="25">
        <v>5.54</v>
      </c>
      <c r="E76" s="22">
        <v>18.170000000000002</v>
      </c>
      <c r="F76" s="22">
        <v>0.88</v>
      </c>
      <c r="G76" s="25">
        <v>4.66</v>
      </c>
      <c r="H76" s="22" t="s">
        <v>14</v>
      </c>
      <c r="O76" s="26"/>
    </row>
    <row r="77" spans="1:15" hidden="1" x14ac:dyDescent="0.25">
      <c r="A77" s="4" t="s">
        <v>10</v>
      </c>
      <c r="B77" s="12">
        <v>45934</v>
      </c>
      <c r="C77" s="14">
        <v>0.31458333333333333</v>
      </c>
      <c r="D77" s="13">
        <v>8.14</v>
      </c>
      <c r="E77" s="4">
        <v>26.7</v>
      </c>
      <c r="F77" s="10">
        <v>1.1000000000000001</v>
      </c>
      <c r="G77" s="13">
        <v>8.0399999999999991</v>
      </c>
      <c r="H77" s="4" t="s">
        <v>14</v>
      </c>
    </row>
    <row r="78" spans="1:15" hidden="1" x14ac:dyDescent="0.25">
      <c r="A78" s="4" t="s">
        <v>11</v>
      </c>
      <c r="B78" s="12">
        <v>45934</v>
      </c>
      <c r="C78" s="14">
        <v>0.31805555555555554</v>
      </c>
      <c r="D78" s="13">
        <v>5.18</v>
      </c>
      <c r="E78" s="4">
        <v>17.100000000000001</v>
      </c>
      <c r="F78" s="10">
        <v>0</v>
      </c>
      <c r="G78" s="13">
        <v>5.18</v>
      </c>
      <c r="H78" s="4" t="s">
        <v>14</v>
      </c>
    </row>
    <row r="79" spans="1:15" hidden="1" x14ac:dyDescent="0.25">
      <c r="A79" s="4" t="s">
        <v>12</v>
      </c>
      <c r="B79" s="12">
        <v>45934</v>
      </c>
      <c r="C79" s="14">
        <v>0.32013888888888886</v>
      </c>
      <c r="D79" s="13">
        <f t="shared" ref="D79" si="3">E79*0.3048</f>
        <v>6.7970400000000009</v>
      </c>
      <c r="E79" s="4">
        <v>22.3</v>
      </c>
      <c r="F79" s="10">
        <v>1.26</v>
      </c>
      <c r="G79" s="13">
        <f t="shared" ref="G79" si="4">D79-F79</f>
        <v>5.5370400000000011</v>
      </c>
      <c r="H79" s="4" t="s">
        <v>14</v>
      </c>
    </row>
    <row r="80" spans="1:15" x14ac:dyDescent="0.25">
      <c r="A80" s="22" t="s">
        <v>9</v>
      </c>
      <c r="B80" s="23">
        <v>45935</v>
      </c>
      <c r="C80" s="24">
        <v>0.30555555555555558</v>
      </c>
      <c r="D80" s="25">
        <v>5.48</v>
      </c>
      <c r="E80" s="22">
        <v>18</v>
      </c>
      <c r="F80" s="22">
        <v>0.88</v>
      </c>
      <c r="G80" s="25">
        <v>4.5999999999999996</v>
      </c>
      <c r="H80" s="22" t="s">
        <v>14</v>
      </c>
    </row>
    <row r="81" spans="1:12" hidden="1" x14ac:dyDescent="0.25">
      <c r="A81" s="4" t="s">
        <v>10</v>
      </c>
      <c r="B81" s="12">
        <v>45935</v>
      </c>
      <c r="C81" s="14">
        <v>0.30972222222222223</v>
      </c>
      <c r="D81" s="13">
        <v>9.14</v>
      </c>
      <c r="E81" s="4">
        <v>30</v>
      </c>
      <c r="F81" s="10">
        <v>1.1000000000000001</v>
      </c>
      <c r="G81" s="13">
        <v>8.0399999999999991</v>
      </c>
      <c r="H81" s="4" t="s">
        <v>14</v>
      </c>
      <c r="L81" s="26"/>
    </row>
    <row r="82" spans="1:12" hidden="1" x14ac:dyDescent="0.25">
      <c r="A82" s="4" t="s">
        <v>11</v>
      </c>
      <c r="B82" s="12">
        <v>45935</v>
      </c>
      <c r="C82" s="14">
        <v>0.31319444444444444</v>
      </c>
      <c r="D82" s="13"/>
      <c r="E82" s="4"/>
      <c r="F82" s="10"/>
      <c r="G82" s="13"/>
      <c r="H82" s="4"/>
    </row>
    <row r="83" spans="1:12" hidden="1" x14ac:dyDescent="0.25">
      <c r="A83" s="4" t="s">
        <v>12</v>
      </c>
      <c r="B83" s="12">
        <v>45935</v>
      </c>
      <c r="C83" s="14">
        <v>0.31944444444444442</v>
      </c>
      <c r="D83" s="13">
        <v>6.7</v>
      </c>
      <c r="E83" s="4">
        <v>22</v>
      </c>
      <c r="F83" s="10">
        <v>1.26</v>
      </c>
      <c r="G83" s="13">
        <f t="shared" ref="G83" si="5">D83-F83</f>
        <v>5.44</v>
      </c>
      <c r="H83" s="4" t="s">
        <v>14</v>
      </c>
    </row>
    <row r="84" spans="1:12" x14ac:dyDescent="0.25">
      <c r="A84" s="22" t="s">
        <v>9</v>
      </c>
      <c r="B84" s="23">
        <v>45936</v>
      </c>
      <c r="C84" s="24">
        <v>0.27777777777777779</v>
      </c>
      <c r="D84" s="25">
        <v>5.51</v>
      </c>
      <c r="E84" s="22">
        <v>18.100000000000001</v>
      </c>
      <c r="F84" s="22">
        <v>0.88</v>
      </c>
      <c r="G84" s="25">
        <v>4.63</v>
      </c>
      <c r="H84" s="22" t="s">
        <v>14</v>
      </c>
      <c r="J84" s="26"/>
    </row>
    <row r="85" spans="1:12" hidden="1" x14ac:dyDescent="0.25">
      <c r="A85" s="4" t="s">
        <v>10</v>
      </c>
      <c r="B85" s="12">
        <v>45936</v>
      </c>
      <c r="C85" s="14">
        <v>0.28125</v>
      </c>
      <c r="D85" s="13">
        <v>9.14</v>
      </c>
      <c r="E85" s="4">
        <v>30</v>
      </c>
      <c r="F85" s="10">
        <v>1.1000000000000001</v>
      </c>
      <c r="G85" s="13">
        <v>8.0399999999999991</v>
      </c>
      <c r="H85" s="4" t="s">
        <v>14</v>
      </c>
      <c r="J85" s="26"/>
    </row>
    <row r="86" spans="1:12" hidden="1" x14ac:dyDescent="0.25">
      <c r="A86" s="4" t="s">
        <v>12</v>
      </c>
      <c r="B86" s="12">
        <v>45936</v>
      </c>
      <c r="C86" s="14">
        <v>0.28472222222222221</v>
      </c>
      <c r="D86" s="13">
        <v>6.73</v>
      </c>
      <c r="E86" s="4">
        <v>22.1</v>
      </c>
      <c r="F86" s="10">
        <v>1.26</v>
      </c>
      <c r="G86" s="13">
        <f t="shared" ref="G86" si="6">D86-F86</f>
        <v>5.4700000000000006</v>
      </c>
      <c r="H86" s="4" t="s">
        <v>14</v>
      </c>
      <c r="J86" s="26"/>
    </row>
    <row r="87" spans="1:12" x14ac:dyDescent="0.25">
      <c r="A87" s="22" t="s">
        <v>9</v>
      </c>
      <c r="B87" s="23">
        <v>45937</v>
      </c>
      <c r="C87" s="24">
        <v>0.3</v>
      </c>
      <c r="D87" s="25">
        <v>5.6</v>
      </c>
      <c r="E87" s="22">
        <v>18.399999999999999</v>
      </c>
      <c r="F87" s="22">
        <v>0.88</v>
      </c>
      <c r="G87" s="25">
        <f>D87-F87</f>
        <v>4.72</v>
      </c>
      <c r="H87" s="22" t="s">
        <v>14</v>
      </c>
      <c r="J87" s="26"/>
    </row>
    <row r="88" spans="1:12" hidden="1" x14ac:dyDescent="0.25">
      <c r="A88" s="4" t="s">
        <v>10</v>
      </c>
      <c r="B88" s="12">
        <v>45937</v>
      </c>
      <c r="C88" s="14">
        <v>0.30208333333333331</v>
      </c>
      <c r="D88" s="13">
        <v>9.75</v>
      </c>
      <c r="E88" s="4">
        <v>32</v>
      </c>
      <c r="F88" s="10">
        <v>1.1000000000000001</v>
      </c>
      <c r="G88" s="13">
        <f>D88-F88</f>
        <v>8.65</v>
      </c>
      <c r="H88" s="4" t="s">
        <v>14</v>
      </c>
      <c r="J88" s="26"/>
    </row>
    <row r="89" spans="1:12" hidden="1" x14ac:dyDescent="0.25">
      <c r="A89" s="4" t="s">
        <v>12</v>
      </c>
      <c r="B89" s="12">
        <v>45937</v>
      </c>
      <c r="C89" s="14">
        <v>0.30416666666666664</v>
      </c>
      <c r="D89" s="13">
        <v>6.7</v>
      </c>
      <c r="E89" s="4">
        <v>22</v>
      </c>
      <c r="F89" s="10">
        <v>1.26</v>
      </c>
      <c r="G89" s="13">
        <f t="shared" ref="G89" si="7">D89-F89</f>
        <v>5.44</v>
      </c>
      <c r="H89" s="4" t="s">
        <v>14</v>
      </c>
      <c r="J89" s="26"/>
    </row>
    <row r="90" spans="1:12" x14ac:dyDescent="0.25">
      <c r="A90" s="22" t="s">
        <v>9</v>
      </c>
      <c r="B90" s="23">
        <v>45938</v>
      </c>
      <c r="C90" s="24">
        <v>0.2951388888888889</v>
      </c>
      <c r="D90" s="25">
        <v>5.54</v>
      </c>
      <c r="E90" s="22">
        <v>18.2</v>
      </c>
      <c r="F90" s="22">
        <v>0.88</v>
      </c>
      <c r="G90" s="25">
        <f>D90-F90</f>
        <v>4.66</v>
      </c>
      <c r="H90" s="22" t="s">
        <v>14</v>
      </c>
    </row>
    <row r="91" spans="1:12" hidden="1" x14ac:dyDescent="0.25">
      <c r="A91" s="4" t="s">
        <v>10</v>
      </c>
      <c r="B91" s="12">
        <v>45938</v>
      </c>
      <c r="C91" s="14">
        <v>0.29791666666666666</v>
      </c>
      <c r="D91" s="13">
        <v>9.66</v>
      </c>
      <c r="E91" s="4">
        <v>31.7</v>
      </c>
      <c r="F91" s="10">
        <v>1.1000000000000001</v>
      </c>
      <c r="G91" s="13">
        <f>D91-F91</f>
        <v>8.56</v>
      </c>
      <c r="H91" s="4" t="s">
        <v>14</v>
      </c>
    </row>
    <row r="92" spans="1:12" hidden="1" x14ac:dyDescent="0.25">
      <c r="A92" s="4" t="s">
        <v>12</v>
      </c>
      <c r="B92" s="12">
        <v>45938</v>
      </c>
      <c r="C92" s="14">
        <v>0.3</v>
      </c>
      <c r="D92" s="13">
        <v>6.7</v>
      </c>
      <c r="E92" s="4">
        <v>22</v>
      </c>
      <c r="F92" s="10">
        <v>1.26</v>
      </c>
      <c r="G92" s="13">
        <f t="shared" ref="G92" si="8">D92-F92</f>
        <v>5.44</v>
      </c>
      <c r="H92" s="4" t="s">
        <v>14</v>
      </c>
    </row>
    <row r="93" spans="1:12" x14ac:dyDescent="0.25">
      <c r="A93" s="22" t="s">
        <v>9</v>
      </c>
      <c r="B93" s="23">
        <v>45939</v>
      </c>
      <c r="C93" s="24">
        <v>0.29305555555555557</v>
      </c>
      <c r="D93" s="25">
        <v>5.6</v>
      </c>
      <c r="E93" s="22">
        <v>18.399999999999999</v>
      </c>
      <c r="F93" s="22">
        <v>0.88</v>
      </c>
      <c r="G93" s="25">
        <f>D93-F93</f>
        <v>4.72</v>
      </c>
      <c r="H93" s="22" t="s">
        <v>14</v>
      </c>
    </row>
    <row r="94" spans="1:12" hidden="1" x14ac:dyDescent="0.25">
      <c r="A94" s="4" t="s">
        <v>10</v>
      </c>
      <c r="B94" s="12">
        <v>45939</v>
      </c>
      <c r="C94" s="14">
        <v>0.29583333333333334</v>
      </c>
      <c r="D94" s="13">
        <v>9.1999999999999993</v>
      </c>
      <c r="E94" s="4">
        <v>30.2</v>
      </c>
      <c r="F94" s="10">
        <v>1.1000000000000001</v>
      </c>
      <c r="G94" s="13">
        <f>D94-F94</f>
        <v>8.1</v>
      </c>
      <c r="H94" s="4" t="s">
        <v>14</v>
      </c>
    </row>
    <row r="95" spans="1:12" hidden="1" x14ac:dyDescent="0.25">
      <c r="A95" s="4" t="s">
        <v>12</v>
      </c>
      <c r="B95" s="12">
        <v>45939</v>
      </c>
      <c r="C95" s="14">
        <v>0.2986111111111111</v>
      </c>
      <c r="D95" s="13">
        <v>6.7</v>
      </c>
      <c r="E95" s="4">
        <v>22</v>
      </c>
      <c r="F95" s="4">
        <v>1.26</v>
      </c>
      <c r="G95" s="13">
        <f t="shared" ref="G95" si="9">D95-F95</f>
        <v>5.44</v>
      </c>
      <c r="H95" s="4" t="s">
        <v>14</v>
      </c>
    </row>
    <row r="96" spans="1:12" x14ac:dyDescent="0.25">
      <c r="A96" s="22" t="s">
        <v>9</v>
      </c>
      <c r="B96" s="23">
        <v>45940</v>
      </c>
      <c r="C96" s="24">
        <v>0.30208333333333331</v>
      </c>
      <c r="D96" s="25">
        <v>5.68</v>
      </c>
      <c r="E96" s="22">
        <v>18.399999999999999</v>
      </c>
      <c r="F96" s="22">
        <v>0.88</v>
      </c>
      <c r="G96" s="25">
        <f>D96-F96</f>
        <v>4.8</v>
      </c>
      <c r="H96" s="22" t="s">
        <v>14</v>
      </c>
    </row>
    <row r="97" spans="1:8" hidden="1" x14ac:dyDescent="0.25">
      <c r="A97" s="4" t="s">
        <v>10</v>
      </c>
      <c r="B97" s="12">
        <v>45940</v>
      </c>
      <c r="C97" s="14">
        <v>0.30416666666666664</v>
      </c>
      <c r="D97" s="13">
        <v>9.23</v>
      </c>
      <c r="E97" s="4">
        <v>30.3</v>
      </c>
      <c r="F97" s="4">
        <v>1.1000000000000001</v>
      </c>
      <c r="G97" s="13">
        <f>D97-F97</f>
        <v>8.1300000000000008</v>
      </c>
      <c r="H97" s="4" t="s">
        <v>14</v>
      </c>
    </row>
    <row r="98" spans="1:8" hidden="1" x14ac:dyDescent="0.25">
      <c r="A98" s="4" t="s">
        <v>12</v>
      </c>
      <c r="B98" s="12">
        <v>45940</v>
      </c>
      <c r="C98" s="14">
        <v>0.30555555555555558</v>
      </c>
      <c r="D98" s="13">
        <v>6.73</v>
      </c>
      <c r="E98" s="4">
        <v>22.1</v>
      </c>
      <c r="F98" s="4">
        <v>1.26</v>
      </c>
      <c r="G98" s="13">
        <f t="shared" ref="G98" si="10">D98-F98</f>
        <v>5.4700000000000006</v>
      </c>
      <c r="H98" s="4" t="s">
        <v>14</v>
      </c>
    </row>
    <row r="99" spans="1:8" x14ac:dyDescent="0.25">
      <c r="A99" s="22" t="s">
        <v>9</v>
      </c>
      <c r="B99" s="23">
        <v>45945</v>
      </c>
      <c r="C99" s="24">
        <v>0.28819444444444442</v>
      </c>
      <c r="D99" s="25">
        <v>5.66</v>
      </c>
      <c r="E99" s="22">
        <v>18.600000000000001</v>
      </c>
      <c r="F99" s="22">
        <v>0.88</v>
      </c>
      <c r="G99" s="25">
        <f>D99-F99</f>
        <v>4.78</v>
      </c>
      <c r="H99" s="22" t="s">
        <v>14</v>
      </c>
    </row>
    <row r="100" spans="1:8" hidden="1" x14ac:dyDescent="0.25">
      <c r="A100" s="4" t="s">
        <v>10</v>
      </c>
      <c r="B100" s="12">
        <v>45945</v>
      </c>
      <c r="C100" s="14">
        <v>0.29097222222222224</v>
      </c>
      <c r="D100" s="13">
        <v>9.3800000000000008</v>
      </c>
      <c r="E100" s="4">
        <v>30.6</v>
      </c>
      <c r="F100" s="4">
        <v>1.1000000000000001</v>
      </c>
      <c r="G100" s="13">
        <f>D100-F100</f>
        <v>8.2800000000000011</v>
      </c>
      <c r="H100" s="4" t="s">
        <v>14</v>
      </c>
    </row>
    <row r="101" spans="1:8" hidden="1" x14ac:dyDescent="0.25">
      <c r="A101" s="4" t="s">
        <v>12</v>
      </c>
      <c r="B101" s="12">
        <v>45945</v>
      </c>
      <c r="C101" s="14">
        <v>0.29444444444444445</v>
      </c>
      <c r="D101" s="13">
        <v>6.73</v>
      </c>
      <c r="E101" s="4">
        <v>22.1</v>
      </c>
      <c r="F101" s="4">
        <v>1.26</v>
      </c>
      <c r="G101" s="13">
        <f t="shared" ref="G101" si="11">D101-F101</f>
        <v>5.4700000000000006</v>
      </c>
      <c r="H101" s="4" t="s">
        <v>14</v>
      </c>
    </row>
    <row r="102" spans="1:8" x14ac:dyDescent="0.25">
      <c r="A102" s="22" t="s">
        <v>9</v>
      </c>
      <c r="B102" s="23">
        <v>45950</v>
      </c>
      <c r="C102" s="24">
        <v>0.33611111111111114</v>
      </c>
      <c r="D102" s="25">
        <f>E102*0.3048</f>
        <v>5.6997600000000004</v>
      </c>
      <c r="E102" s="22">
        <v>18.7</v>
      </c>
      <c r="F102" s="22">
        <v>0.88</v>
      </c>
      <c r="G102" s="25">
        <f t="shared" ref="G102:G110" si="12">D102-F102</f>
        <v>4.8197600000000005</v>
      </c>
      <c r="H102" s="22" t="s">
        <v>14</v>
      </c>
    </row>
    <row r="103" spans="1:8" hidden="1" x14ac:dyDescent="0.25">
      <c r="A103" s="4" t="s">
        <v>10</v>
      </c>
      <c r="B103" s="12">
        <v>45950</v>
      </c>
      <c r="C103" s="14">
        <v>0.33819444444444446</v>
      </c>
      <c r="D103" s="13">
        <f t="shared" ref="D103:D107" si="13">E103*0.3048</f>
        <v>9.403080000000001</v>
      </c>
      <c r="E103" s="4">
        <v>30.85</v>
      </c>
      <c r="F103" s="4">
        <v>1.1000000000000001</v>
      </c>
      <c r="G103" s="13">
        <f t="shared" si="12"/>
        <v>8.3030800000000013</v>
      </c>
      <c r="H103" s="4" t="s">
        <v>14</v>
      </c>
    </row>
    <row r="104" spans="1:8" hidden="1" x14ac:dyDescent="0.25">
      <c r="A104" s="4" t="s">
        <v>12</v>
      </c>
      <c r="B104" s="12">
        <v>45950</v>
      </c>
      <c r="C104" s="14">
        <v>0.33958333333333335</v>
      </c>
      <c r="D104" s="13">
        <f t="shared" si="13"/>
        <v>6.7056000000000004</v>
      </c>
      <c r="E104" s="4">
        <v>22</v>
      </c>
      <c r="F104" s="4">
        <v>1.26</v>
      </c>
      <c r="G104" s="13">
        <f t="shared" si="12"/>
        <v>5.4456000000000007</v>
      </c>
      <c r="H104" s="4" t="s">
        <v>14</v>
      </c>
    </row>
    <row r="105" spans="1:8" x14ac:dyDescent="0.25">
      <c r="A105" s="22" t="s">
        <v>9</v>
      </c>
      <c r="B105" s="23">
        <v>45955</v>
      </c>
      <c r="C105" s="24">
        <v>0.33819444444444446</v>
      </c>
      <c r="D105" s="25">
        <f t="shared" si="13"/>
        <v>5.7302400000000002</v>
      </c>
      <c r="E105" s="22">
        <v>18.8</v>
      </c>
      <c r="F105" s="22">
        <v>0.88</v>
      </c>
      <c r="G105" s="25">
        <f t="shared" si="12"/>
        <v>4.8502400000000003</v>
      </c>
      <c r="H105" s="22" t="s">
        <v>14</v>
      </c>
    </row>
    <row r="106" spans="1:8" hidden="1" x14ac:dyDescent="0.25">
      <c r="A106" s="4" t="s">
        <v>10</v>
      </c>
      <c r="B106" s="12">
        <v>45955</v>
      </c>
      <c r="C106" s="14">
        <v>0.33958333333333335</v>
      </c>
      <c r="D106" s="13">
        <f t="shared" si="13"/>
        <v>9.479280000000001</v>
      </c>
      <c r="E106" s="4">
        <v>31.1</v>
      </c>
      <c r="F106" s="4">
        <v>1.1000000000000001</v>
      </c>
      <c r="G106" s="13">
        <f t="shared" si="12"/>
        <v>8.3792800000000014</v>
      </c>
      <c r="H106" s="4" t="s">
        <v>14</v>
      </c>
    </row>
    <row r="107" spans="1:8" hidden="1" x14ac:dyDescent="0.25">
      <c r="A107" s="4" t="s">
        <v>12</v>
      </c>
      <c r="B107" s="12">
        <v>45955</v>
      </c>
      <c r="C107" s="14">
        <v>0.34166666666666667</v>
      </c>
      <c r="D107" s="13">
        <f t="shared" si="13"/>
        <v>6.7056000000000004</v>
      </c>
      <c r="E107" s="4">
        <v>22</v>
      </c>
      <c r="F107" s="4">
        <v>1.26</v>
      </c>
      <c r="G107" s="13">
        <f t="shared" si="12"/>
        <v>5.4456000000000007</v>
      </c>
      <c r="H107" s="4" t="s">
        <v>14</v>
      </c>
    </row>
    <row r="108" spans="1:8" x14ac:dyDescent="0.25">
      <c r="A108" s="22" t="s">
        <v>9</v>
      </c>
      <c r="B108" s="23">
        <v>45971</v>
      </c>
      <c r="C108" s="24">
        <v>0.28125</v>
      </c>
      <c r="D108" s="25">
        <v>5.57</v>
      </c>
      <c r="E108" s="22">
        <v>18.27</v>
      </c>
      <c r="F108" s="22">
        <v>0.88</v>
      </c>
      <c r="G108" s="25">
        <f t="shared" si="12"/>
        <v>4.6900000000000004</v>
      </c>
      <c r="H108" s="22" t="s">
        <v>14</v>
      </c>
    </row>
    <row r="109" spans="1:8" hidden="1" x14ac:dyDescent="0.25">
      <c r="A109" s="4" t="s">
        <v>10</v>
      </c>
      <c r="B109" s="12">
        <v>45971</v>
      </c>
      <c r="C109" s="14">
        <v>0.29097222222222224</v>
      </c>
      <c r="D109" s="13">
        <v>9.18</v>
      </c>
      <c r="E109" s="4">
        <v>30.12</v>
      </c>
      <c r="F109" s="4">
        <v>1.1000000000000001</v>
      </c>
      <c r="G109" s="13">
        <f t="shared" si="12"/>
        <v>8.08</v>
      </c>
      <c r="H109" s="4" t="s">
        <v>14</v>
      </c>
    </row>
    <row r="110" spans="1:8" hidden="1" x14ac:dyDescent="0.25">
      <c r="A110" s="4" t="s">
        <v>12</v>
      </c>
      <c r="B110" s="12">
        <v>45971</v>
      </c>
      <c r="C110" s="14">
        <v>0.2951388888888889</v>
      </c>
      <c r="D110" s="13">
        <v>6.59</v>
      </c>
      <c r="E110" s="4">
        <v>23.13</v>
      </c>
      <c r="F110" s="4">
        <v>1.26</v>
      </c>
      <c r="G110" s="13">
        <f t="shared" si="12"/>
        <v>5.33</v>
      </c>
      <c r="H110" s="4" t="s">
        <v>14</v>
      </c>
    </row>
    <row r="111" spans="1:8" x14ac:dyDescent="0.25">
      <c r="A111" s="22" t="s">
        <v>9</v>
      </c>
      <c r="B111" s="23">
        <v>45981</v>
      </c>
      <c r="C111" s="24">
        <v>0.29652777777777778</v>
      </c>
      <c r="D111" s="25">
        <f t="shared" ref="D111:D122" si="14">E111*0.3048</f>
        <v>5.8216800000000006</v>
      </c>
      <c r="E111" s="27">
        <v>19.100000000000001</v>
      </c>
      <c r="F111" s="22">
        <v>0.88</v>
      </c>
      <c r="G111" s="25">
        <f t="shared" ref="G111:G112" si="15">D111-F111</f>
        <v>4.9416800000000007</v>
      </c>
      <c r="H111" s="22" t="s">
        <v>14</v>
      </c>
    </row>
    <row r="112" spans="1:8" hidden="1" x14ac:dyDescent="0.25">
      <c r="A112" s="4" t="s">
        <v>10</v>
      </c>
      <c r="B112" s="12">
        <v>45981</v>
      </c>
      <c r="C112" s="14">
        <v>0.29791666666666666</v>
      </c>
      <c r="D112" s="13">
        <f t="shared" si="14"/>
        <v>9.8755199999999999</v>
      </c>
      <c r="E112" s="4">
        <v>32.4</v>
      </c>
      <c r="F112" s="4">
        <v>1.1000000000000001</v>
      </c>
      <c r="G112" s="13">
        <f t="shared" si="15"/>
        <v>8.7755200000000002</v>
      </c>
      <c r="H112" s="4" t="s">
        <v>14</v>
      </c>
    </row>
    <row r="113" spans="1:8" hidden="1" x14ac:dyDescent="0.25">
      <c r="A113" s="4" t="s">
        <v>12</v>
      </c>
      <c r="B113" s="12">
        <v>45981</v>
      </c>
      <c r="C113" s="14">
        <v>0.3</v>
      </c>
      <c r="D113" s="13">
        <f t="shared" si="14"/>
        <v>6.7360800000000012</v>
      </c>
      <c r="E113" s="4">
        <v>22.1</v>
      </c>
      <c r="F113" s="4">
        <v>1.26</v>
      </c>
      <c r="G113" s="13">
        <f>D113-F113</f>
        <v>5.4760800000000014</v>
      </c>
      <c r="H113" s="4" t="s">
        <v>14</v>
      </c>
    </row>
    <row r="114" spans="1:8" x14ac:dyDescent="0.25">
      <c r="A114" s="22" t="s">
        <v>9</v>
      </c>
      <c r="B114" s="23">
        <v>46002</v>
      </c>
      <c r="C114" s="24">
        <v>0.3</v>
      </c>
      <c r="D114" s="25">
        <f t="shared" si="14"/>
        <v>5.9436</v>
      </c>
      <c r="E114" s="27">
        <v>19.5</v>
      </c>
      <c r="F114" s="22">
        <v>0.88</v>
      </c>
      <c r="G114" s="25">
        <f t="shared" ref="G114" si="16">D114-F114</f>
        <v>5.0636000000000001</v>
      </c>
      <c r="H114" s="22" t="s">
        <v>14</v>
      </c>
    </row>
    <row r="115" spans="1:8" hidden="1" x14ac:dyDescent="0.25">
      <c r="A115" s="4" t="s">
        <v>10</v>
      </c>
      <c r="B115" s="12">
        <v>46002</v>
      </c>
      <c r="C115" s="14">
        <v>0.30416666666666664</v>
      </c>
      <c r="D115" s="13">
        <f t="shared" si="14"/>
        <v>10.119360000000002</v>
      </c>
      <c r="E115" s="4">
        <v>33.200000000000003</v>
      </c>
      <c r="F115" s="4">
        <v>1.1000000000000001</v>
      </c>
      <c r="G115" s="13">
        <f>D115-F115</f>
        <v>9.0193600000000025</v>
      </c>
      <c r="H115" s="4" t="s">
        <v>14</v>
      </c>
    </row>
    <row r="116" spans="1:8" hidden="1" x14ac:dyDescent="0.25">
      <c r="A116" s="4" t="s">
        <v>12</v>
      </c>
      <c r="B116" s="12">
        <v>46002</v>
      </c>
      <c r="C116" s="14">
        <v>0.30694444444444446</v>
      </c>
      <c r="D116" s="13">
        <f t="shared" si="14"/>
        <v>6.7360800000000012</v>
      </c>
      <c r="E116" s="4">
        <v>22.1</v>
      </c>
      <c r="F116" s="4">
        <v>1.26</v>
      </c>
      <c r="G116" s="13">
        <f>D116-F116</f>
        <v>5.4760800000000014</v>
      </c>
      <c r="H116" s="4" t="s">
        <v>14</v>
      </c>
    </row>
    <row r="117" spans="1:8" x14ac:dyDescent="0.25">
      <c r="A117" s="22" t="s">
        <v>9</v>
      </c>
      <c r="B117" s="23">
        <v>46011</v>
      </c>
      <c r="C117" s="24">
        <v>0.3</v>
      </c>
      <c r="D117" s="25">
        <f t="shared" si="14"/>
        <v>5.9740800000000007</v>
      </c>
      <c r="E117" s="22">
        <v>19.600000000000001</v>
      </c>
      <c r="F117" s="22">
        <v>0.88</v>
      </c>
      <c r="G117" s="25">
        <f t="shared" ref="G117:G122" si="17">D117-F117</f>
        <v>5.0940800000000008</v>
      </c>
      <c r="H117" s="22" t="s">
        <v>19</v>
      </c>
    </row>
    <row r="118" spans="1:8" hidden="1" x14ac:dyDescent="0.25">
      <c r="A118" s="4" t="s">
        <v>10</v>
      </c>
      <c r="B118" s="12">
        <v>46011</v>
      </c>
      <c r="C118" s="14">
        <v>0.30416666666666664</v>
      </c>
      <c r="D118" s="13">
        <f t="shared" si="14"/>
        <v>10.18032</v>
      </c>
      <c r="E118" s="4">
        <v>33.4</v>
      </c>
      <c r="F118" s="4">
        <v>1.1000000000000001</v>
      </c>
      <c r="G118" s="13">
        <f t="shared" si="17"/>
        <v>9.0803200000000004</v>
      </c>
      <c r="H118" s="4" t="s">
        <v>19</v>
      </c>
    </row>
    <row r="119" spans="1:8" hidden="1" x14ac:dyDescent="0.25">
      <c r="A119" s="4" t="s">
        <v>12</v>
      </c>
      <c r="B119" s="12">
        <v>46011</v>
      </c>
      <c r="C119" s="14">
        <v>0.30694444444444446</v>
      </c>
      <c r="D119" s="13">
        <f t="shared" si="14"/>
        <v>6.7056000000000004</v>
      </c>
      <c r="E119" s="28">
        <v>22</v>
      </c>
      <c r="F119" s="4">
        <v>1.26</v>
      </c>
      <c r="G119" s="13">
        <f t="shared" si="17"/>
        <v>5.4456000000000007</v>
      </c>
      <c r="H119" s="4" t="s">
        <v>19</v>
      </c>
    </row>
    <row r="120" spans="1:8" x14ac:dyDescent="0.25">
      <c r="A120" s="22" t="s">
        <v>9</v>
      </c>
      <c r="B120" s="23">
        <v>46021</v>
      </c>
      <c r="C120" s="24">
        <v>0.3</v>
      </c>
      <c r="D120" s="25">
        <f t="shared" si="14"/>
        <v>5.9436</v>
      </c>
      <c r="E120" s="29">
        <v>19.5</v>
      </c>
      <c r="F120" s="27">
        <v>0.88</v>
      </c>
      <c r="G120" s="30">
        <f t="shared" si="17"/>
        <v>5.0636000000000001</v>
      </c>
      <c r="H120" s="27" t="s">
        <v>14</v>
      </c>
    </row>
    <row r="121" spans="1:8" hidden="1" x14ac:dyDescent="0.25">
      <c r="A121" s="4" t="s">
        <v>10</v>
      </c>
      <c r="B121" s="12">
        <v>46021</v>
      </c>
      <c r="C121" s="14">
        <v>0.30416666666666664</v>
      </c>
      <c r="D121" s="13">
        <f t="shared" si="14"/>
        <v>9.9060000000000006</v>
      </c>
      <c r="E121" s="28">
        <v>32.5</v>
      </c>
      <c r="F121" s="4">
        <v>1.1000000000000001</v>
      </c>
      <c r="G121" s="13">
        <f t="shared" si="17"/>
        <v>8.8060000000000009</v>
      </c>
      <c r="H121" s="4" t="s">
        <v>14</v>
      </c>
    </row>
    <row r="122" spans="1:8" hidden="1" x14ac:dyDescent="0.25">
      <c r="A122" s="4" t="s">
        <v>12</v>
      </c>
      <c r="B122" s="12">
        <v>46021</v>
      </c>
      <c r="C122" s="14">
        <v>0.30694444444444446</v>
      </c>
      <c r="D122" s="13">
        <f t="shared" si="14"/>
        <v>6.7056000000000004</v>
      </c>
      <c r="E122" s="28">
        <v>22</v>
      </c>
      <c r="F122" s="4">
        <v>1.26</v>
      </c>
      <c r="G122" s="13">
        <f t="shared" si="17"/>
        <v>5.4456000000000007</v>
      </c>
      <c r="H122" s="4" t="s">
        <v>14</v>
      </c>
    </row>
    <row r="123" spans="1:8" x14ac:dyDescent="0.25">
      <c r="A123" s="22" t="s">
        <v>9</v>
      </c>
      <c r="B123" s="23">
        <v>46037</v>
      </c>
      <c r="C123" s="24">
        <v>0.29305555555555557</v>
      </c>
      <c r="D123" s="25">
        <f t="shared" ref="D123:D125" si="18">E123*0.3048</f>
        <v>5.9436</v>
      </c>
      <c r="E123" s="29">
        <v>19.5</v>
      </c>
      <c r="F123" s="27">
        <v>0.88</v>
      </c>
      <c r="G123" s="30">
        <f t="shared" ref="G123:G125" si="19">D123-F123</f>
        <v>5.0636000000000001</v>
      </c>
      <c r="H123" s="27" t="s">
        <v>14</v>
      </c>
    </row>
    <row r="124" spans="1:8" hidden="1" x14ac:dyDescent="0.25">
      <c r="A124" s="4" t="s">
        <v>10</v>
      </c>
      <c r="B124" s="12">
        <v>46037</v>
      </c>
      <c r="C124" s="14">
        <v>0.29583333333333334</v>
      </c>
      <c r="D124" s="13">
        <f t="shared" si="18"/>
        <v>9.9060000000000006</v>
      </c>
      <c r="E124" s="28">
        <v>32.5</v>
      </c>
      <c r="F124" s="4">
        <v>1.1000000000000001</v>
      </c>
      <c r="G124" s="13">
        <f t="shared" si="19"/>
        <v>8.8060000000000009</v>
      </c>
      <c r="H124" s="4" t="s">
        <v>14</v>
      </c>
    </row>
    <row r="125" spans="1:8" hidden="1" x14ac:dyDescent="0.25">
      <c r="A125" s="4" t="s">
        <v>12</v>
      </c>
      <c r="B125" s="12">
        <v>46037</v>
      </c>
      <c r="C125" s="14">
        <v>0.29791666666666666</v>
      </c>
      <c r="D125" s="13">
        <f t="shared" si="18"/>
        <v>6.7360800000000012</v>
      </c>
      <c r="E125" s="28">
        <v>22.1</v>
      </c>
      <c r="F125" s="4">
        <v>1.26</v>
      </c>
      <c r="G125" s="13">
        <f t="shared" si="19"/>
        <v>5.4760800000000014</v>
      </c>
      <c r="H125" s="4" t="s">
        <v>14</v>
      </c>
    </row>
    <row r="126" spans="1:8" x14ac:dyDescent="0.25">
      <c r="A126" s="22" t="s">
        <v>9</v>
      </c>
      <c r="B126" s="23">
        <v>46124</v>
      </c>
      <c r="C126" s="24">
        <v>0.3125</v>
      </c>
      <c r="D126" s="25">
        <f t="shared" ref="D126:D128" si="20">E126*0.3048</f>
        <v>5.8216800000000006</v>
      </c>
      <c r="E126" s="29">
        <v>19.100000000000001</v>
      </c>
      <c r="F126" s="27">
        <v>0.88</v>
      </c>
      <c r="G126" s="30">
        <f>D126-F126</f>
        <v>4.9416800000000007</v>
      </c>
      <c r="H126" s="27" t="s">
        <v>14</v>
      </c>
    </row>
    <row r="127" spans="1:8" hidden="1" x14ac:dyDescent="0.25">
      <c r="A127" s="4" t="s">
        <v>12</v>
      </c>
      <c r="B127" s="12">
        <v>46124</v>
      </c>
      <c r="C127" s="14">
        <v>0.31597222222222221</v>
      </c>
      <c r="D127" s="13">
        <f t="shared" si="20"/>
        <v>6.7056000000000004</v>
      </c>
      <c r="E127" s="28">
        <v>22</v>
      </c>
      <c r="F127" s="4">
        <v>1.26</v>
      </c>
      <c r="G127" s="13">
        <f>D127-F127</f>
        <v>5.4456000000000007</v>
      </c>
      <c r="H127" s="4" t="s">
        <v>14</v>
      </c>
    </row>
    <row r="128" spans="1:8" x14ac:dyDescent="0.25">
      <c r="A128" s="22" t="s">
        <v>9</v>
      </c>
      <c r="B128" s="23">
        <v>46114</v>
      </c>
      <c r="C128" s="24">
        <v>0.53125</v>
      </c>
      <c r="D128" s="25">
        <f t="shared" si="20"/>
        <v>5.6388000000000007</v>
      </c>
      <c r="E128" s="29">
        <v>18.5</v>
      </c>
      <c r="F128" s="22">
        <v>0.88</v>
      </c>
      <c r="G128" s="30">
        <f t="shared" ref="G128" si="21">D128-F128</f>
        <v>4.7588000000000008</v>
      </c>
      <c r="H128" s="27" t="s">
        <v>14</v>
      </c>
    </row>
    <row r="129" spans="1:8" x14ac:dyDescent="0.25">
      <c r="A129" s="22" t="s">
        <v>9</v>
      </c>
      <c r="B129" s="23">
        <v>46129</v>
      </c>
      <c r="C129" s="24">
        <v>0.31944444444444442</v>
      </c>
      <c r="D129" s="25">
        <f t="shared" ref="D129" si="22">E129*0.3048</f>
        <v>5.8216800000000006</v>
      </c>
      <c r="E129" s="29">
        <v>19.100000000000001</v>
      </c>
      <c r="F129" s="22">
        <v>0.88</v>
      </c>
      <c r="G129" s="30">
        <f>D129-F129</f>
        <v>4.9416800000000007</v>
      </c>
      <c r="H129" s="27" t="s">
        <v>14</v>
      </c>
    </row>
    <row r="130" spans="1:8" hidden="1" x14ac:dyDescent="0.25">
      <c r="A130" s="4" t="s">
        <v>12</v>
      </c>
      <c r="B130" s="12">
        <v>46129</v>
      </c>
      <c r="C130" s="14">
        <v>0.32291666666666669</v>
      </c>
      <c r="D130" s="13">
        <f t="shared" ref="D130:D131" si="23">E130*0.3048</f>
        <v>6.7056000000000004</v>
      </c>
      <c r="E130" s="28">
        <v>22</v>
      </c>
      <c r="F130" s="4">
        <v>1.26</v>
      </c>
      <c r="G130" s="13">
        <f>D130-F130</f>
        <v>5.4456000000000007</v>
      </c>
      <c r="H130" s="4" t="s">
        <v>14</v>
      </c>
    </row>
    <row r="131" spans="1:8" x14ac:dyDescent="0.25">
      <c r="A131" s="32" t="s">
        <v>9</v>
      </c>
      <c r="B131" s="33">
        <v>46154</v>
      </c>
      <c r="C131" s="34">
        <v>0.28472222222222221</v>
      </c>
      <c r="D131" s="35">
        <f t="shared" si="23"/>
        <v>5.8216800000000006</v>
      </c>
      <c r="E131" s="36">
        <v>19.100000000000001</v>
      </c>
      <c r="F131" s="37">
        <v>0.88</v>
      </c>
      <c r="G131" s="38">
        <f>D131-F131</f>
        <v>4.9416800000000007</v>
      </c>
      <c r="H131" s="37" t="s">
        <v>14</v>
      </c>
    </row>
    <row r="132" spans="1:8" hidden="1" x14ac:dyDescent="0.25">
      <c r="A132" s="32" t="s">
        <v>12</v>
      </c>
      <c r="B132" s="33">
        <v>46154</v>
      </c>
      <c r="C132" s="34">
        <v>0.28819444444444442</v>
      </c>
      <c r="D132" s="35">
        <f t="shared" ref="D132:D133" si="24">E132*0.3048</f>
        <v>6.7056000000000004</v>
      </c>
      <c r="E132" s="39">
        <v>22</v>
      </c>
      <c r="F132" s="32">
        <v>1.26</v>
      </c>
      <c r="G132" s="35">
        <f>D132-F132</f>
        <v>5.4456000000000007</v>
      </c>
      <c r="H132" s="32" t="s">
        <v>14</v>
      </c>
    </row>
    <row r="133" spans="1:8" x14ac:dyDescent="0.25">
      <c r="A133" s="32" t="s">
        <v>9</v>
      </c>
      <c r="B133" s="33">
        <v>46183</v>
      </c>
      <c r="C133" s="34">
        <v>0.2986111111111111</v>
      </c>
      <c r="D133" s="35">
        <f t="shared" si="24"/>
        <v>5.3340000000000005</v>
      </c>
      <c r="E133" s="36">
        <v>17.5</v>
      </c>
      <c r="F133" s="37">
        <v>0.88</v>
      </c>
      <c r="G133" s="38">
        <f>D133-F133</f>
        <v>4.4540000000000006</v>
      </c>
      <c r="H133" s="37" t="s">
        <v>14</v>
      </c>
    </row>
    <row r="134" spans="1:8" hidden="1" x14ac:dyDescent="0.25">
      <c r="A134" s="32" t="s">
        <v>12</v>
      </c>
      <c r="B134" s="33">
        <v>46183</v>
      </c>
      <c r="C134" s="34">
        <v>0.30208333333333331</v>
      </c>
      <c r="D134" s="35">
        <f t="shared" ref="D134:D138" si="25">E134*0.3048</f>
        <v>4.4196</v>
      </c>
      <c r="E134" s="39">
        <v>14.5</v>
      </c>
      <c r="F134" s="32">
        <v>1.26</v>
      </c>
      <c r="G134" s="35">
        <f>D134-F134</f>
        <v>3.1596000000000002</v>
      </c>
      <c r="H134" s="32" t="s">
        <v>14</v>
      </c>
    </row>
    <row r="135" spans="1:8" x14ac:dyDescent="0.25">
      <c r="A135" s="40" t="s">
        <v>9</v>
      </c>
      <c r="B135" s="41">
        <v>46193</v>
      </c>
      <c r="C135" s="42">
        <v>0.3</v>
      </c>
      <c r="D135" s="43">
        <f t="shared" si="25"/>
        <v>5.3340000000000005</v>
      </c>
      <c r="E135" s="44">
        <v>17.5</v>
      </c>
      <c r="F135" s="40">
        <v>0.88</v>
      </c>
      <c r="G135" s="43">
        <f t="shared" ref="G135:G138" si="26">D135-F135</f>
        <v>4.4540000000000006</v>
      </c>
      <c r="H135" s="40" t="s">
        <v>14</v>
      </c>
    </row>
    <row r="136" spans="1:8" hidden="1" x14ac:dyDescent="0.25">
      <c r="A136" s="40" t="s">
        <v>12</v>
      </c>
      <c r="B136" s="41">
        <v>46193</v>
      </c>
      <c r="C136" s="42">
        <v>0.30208333333333331</v>
      </c>
      <c r="D136" s="43">
        <f t="shared" si="25"/>
        <v>4.3891200000000001</v>
      </c>
      <c r="E136" s="44">
        <v>14.4</v>
      </c>
      <c r="F136" s="40">
        <v>1.26</v>
      </c>
      <c r="G136" s="43">
        <f t="shared" si="26"/>
        <v>3.1291200000000003</v>
      </c>
      <c r="H136" s="40" t="s">
        <v>14</v>
      </c>
    </row>
    <row r="137" spans="1:8" x14ac:dyDescent="0.25">
      <c r="A137" s="22" t="s">
        <v>9</v>
      </c>
      <c r="B137" s="23">
        <v>46203</v>
      </c>
      <c r="C137" s="24">
        <v>0.30416666666666697</v>
      </c>
      <c r="D137" s="25">
        <f t="shared" si="25"/>
        <v>5.1816000000000004</v>
      </c>
      <c r="E137" s="45">
        <v>17</v>
      </c>
      <c r="F137" s="22">
        <v>0.88</v>
      </c>
      <c r="G137" s="25">
        <f t="shared" si="26"/>
        <v>4.3016000000000005</v>
      </c>
      <c r="H137" s="22" t="s">
        <v>14</v>
      </c>
    </row>
    <row r="138" spans="1:8" hidden="1" x14ac:dyDescent="0.25">
      <c r="A138" s="22" t="s">
        <v>12</v>
      </c>
      <c r="B138" s="23">
        <v>46203</v>
      </c>
      <c r="C138" s="24">
        <v>0.30625000000000002</v>
      </c>
      <c r="D138" s="25">
        <f t="shared" si="25"/>
        <v>5.5168800000000005</v>
      </c>
      <c r="E138" s="45">
        <v>18.100000000000001</v>
      </c>
      <c r="F138" s="22">
        <v>1.26</v>
      </c>
      <c r="G138" s="25">
        <f t="shared" si="26"/>
        <v>4.2568800000000007</v>
      </c>
      <c r="H138" s="22" t="s">
        <v>14</v>
      </c>
    </row>
    <row r="139" spans="1:8" x14ac:dyDescent="0.25">
      <c r="A139" s="46" t="s">
        <v>9</v>
      </c>
      <c r="B139" s="47">
        <v>46213</v>
      </c>
      <c r="C139" s="48">
        <v>0.70833333333333337</v>
      </c>
      <c r="D139" s="49">
        <f t="shared" ref="D139:D144" si="27">E139*0.3048</f>
        <v>5.2120800000000003</v>
      </c>
      <c r="E139" s="50">
        <v>17.100000000000001</v>
      </c>
      <c r="F139" s="46">
        <v>0.88</v>
      </c>
      <c r="G139" s="49">
        <f t="shared" ref="G139:G144" si="28">D139-F139</f>
        <v>4.3320800000000004</v>
      </c>
      <c r="H139" s="46" t="s">
        <v>14</v>
      </c>
    </row>
    <row r="140" spans="1:8" hidden="1" x14ac:dyDescent="0.25">
      <c r="A140" s="46" t="s">
        <v>12</v>
      </c>
      <c r="B140" s="47">
        <v>46213</v>
      </c>
      <c r="C140" s="48">
        <v>0.71180555555555558</v>
      </c>
      <c r="D140" s="49">
        <f t="shared" si="27"/>
        <v>5.3644800000000004</v>
      </c>
      <c r="E140" s="50">
        <v>17.600000000000001</v>
      </c>
      <c r="F140" s="46">
        <v>1.26</v>
      </c>
      <c r="G140" s="49">
        <f t="shared" si="28"/>
        <v>4.1044800000000006</v>
      </c>
      <c r="H140" s="46" t="s">
        <v>14</v>
      </c>
    </row>
    <row r="141" spans="1:8" x14ac:dyDescent="0.25">
      <c r="A141" s="32" t="s">
        <v>9</v>
      </c>
      <c r="B141" s="33">
        <v>46223</v>
      </c>
      <c r="C141" s="34">
        <v>0.30833333333333335</v>
      </c>
      <c r="D141" s="35">
        <f t="shared" si="27"/>
        <v>5.3340000000000005</v>
      </c>
      <c r="E141" s="32">
        <v>17.5</v>
      </c>
      <c r="F141" s="32">
        <v>0.88</v>
      </c>
      <c r="G141" s="35">
        <f t="shared" si="28"/>
        <v>4.4540000000000006</v>
      </c>
      <c r="H141" s="32" t="s">
        <v>14</v>
      </c>
    </row>
    <row r="142" spans="1:8" hidden="1" x14ac:dyDescent="0.25">
      <c r="A142" s="32" t="s">
        <v>12</v>
      </c>
      <c r="B142" s="33">
        <v>46223</v>
      </c>
      <c r="C142" s="34">
        <v>0.31319444444444444</v>
      </c>
      <c r="D142" s="35">
        <f t="shared" si="27"/>
        <v>5.8521600000000005</v>
      </c>
      <c r="E142" s="32">
        <v>19.2</v>
      </c>
      <c r="F142" s="32">
        <v>1.26</v>
      </c>
      <c r="G142" s="35">
        <f t="shared" si="28"/>
        <v>4.5921600000000007</v>
      </c>
      <c r="H142" s="32" t="s">
        <v>14</v>
      </c>
    </row>
    <row r="143" spans="1:8" x14ac:dyDescent="0.25">
      <c r="A143" s="8" t="s">
        <v>9</v>
      </c>
      <c r="B143" s="51">
        <v>46233</v>
      </c>
      <c r="C143" s="11">
        <v>0.28680555555555554</v>
      </c>
      <c r="D143" s="52">
        <f t="shared" si="27"/>
        <v>5.3035199999999998</v>
      </c>
      <c r="E143" s="8">
        <v>17.399999999999999</v>
      </c>
      <c r="F143" s="8">
        <v>0.88</v>
      </c>
      <c r="G143" s="52">
        <f t="shared" si="28"/>
        <v>4.4235199999999999</v>
      </c>
      <c r="H143" s="8" t="s">
        <v>14</v>
      </c>
    </row>
    <row r="144" spans="1:8" hidden="1" x14ac:dyDescent="0.25">
      <c r="A144" s="8" t="s">
        <v>12</v>
      </c>
      <c r="B144" s="51">
        <v>46233</v>
      </c>
      <c r="C144" s="11">
        <v>0.28819444444444442</v>
      </c>
      <c r="D144" s="52">
        <f t="shared" si="27"/>
        <v>6.0655200000000002</v>
      </c>
      <c r="E144" s="8">
        <v>19.899999999999999</v>
      </c>
      <c r="F144" s="8">
        <v>1.26</v>
      </c>
      <c r="G144" s="52">
        <f t="shared" si="28"/>
        <v>4.8055200000000005</v>
      </c>
      <c r="H144" s="8" t="s">
        <v>14</v>
      </c>
    </row>
  </sheetData>
  <autoFilter ref="A3:H144" xr:uid="{F26B5833-C8D5-4332-BEAF-60D258FE6FE9}">
    <filterColumn colId="0">
      <filters>
        <filter val="НС-1"/>
      </filters>
    </filterColumn>
  </autoFilter>
  <mergeCells count="2">
    <mergeCell ref="A1:H1"/>
    <mergeCell ref="A2:H2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78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DC256-5C3D-4B25-865C-DEB24EF39EE9}">
  <dimension ref="G5:L48"/>
  <sheetViews>
    <sheetView topLeftCell="A13" workbookViewId="0">
      <selection activeCell="Z41" sqref="Z41"/>
    </sheetView>
  </sheetViews>
  <sheetFormatPr defaultRowHeight="15" x14ac:dyDescent="0.25"/>
  <cols>
    <col min="7" max="7" width="11.42578125" customWidth="1"/>
  </cols>
  <sheetData>
    <row r="5" spans="7:12" x14ac:dyDescent="0.25">
      <c r="G5" s="20">
        <v>45923</v>
      </c>
      <c r="H5">
        <f>L5*(-1)</f>
        <v>-4.6900000000000004</v>
      </c>
      <c r="L5" s="4">
        <v>4.6900000000000004</v>
      </c>
    </row>
    <row r="6" spans="7:12" x14ac:dyDescent="0.25">
      <c r="G6" s="6">
        <v>45924</v>
      </c>
      <c r="H6">
        <f t="shared" ref="H6:H48" si="0">L6*(-1)</f>
        <v>-4.5999999999999996</v>
      </c>
      <c r="L6" s="5">
        <v>4.5999999999999996</v>
      </c>
    </row>
    <row r="7" spans="7:12" x14ac:dyDescent="0.25">
      <c r="G7" s="9">
        <v>45924</v>
      </c>
      <c r="H7">
        <f t="shared" si="0"/>
        <v>-4.5999999999999996</v>
      </c>
      <c r="L7" s="8">
        <v>4.5999999999999996</v>
      </c>
    </row>
    <row r="8" spans="7:12" x14ac:dyDescent="0.25">
      <c r="G8" s="12">
        <v>45925</v>
      </c>
      <c r="H8">
        <f t="shared" si="0"/>
        <v>-4.6900000000000004</v>
      </c>
      <c r="L8" s="4">
        <v>4.6900000000000004</v>
      </c>
    </row>
    <row r="9" spans="7:12" x14ac:dyDescent="0.25">
      <c r="G9" s="16">
        <v>45925</v>
      </c>
      <c r="H9">
        <f t="shared" si="0"/>
        <v>-4.7191760000000009</v>
      </c>
      <c r="L9" s="18">
        <v>4.7191760000000009</v>
      </c>
    </row>
    <row r="10" spans="7:12" x14ac:dyDescent="0.25">
      <c r="G10" s="12">
        <v>45926</v>
      </c>
      <c r="H10">
        <f t="shared" si="0"/>
        <v>-4.7191760000000009</v>
      </c>
      <c r="L10" s="13">
        <v>4.7191760000000009</v>
      </c>
    </row>
    <row r="11" spans="7:12" x14ac:dyDescent="0.25">
      <c r="G11" s="16">
        <v>45926</v>
      </c>
      <c r="H11">
        <f t="shared" si="0"/>
        <v>-4.7191760000000009</v>
      </c>
      <c r="L11" s="18">
        <v>4.7191760000000009</v>
      </c>
    </row>
    <row r="12" spans="7:12" x14ac:dyDescent="0.25">
      <c r="G12" s="12">
        <v>45927</v>
      </c>
      <c r="H12">
        <f t="shared" si="0"/>
        <v>-4.7283200000000001</v>
      </c>
      <c r="L12" s="13">
        <v>4.7283200000000001</v>
      </c>
    </row>
    <row r="13" spans="7:12" x14ac:dyDescent="0.25">
      <c r="G13" s="16">
        <v>45927</v>
      </c>
      <c r="H13">
        <f t="shared" si="0"/>
        <v>-4.7283200000000001</v>
      </c>
      <c r="L13" s="18">
        <v>4.7283200000000001</v>
      </c>
    </row>
    <row r="14" spans="7:12" x14ac:dyDescent="0.25">
      <c r="G14" s="12">
        <v>45928</v>
      </c>
      <c r="H14">
        <f t="shared" si="0"/>
        <v>-4.7283200000000001</v>
      </c>
      <c r="L14" s="13">
        <v>4.7283200000000001</v>
      </c>
    </row>
    <row r="15" spans="7:12" x14ac:dyDescent="0.25">
      <c r="G15" s="16">
        <v>45928</v>
      </c>
      <c r="H15">
        <f t="shared" si="0"/>
        <v>-4.6978400000000002</v>
      </c>
      <c r="L15" s="18">
        <v>4.6978400000000002</v>
      </c>
    </row>
    <row r="16" spans="7:12" x14ac:dyDescent="0.25">
      <c r="G16" s="12">
        <v>45929</v>
      </c>
      <c r="H16">
        <f t="shared" si="0"/>
        <v>-4.6978400000000002</v>
      </c>
      <c r="L16" s="13">
        <v>4.6978400000000002</v>
      </c>
    </row>
    <row r="17" spans="7:12" x14ac:dyDescent="0.25">
      <c r="G17" s="16">
        <v>45929</v>
      </c>
      <c r="H17">
        <f t="shared" si="0"/>
        <v>-4.7283200000000001</v>
      </c>
      <c r="L17" s="18">
        <v>4.7283200000000001</v>
      </c>
    </row>
    <row r="18" spans="7:12" x14ac:dyDescent="0.25">
      <c r="G18" s="12">
        <v>45930</v>
      </c>
      <c r="H18">
        <f t="shared" si="0"/>
        <v>-4.7283200000000001</v>
      </c>
      <c r="L18" s="13">
        <v>4.7283200000000001</v>
      </c>
    </row>
    <row r="19" spans="7:12" x14ac:dyDescent="0.25">
      <c r="G19" s="16">
        <v>45930</v>
      </c>
      <c r="H19">
        <f t="shared" si="0"/>
        <v>-4.7283200000000001</v>
      </c>
      <c r="L19" s="18">
        <v>4.7283200000000001</v>
      </c>
    </row>
    <row r="20" spans="7:12" x14ac:dyDescent="0.25">
      <c r="G20" s="12">
        <v>45931</v>
      </c>
      <c r="H20">
        <f t="shared" si="0"/>
        <v>-4.7283200000000001</v>
      </c>
      <c r="L20" s="13">
        <v>4.7283200000000001</v>
      </c>
    </row>
    <row r="21" spans="7:12" x14ac:dyDescent="0.25">
      <c r="G21" s="16">
        <v>45931</v>
      </c>
      <c r="H21">
        <f t="shared" si="0"/>
        <v>-4.7283200000000001</v>
      </c>
      <c r="L21" s="18">
        <v>4.7283200000000001</v>
      </c>
    </row>
    <row r="22" spans="7:12" x14ac:dyDescent="0.25">
      <c r="G22" s="12">
        <v>45932</v>
      </c>
      <c r="H22">
        <f t="shared" si="0"/>
        <v>-4.7435600000000004</v>
      </c>
      <c r="L22" s="13">
        <v>4.7435600000000004</v>
      </c>
    </row>
    <row r="23" spans="7:12" x14ac:dyDescent="0.25">
      <c r="G23" s="23">
        <v>45934</v>
      </c>
      <c r="H23">
        <f t="shared" si="0"/>
        <v>-4.66</v>
      </c>
      <c r="L23" s="25">
        <v>4.66</v>
      </c>
    </row>
    <row r="24" spans="7:12" x14ac:dyDescent="0.25">
      <c r="G24" s="23">
        <v>45935</v>
      </c>
      <c r="H24">
        <f t="shared" si="0"/>
        <v>-4.5999999999999996</v>
      </c>
      <c r="L24" s="25">
        <v>4.5999999999999996</v>
      </c>
    </row>
    <row r="25" spans="7:12" x14ac:dyDescent="0.25">
      <c r="G25" s="23">
        <v>45936</v>
      </c>
      <c r="H25">
        <f t="shared" si="0"/>
        <v>-4.63</v>
      </c>
      <c r="L25" s="25">
        <v>4.63</v>
      </c>
    </row>
    <row r="26" spans="7:12" x14ac:dyDescent="0.25">
      <c r="G26" s="23">
        <v>45937</v>
      </c>
      <c r="H26">
        <f t="shared" si="0"/>
        <v>-4.72</v>
      </c>
      <c r="L26" s="25">
        <v>4.72</v>
      </c>
    </row>
    <row r="27" spans="7:12" x14ac:dyDescent="0.25">
      <c r="G27" s="23">
        <v>45938</v>
      </c>
      <c r="H27">
        <f t="shared" si="0"/>
        <v>-4.66</v>
      </c>
      <c r="L27" s="25">
        <v>4.66</v>
      </c>
    </row>
    <row r="28" spans="7:12" x14ac:dyDescent="0.25">
      <c r="G28" s="23">
        <v>45939</v>
      </c>
      <c r="H28">
        <f t="shared" si="0"/>
        <v>-4.72</v>
      </c>
      <c r="L28" s="25">
        <v>4.72</v>
      </c>
    </row>
    <row r="29" spans="7:12" x14ac:dyDescent="0.25">
      <c r="G29" s="23">
        <v>45940</v>
      </c>
      <c r="H29">
        <f t="shared" si="0"/>
        <v>-4.8</v>
      </c>
      <c r="L29" s="25">
        <v>4.8</v>
      </c>
    </row>
    <row r="30" spans="7:12" x14ac:dyDescent="0.25">
      <c r="G30" s="23">
        <v>45945</v>
      </c>
      <c r="H30">
        <f t="shared" si="0"/>
        <v>-4.78</v>
      </c>
      <c r="L30" s="25">
        <v>4.78</v>
      </c>
    </row>
    <row r="31" spans="7:12" x14ac:dyDescent="0.25">
      <c r="G31" s="23">
        <v>45950</v>
      </c>
      <c r="H31">
        <f t="shared" si="0"/>
        <v>-4.8197600000000005</v>
      </c>
      <c r="L31" s="25">
        <v>4.8197600000000005</v>
      </c>
    </row>
    <row r="32" spans="7:12" x14ac:dyDescent="0.25">
      <c r="G32" s="23">
        <v>45955</v>
      </c>
      <c r="H32">
        <f t="shared" si="0"/>
        <v>-4.8502400000000003</v>
      </c>
      <c r="L32" s="25">
        <v>4.8502400000000003</v>
      </c>
    </row>
    <row r="33" spans="7:12" x14ac:dyDescent="0.25">
      <c r="G33" s="23">
        <v>45971</v>
      </c>
      <c r="H33">
        <f t="shared" si="0"/>
        <v>-4.6900000000000004</v>
      </c>
      <c r="L33" s="25">
        <v>4.6900000000000004</v>
      </c>
    </row>
    <row r="34" spans="7:12" x14ac:dyDescent="0.25">
      <c r="G34" s="23">
        <v>45981</v>
      </c>
      <c r="H34">
        <f t="shared" si="0"/>
        <v>-4.9416800000000007</v>
      </c>
      <c r="L34" s="25">
        <v>4.9416800000000007</v>
      </c>
    </row>
    <row r="35" spans="7:12" x14ac:dyDescent="0.25">
      <c r="G35" s="23">
        <v>46002</v>
      </c>
      <c r="H35">
        <f t="shared" si="0"/>
        <v>-5.0636000000000001</v>
      </c>
      <c r="L35" s="25">
        <v>5.0636000000000001</v>
      </c>
    </row>
    <row r="36" spans="7:12" x14ac:dyDescent="0.25">
      <c r="G36" s="23">
        <v>46011</v>
      </c>
      <c r="H36">
        <f t="shared" si="0"/>
        <v>-5.0940800000000008</v>
      </c>
      <c r="L36" s="25">
        <v>5.0940800000000008</v>
      </c>
    </row>
    <row r="37" spans="7:12" x14ac:dyDescent="0.25">
      <c r="G37" s="23">
        <v>46021</v>
      </c>
      <c r="H37">
        <f t="shared" si="0"/>
        <v>-5.0636000000000001</v>
      </c>
      <c r="L37" s="30">
        <v>5.0636000000000001</v>
      </c>
    </row>
    <row r="38" spans="7:12" x14ac:dyDescent="0.25">
      <c r="G38" s="23">
        <v>46037</v>
      </c>
      <c r="H38">
        <f t="shared" si="0"/>
        <v>-5.0636000000000001</v>
      </c>
      <c r="L38" s="30">
        <v>5.0636000000000001</v>
      </c>
    </row>
    <row r="39" spans="7:12" x14ac:dyDescent="0.25">
      <c r="G39" s="23">
        <v>46124</v>
      </c>
      <c r="H39">
        <f t="shared" si="0"/>
        <v>-4.9416800000000007</v>
      </c>
      <c r="L39" s="30">
        <v>4.9416800000000007</v>
      </c>
    </row>
    <row r="40" spans="7:12" x14ac:dyDescent="0.25">
      <c r="G40" s="23">
        <v>46114</v>
      </c>
      <c r="H40">
        <f t="shared" si="0"/>
        <v>-4.7588000000000008</v>
      </c>
      <c r="L40" s="30">
        <v>4.7588000000000008</v>
      </c>
    </row>
    <row r="41" spans="7:12" x14ac:dyDescent="0.25">
      <c r="G41" s="23">
        <v>46129</v>
      </c>
      <c r="H41">
        <f t="shared" si="0"/>
        <v>-4.9416800000000007</v>
      </c>
      <c r="L41" s="30">
        <v>4.9416800000000007</v>
      </c>
    </row>
    <row r="42" spans="7:12" x14ac:dyDescent="0.25">
      <c r="G42" s="33">
        <v>46154</v>
      </c>
      <c r="H42">
        <f t="shared" si="0"/>
        <v>-4.9416800000000007</v>
      </c>
      <c r="L42" s="38">
        <v>4.9416800000000007</v>
      </c>
    </row>
    <row r="43" spans="7:12" x14ac:dyDescent="0.25">
      <c r="G43" s="33">
        <v>46183</v>
      </c>
      <c r="H43">
        <f t="shared" si="0"/>
        <v>-4.4540000000000006</v>
      </c>
      <c r="L43" s="38">
        <v>4.4540000000000006</v>
      </c>
    </row>
    <row r="44" spans="7:12" x14ac:dyDescent="0.25">
      <c r="G44" s="41">
        <v>46193</v>
      </c>
      <c r="H44">
        <f t="shared" si="0"/>
        <v>-4.4540000000000006</v>
      </c>
      <c r="L44" s="43">
        <v>4.4540000000000006</v>
      </c>
    </row>
    <row r="45" spans="7:12" x14ac:dyDescent="0.25">
      <c r="G45" s="23">
        <v>46203</v>
      </c>
      <c r="H45">
        <f t="shared" si="0"/>
        <v>-4.3016000000000005</v>
      </c>
      <c r="L45" s="25">
        <v>4.3016000000000005</v>
      </c>
    </row>
    <row r="46" spans="7:12" x14ac:dyDescent="0.25">
      <c r="G46" s="47">
        <v>46213</v>
      </c>
      <c r="H46">
        <f t="shared" si="0"/>
        <v>-4.3320800000000004</v>
      </c>
      <c r="L46" s="49">
        <v>4.3320800000000004</v>
      </c>
    </row>
    <row r="47" spans="7:12" x14ac:dyDescent="0.25">
      <c r="G47" s="33">
        <v>46223</v>
      </c>
      <c r="H47">
        <f t="shared" si="0"/>
        <v>-4.4540000000000006</v>
      </c>
      <c r="L47" s="35">
        <v>4.4540000000000006</v>
      </c>
    </row>
    <row r="48" spans="7:12" x14ac:dyDescent="0.25">
      <c r="G48" s="51">
        <v>46233</v>
      </c>
      <c r="H48">
        <f t="shared" si="0"/>
        <v>-4.4235199999999999</v>
      </c>
      <c r="L48" s="52">
        <v>4.4235199999999999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Июнь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Плаксин Дмитрий Александрович</dc:creator>
  <cp:lastModifiedBy>Плаксин Дмитрий Александрович</cp:lastModifiedBy>
  <cp:lastPrinted>2025-09-24T11:12:47Z</cp:lastPrinted>
  <dcterms:created xsi:type="dcterms:W3CDTF">2025-09-24T03:13:39Z</dcterms:created>
  <dcterms:modified xsi:type="dcterms:W3CDTF">2026-07-30T08:25:03Z</dcterms:modified>
</cp:coreProperties>
</file>